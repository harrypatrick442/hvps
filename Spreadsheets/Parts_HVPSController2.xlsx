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 defaultThemeVersion="124226"/>
  <bookViews>
    <workbookView xWindow="480" yWindow="150" windowWidth="15045" windowHeight="6840"/>
  </bookViews>
  <sheets>
    <sheet name="Sheet1" sheetId="1" r:id="rId1"/>
    <sheet name="Core shopping" sheetId="2" r:id="rId2"/>
    <sheet name="High Voltage Feedback" sheetId="3" r:id="rId3"/>
    <sheet name="VillardVessel" sheetId="4" r:id="rId4"/>
    <sheet name="Sheet2" sheetId="5" r:id="rId5"/>
    <sheet name="Sheet3" sheetId="6" r:id="rId6"/>
    <sheet name="Sheet4" sheetId="7" r:id="rId7"/>
    <sheet name="Sheet5" sheetId="8" r:id="rId8"/>
  </sheets>
  <calcPr calcId="144525"/>
</workbook>
</file>

<file path=xl/calcChain.xml><?xml version="1.0" encoding="utf-8"?>
<calcChain xmlns="http://schemas.openxmlformats.org/spreadsheetml/2006/main">
  <c r="T216" i="1" l="1"/>
  <c r="T215" i="1"/>
  <c r="T211" i="1"/>
  <c r="T210" i="1"/>
  <c r="T153" i="1" l="1"/>
  <c r="T148" i="1"/>
  <c r="D21" i="4" l="1"/>
  <c r="D20" i="4"/>
  <c r="D17" i="4"/>
  <c r="D18" i="4" s="1"/>
  <c r="D16" i="4"/>
  <c r="D15" i="4"/>
  <c r="D14" i="4"/>
  <c r="D13" i="4"/>
  <c r="D11" i="4"/>
  <c r="L31" i="3" l="1"/>
  <c r="L33" i="3"/>
  <c r="L34" i="3" s="1"/>
  <c r="L35" i="3"/>
  <c r="L36" i="3" s="1"/>
  <c r="R12" i="3" l="1"/>
  <c r="S12" i="3" s="1"/>
  <c r="S11" i="3"/>
  <c r="S13" i="3"/>
  <c r="K43" i="3"/>
  <c r="K31" i="3"/>
  <c r="K35" i="3"/>
  <c r="H28" i="3"/>
  <c r="H47" i="3"/>
  <c r="H48" i="3" s="1"/>
  <c r="G47" i="3"/>
  <c r="G48" i="3" s="1"/>
  <c r="G52" i="3" s="1"/>
  <c r="G28" i="3"/>
  <c r="H60" i="3"/>
  <c r="H61" i="3"/>
  <c r="H25" i="3"/>
  <c r="H26" i="3" s="1"/>
  <c r="H27" i="3" s="1"/>
  <c r="H67" i="3"/>
  <c r="H69" i="3"/>
  <c r="H70" i="3" s="1"/>
  <c r="H71" i="3" s="1"/>
  <c r="H77" i="3"/>
  <c r="G67" i="3"/>
  <c r="G77" i="3"/>
  <c r="G69" i="3"/>
  <c r="S3" i="3"/>
  <c r="H23" i="3"/>
  <c r="H34" i="3" s="1"/>
  <c r="H43" i="3"/>
  <c r="H40" i="3" s="1"/>
  <c r="H44" i="3"/>
  <c r="H45" i="3" s="1"/>
  <c r="H49" i="3"/>
  <c r="H50" i="3" s="1"/>
  <c r="G61" i="3"/>
  <c r="G60" i="3"/>
  <c r="G49" i="3"/>
  <c r="G44" i="3"/>
  <c r="G43" i="3"/>
  <c r="G41" i="3" s="1"/>
  <c r="G25" i="3"/>
  <c r="G26" i="3" s="1"/>
  <c r="G27" i="3" s="1"/>
  <c r="G23" i="3"/>
  <c r="G34" i="3" l="1"/>
  <c r="G36" i="3" s="1"/>
  <c r="G76" i="3" s="1"/>
  <c r="H57" i="3"/>
  <c r="H75" i="3"/>
  <c r="H74" i="3" s="1"/>
  <c r="H72" i="3"/>
  <c r="K33" i="3"/>
  <c r="H76" i="3"/>
  <c r="H80" i="3" s="1"/>
  <c r="H81" i="3" s="1"/>
  <c r="H52" i="3"/>
  <c r="G70" i="3"/>
  <c r="G71" i="3" s="1"/>
  <c r="G72" i="3" s="1"/>
  <c r="H46" i="3"/>
  <c r="H51" i="3"/>
  <c r="G51" i="3"/>
  <c r="H54" i="3"/>
  <c r="H56" i="3" s="1"/>
  <c r="G40" i="3"/>
  <c r="G50" i="3"/>
  <c r="H41" i="3"/>
  <c r="G45" i="3"/>
  <c r="G46" i="3"/>
  <c r="K34" i="3" l="1"/>
  <c r="K36" i="3"/>
  <c r="H78" i="3"/>
  <c r="H79" i="3" s="1"/>
  <c r="H55" i="3"/>
  <c r="G57" i="3"/>
  <c r="G75" i="3"/>
  <c r="G74" i="3" s="1"/>
  <c r="G55" i="3"/>
  <c r="G59" i="3" s="1"/>
  <c r="G54" i="3"/>
  <c r="G56" i="3" s="1"/>
  <c r="H59" i="3" l="1"/>
  <c r="H58" i="3"/>
  <c r="H62" i="3" s="1"/>
  <c r="G80" i="3"/>
  <c r="G81" i="3" s="1"/>
  <c r="G78" i="3"/>
  <c r="G79" i="3" s="1"/>
  <c r="G58" i="3"/>
  <c r="G62" i="3" s="1"/>
  <c r="G63" i="3"/>
  <c r="H64" i="3" l="1"/>
  <c r="H63" i="3"/>
  <c r="H82" i="3" s="1"/>
  <c r="G82" i="3"/>
  <c r="G64" i="3"/>
</calcChain>
</file>

<file path=xl/sharedStrings.xml><?xml version="1.0" encoding="utf-8"?>
<sst xmlns="http://schemas.openxmlformats.org/spreadsheetml/2006/main" count="1896" uniqueCount="630">
  <si>
    <t>Item #</t>
  </si>
  <si>
    <t>Part Name</t>
  </si>
  <si>
    <t>Part Number</t>
  </si>
  <si>
    <t>Category</t>
  </si>
  <si>
    <t>Quantity Needed</t>
  </si>
  <si>
    <t>Quantity in Stock</t>
  </si>
  <si>
    <t>Description</t>
  </si>
  <si>
    <t>Value/Rating</t>
  </si>
  <si>
    <t>Tolerance</t>
  </si>
  <si>
    <t>Voltage Rating</t>
  </si>
  <si>
    <t>Power Rating</t>
  </si>
  <si>
    <t>Package/Size</t>
  </si>
  <si>
    <t>Supplier</t>
  </si>
  <si>
    <t>Supplier Part Number</t>
  </si>
  <si>
    <t>Unit Price</t>
  </si>
  <si>
    <t>Total Cost</t>
  </si>
  <si>
    <t>Total cost calculated as Quantity Needed × Unit Price.</t>
  </si>
  <si>
    <t>Lead Time</t>
  </si>
  <si>
    <t>Expected time for delivery from supplier.</t>
  </si>
  <si>
    <t>Notes</t>
  </si>
  <si>
    <t>Any additional notes, like alternatives or special instructions.</t>
  </si>
  <si>
    <t>Subsystem</t>
  </si>
  <si>
    <t>Url</t>
  </si>
  <si>
    <t>zener diode protection, 3v 0.8uA leakage</t>
  </si>
  <si>
    <t>1N4619 BK PBFREE</t>
  </si>
  <si>
    <t>DO-35-2</t>
  </si>
  <si>
    <t>0.25w</t>
  </si>
  <si>
    <t>Thick Film Resistors - Through Hole 300M ohms 1%</t>
  </si>
  <si>
    <t>2.5w</t>
  </si>
  <si>
    <t>250v</t>
  </si>
  <si>
    <t>Multilayer Ceramic Capacitors MLCC - Leaded 50V 1000pF C0G 1% LS=5.08mm</t>
  </si>
  <si>
    <t>50v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</si>
  <si>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</si>
  <si>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RS Stock No.:270-7764</t>
  </si>
  <si>
    <t>RS Stock No.:270-7763</t>
  </si>
  <si>
    <t xml:space="preserve">RS PRO 16Mbps Fibre Optic Transmitter 640 → 670nm, Square Fiber Optic Connector, 13.6 x 11.5 x 9.5mm SUPPORTS toslink </t>
  </si>
  <si>
    <t xml:space="preserve">RS PRO 16Mbps 650nm Fibre Optic Receiver, Square, Fiber Optic Connector SUPPORTS toslink </t>
  </si>
  <si>
    <t>C317C300J5G5TA</t>
  </si>
  <si>
    <t>Multilayer Ceramic Capacitors MLCC - Leaded 50V 30pF C0G 5% LS=5.08mm</t>
  </si>
  <si>
    <t>30pf</t>
  </si>
  <si>
    <t>C322C104J5R5TA</t>
  </si>
  <si>
    <t>Multilayer Ceramic Capacitors MLCC - Leaded 50V 0.1uF X7R 5% LS=5.08mm</t>
  </si>
  <si>
    <t>0.1uf</t>
  </si>
  <si>
    <t xml:space="preserve">‎ </t>
  </si>
  <si>
    <t>1uF</t>
  </si>
  <si>
    <t>Maximum high voltage</t>
  </si>
  <si>
    <t>Minimum high voltage</t>
  </si>
  <si>
    <t>Maximum zener diode leakage current</t>
  </si>
  <si>
    <t>Maximum tap voltage</t>
  </si>
  <si>
    <t>Minimum tap voltage</t>
  </si>
  <si>
    <t>Resistor ratio required</t>
  </si>
  <si>
    <t>X zener leakage current minimum</t>
  </si>
  <si>
    <t>minimum current</t>
  </si>
  <si>
    <t>tolerance</t>
  </si>
  <si>
    <t>voltage rating</t>
  </si>
  <si>
    <t>resistance</t>
  </si>
  <si>
    <t>Rh individual high voltage resistor resistance</t>
  </si>
  <si>
    <t>Rh tolerance percent</t>
  </si>
  <si>
    <t>High volatge resistor Rh</t>
  </si>
  <si>
    <t>Nrh high voltage resistors</t>
  </si>
  <si>
    <t>Nrh x Vrh Total voltage rating</t>
  </si>
  <si>
    <t>Nrh x Vrh / safety factor Operating voltage rating</t>
  </si>
  <si>
    <t>Safety factor</t>
  </si>
  <si>
    <t>Acceptibly large current at minimum high voltage</t>
  </si>
  <si>
    <t>Alter resistance by proportion</t>
  </si>
  <si>
    <t>Low voltage resistor Rl</t>
  </si>
  <si>
    <t>High voltage resistors Acceptible voltage rating</t>
  </si>
  <si>
    <t>Low voltage resistor acceptible voltage rating</t>
  </si>
  <si>
    <t>RL voltage rating</t>
  </si>
  <si>
    <t>RL resistance</t>
  </si>
  <si>
    <t>RL tolerance percent</t>
  </si>
  <si>
    <t>RH total series resistance</t>
  </si>
  <si>
    <t>RH maximum resistance</t>
  </si>
  <si>
    <t>RH minimum resistance</t>
  </si>
  <si>
    <t>Suggested value</t>
  </si>
  <si>
    <t>RL maximum resistance</t>
  </si>
  <si>
    <t>RH tolerance proportion</t>
  </si>
  <si>
    <t>RL minimum resistance</t>
  </si>
  <si>
    <t>Maximum current (at highest high voltage and lowest end of tolerance)</t>
  </si>
  <si>
    <t>Minimum current (at lowest high voltage and highest end of tolerance)</t>
  </si>
  <si>
    <t>Rl power rating</t>
  </si>
  <si>
    <t>Rh power rating</t>
  </si>
  <si>
    <t>P_Rh Maximum power disipation individual high voltage resistor</t>
  </si>
  <si>
    <t>P_RL Maximum power disipation low voltage resistor</t>
  </si>
  <si>
    <t>Rh individual minimum resistance</t>
  </si>
  <si>
    <t>Rh individual maximum resistance</t>
  </si>
  <si>
    <t>Rh power rating acceptible</t>
  </si>
  <si>
    <t>Rh maximum power rating including safety factor</t>
  </si>
  <si>
    <t>Rl power rating acceptible</t>
  </si>
  <si>
    <t>Rl maximum power rating including safety factor</t>
  </si>
  <si>
    <t>Total power loss</t>
  </si>
  <si>
    <t>Resistor part</t>
  </si>
  <si>
    <t>Suitable</t>
  </si>
  <si>
    <t>RN60C1351FB14</t>
  </si>
  <si>
    <t>300v</t>
  </si>
  <si>
    <t>100M</t>
  </si>
  <si>
    <t>MHR0844SA107F70</t>
  </si>
  <si>
    <t>https://www.mouser.co.uk/ProductDetail/Murata-Power-Solutions/MHR0844SA107F70?qs=T3oQrply3y%252Bo2f2KmFIg%2Fg%3D%3D</t>
  </si>
  <si>
    <t>15.8 kV</t>
  </si>
  <si>
    <t>Potential divider calculations</t>
  </si>
  <si>
    <t>Instance name</t>
  </si>
  <si>
    <t>First Stage Voltage Feedback</t>
  </si>
  <si>
    <t>Male Male pin strip</t>
  </si>
  <si>
    <t>Fiber optic transmitter</t>
  </si>
  <si>
    <t>Fiber optic receiver</t>
  </si>
  <si>
    <t>Potential divider lower bias capacitor</t>
  </si>
  <si>
    <t>Potential divider lower leg resistor</t>
  </si>
  <si>
    <t>Potential divider upper leg resistors</t>
  </si>
  <si>
    <t>Zener diode over voltage clamp</t>
  </si>
  <si>
    <t>Period</t>
  </si>
  <si>
    <t>Time taken for V_L to go from maximum to within 0.99 of minimum value</t>
  </si>
  <si>
    <t>N Cycles taken for V_L to go from maximum to within 0.99 of minimum value</t>
  </si>
  <si>
    <t>Time taken for V_L to go from lowest to within 0.99 of maximum value</t>
  </si>
  <si>
    <t>N cycles taken for V_L to go from lowest to within 0.99 of maximum value</t>
  </si>
  <si>
    <t>V_∞min</t>
  </si>
  <si>
    <t>V_∞max</t>
  </si>
  <si>
    <t>Frequency of driver</t>
  </si>
  <si>
    <t>t_99% desired</t>
  </si>
  <si>
    <t>t_99% actual</t>
  </si>
  <si>
    <t>Effective time constant τ for actual capacitor</t>
  </si>
  <si>
    <t>Effective time constant τ desired</t>
  </si>
  <si>
    <t>Actual lower leg capacitance</t>
  </si>
  <si>
    <t>Suggested lower leg capacitance</t>
  </si>
  <si>
    <t>Minimum cycles to rise through full voltage range (limited by energy transformer can transfer to capacitor per cycle)</t>
  </si>
  <si>
    <t>Minimum cycles to fall through full voltage range (limited by output current limiting resistance)</t>
  </si>
  <si>
    <t>Minimum transition time</t>
  </si>
  <si>
    <t>C322C271K2G5TA</t>
  </si>
  <si>
    <t>270pf</t>
  </si>
  <si>
    <t>Lower leg capacitor</t>
  </si>
  <si>
    <t>Metal Film Resistors - Through Hole 27K OHM 1/4W 1%</t>
  </si>
  <si>
    <t>MFR-25FRF52-27K</t>
  </si>
  <si>
    <t>https://www.mouser.co.uk/ProductDetail/YAGEO/MFR-25FRF52-27K?qs=sGAEpiMZZMsPqMdJzcrNwiweiCzxKzWLhyrsT9Ty9ww%3D</t>
  </si>
  <si>
    <t xml:space="preserve">Output Voltage Feedback 200Kv </t>
  </si>
  <si>
    <t>Power dissipated at maximum series resistance and high voltage</t>
  </si>
  <si>
    <t>maximum RL to give high enough current</t>
  </si>
  <si>
    <t>Rh minimum individual voltage rating required</t>
  </si>
  <si>
    <t>Rh actual voltage rating</t>
  </si>
  <si>
    <t>resistance required</t>
  </si>
  <si>
    <t>voltage rating of part</t>
  </si>
  <si>
    <t>n parts required minimum</t>
  </si>
  <si>
    <t>safety factor</t>
  </si>
  <si>
    <t>max voltage</t>
  </si>
  <si>
    <t>desired resistance</t>
  </si>
  <si>
    <t>desired resistance M</t>
  </si>
  <si>
    <t>Composite resistor combination finding</t>
  </si>
  <si>
    <t>voltage across each part</t>
  </si>
  <si>
    <t>power dissipation in each part</t>
  </si>
  <si>
    <t>https://www.aliexpress.com/item/1005004279932436.html?pdp_npi=4%40dis%21GBP%21%EF%BF%A11.33%21%EF%BF%A11.33%21%21%2111.82%2111.82%21%40211b619a17401876960841815eaddb%2112000035453859120%21sh%21UK%214911257576%21X&amp;spm=a2g0o.store_pc_allItems_or_groupList.new_all_items_2007602645286.1005004279932436</t>
  </si>
  <si>
    <t>1G</t>
  </si>
  <si>
    <t>unit price</t>
  </si>
  <si>
    <t>total price</t>
  </si>
  <si>
    <t>part power rating</t>
  </si>
  <si>
    <t>3.5W</t>
  </si>
  <si>
    <t>unit length mm</t>
  </si>
  <si>
    <t>part number</t>
  </si>
  <si>
    <t>HVR82MY5010 1GF (1% version)</t>
  </si>
  <si>
    <t>actual number of parts using</t>
  </si>
  <si>
    <t>HVR82MY5010 1GF</t>
  </si>
  <si>
    <t>Voltage Feedback Board</t>
  </si>
  <si>
    <t>Villard First Stage Potential Divider</t>
  </si>
  <si>
    <t>200KV Villard Output Voltage</t>
  </si>
  <si>
    <t>https://www.aliexpress.com/item/1005004279932436.html?pdp_npi=4%40dis%21GBP%21%EF%BF%A11.33%21%EF%BF%A11.33%21%21%2111.82%2111.82%21%40211b619a17401876960841815eaddb%2112000035453859120%21sh%21UK%214911257576%21X&amp;spm=a2g0o.store_pc_allItems</t>
  </si>
  <si>
    <t>1G ohm</t>
  </si>
  <si>
    <t>25kv</t>
  </si>
  <si>
    <t>3.5w</t>
  </si>
  <si>
    <t>Alibaba: twjohm</t>
  </si>
  <si>
    <t>HVR82MY5010 100MF 1%</t>
  </si>
  <si>
    <t>HVR82MY5010 1GF 1%</t>
  </si>
  <si>
    <t>HVR82MY5010 100MF (1% version)</t>
  </si>
  <si>
    <t>https://www.aliexpress.com/item/1005003776755496.html?spm=a2g0o.cart.0.0.26a938da5L2xoV&amp;mp=1&amp;pdp_npi=5%40dis%21GBP%21GBP%204.08%21GBP%203.73%21%21%21%21%21%40211b612517403184808552682e86dc%2112000027127775987%21ct%21UK%214911257576%21%211%210</t>
  </si>
  <si>
    <t>M2 standoffs kit</t>
  </si>
  <si>
    <t>https://www.trentplastics.co.uk/product/clear-acrylic-tube/</t>
  </si>
  <si>
    <t>200x5x190x1000</t>
  </si>
  <si>
    <t>3mm</t>
  </si>
  <si>
    <t>200K</t>
  </si>
  <si>
    <t>https://www.aliexpress.com/item/1005006754784195.html?spm=a2g0o.cart.0.0.322938daTrlqB9&amp;mp=1&amp;pdp_npi=5%40dis%21GBP%21GBP%204.14%21GBP%204.14%21%21%21%21%21%4021038df617417047619325936ee264%2112000038195597222%21ct%21UK%214911257576%21%211%210</t>
  </si>
  <si>
    <t>https://www.aliexpress.com/item/1005007549969044.html?spm=a2g0o.cart.0.0.322938daTrlqB9&amp;mp=1&amp;pdp_npi=5%40dis%21GBP%21GBP%209.36%21GBP%203.10%21%21%21%21%21%4021038df617417047619325936ee264%2112000041255827313%21ct%21UK%214911257576%21%211%210</t>
  </si>
  <si>
    <t>Include (green)</t>
  </si>
  <si>
    <t>Mouser</t>
  </si>
  <si>
    <t>Power Inductors - SMD 22uH Shld 20% 28A 2.86mOhms AECQ2</t>
  </si>
  <si>
    <t>SER2918H-223KL</t>
  </si>
  <si>
    <t>994-SER2918H-223KL</t>
  </si>
  <si>
    <t>FH-320-NV</t>
  </si>
  <si>
    <t>Fuse Holder Accessories Fuse Holder,Black,5X20 Fuse</t>
  </si>
  <si>
    <t>https://www.mouser.co.uk/ProductDetail/Essentra/FH-320-NV?qs=PzGy0jfpSMtU9GQhdYJRvA%3D%3D</t>
  </si>
  <si>
    <t>144-FH-320-NV</t>
  </si>
  <si>
    <t>https://www.mouser.co.uk/ProductDetail/Wakefield-Thermal/647-25ABPE?qs=1%252ByrAFyf4wEF4vm1j%252Byz0w%3D%3D</t>
  </si>
  <si>
    <t>Heat Sinks High Performance Heat Sink for Vertical Board Mounting for TO-220, 63.5mm Height</t>
  </si>
  <si>
    <t>EKYB101ELL102MM40S</t>
  </si>
  <si>
    <t>Aluminium Electrolytic Capacitors - Radial Leaded 100VDC 1000uF Tol 20% 18x40mm</t>
  </si>
  <si>
    <t>https://www.mouser.co.uk/ProductDetail/Chemi-Con/EKYB101ELL102MM40S?qs=IYueExuAvkrcoErCvSFiXg%3D%3D</t>
  </si>
  <si>
    <t>661-EKYB101E102MM40S</t>
  </si>
  <si>
    <t>1N4148</t>
  </si>
  <si>
    <t>/</t>
  </si>
  <si>
    <t>Mineral oil volume</t>
  </si>
  <si>
    <t>OD tube</t>
  </si>
  <si>
    <t>ID tube</t>
  </si>
  <si>
    <t>Height tube</t>
  </si>
  <si>
    <t>m^3</t>
  </si>
  <si>
    <t>m</t>
  </si>
  <si>
    <t>Density</t>
  </si>
  <si>
    <t>kg/m^3</t>
  </si>
  <si>
    <t>Bending moment about base when on side filled supported at base</t>
  </si>
  <si>
    <t>Mass of mineral oil</t>
  </si>
  <si>
    <t>Minimum distance between vessel base bolts</t>
  </si>
  <si>
    <t>Maximum bending moment on bolt</t>
  </si>
  <si>
    <t>Required bolt tensile strength</t>
  </si>
  <si>
    <t>N</t>
  </si>
  <si>
    <t>σ_nylon</t>
  </si>
  <si>
    <t>m^2</t>
  </si>
  <si>
    <t>Required Tensile stress diameter</t>
  </si>
  <si>
    <t>Required bolt tensile stress area</t>
  </si>
  <si>
    <t>HVPSController2</t>
  </si>
  <si>
    <t>Reference</t>
  </si>
  <si>
    <t>C1</t>
  </si>
  <si>
    <t>C2</t>
  </si>
  <si>
    <t>C3</t>
  </si>
  <si>
    <t>C4</t>
  </si>
  <si>
    <t>C5</t>
  </si>
  <si>
    <t>C6</t>
  </si>
  <si>
    <t>C7</t>
  </si>
  <si>
    <t>C8</t>
  </si>
  <si>
    <t>C9</t>
  </si>
  <si>
    <t>C10</t>
  </si>
  <si>
    <t>C11</t>
  </si>
  <si>
    <t>C12</t>
  </si>
  <si>
    <t>C13</t>
  </si>
  <si>
    <t>C14</t>
  </si>
  <si>
    <t>C15</t>
  </si>
  <si>
    <t>C16</t>
  </si>
  <si>
    <t>C17</t>
  </si>
  <si>
    <t>C18</t>
  </si>
  <si>
    <t>C19</t>
  </si>
  <si>
    <t>C20</t>
  </si>
  <si>
    <t>C21</t>
  </si>
  <si>
    <t>C22</t>
  </si>
  <si>
    <t>C23</t>
  </si>
  <si>
    <t>C24</t>
  </si>
  <si>
    <t>C25</t>
  </si>
  <si>
    <t>C26</t>
  </si>
  <si>
    <t>C27</t>
  </si>
  <si>
    <t>C28</t>
  </si>
  <si>
    <t>C29</t>
  </si>
  <si>
    <t>C30</t>
  </si>
  <si>
    <t>C31</t>
  </si>
  <si>
    <t>C32</t>
  </si>
  <si>
    <t>C33</t>
  </si>
  <si>
    <t>C34</t>
  </si>
  <si>
    <t>C35</t>
  </si>
  <si>
    <t>C36</t>
  </si>
  <si>
    <t>C37</t>
  </si>
  <si>
    <t>C38</t>
  </si>
  <si>
    <t>C39</t>
  </si>
  <si>
    <t>C40</t>
  </si>
  <si>
    <t>C41</t>
  </si>
  <si>
    <t>C42</t>
  </si>
  <si>
    <t>C43</t>
  </si>
  <si>
    <t>C44</t>
  </si>
  <si>
    <t>C45</t>
  </si>
  <si>
    <t>C46</t>
  </si>
  <si>
    <t>C47</t>
  </si>
  <si>
    <t>C48</t>
  </si>
  <si>
    <t>C49</t>
  </si>
  <si>
    <t>C50</t>
  </si>
  <si>
    <t>C51</t>
  </si>
  <si>
    <t>C52</t>
  </si>
  <si>
    <t>C53</t>
  </si>
  <si>
    <t>C54</t>
  </si>
  <si>
    <t>C55</t>
  </si>
  <si>
    <t>C56</t>
  </si>
  <si>
    <t>C57</t>
  </si>
  <si>
    <t>C58</t>
  </si>
  <si>
    <t>C59</t>
  </si>
  <si>
    <t>C60</t>
  </si>
  <si>
    <t>C61</t>
  </si>
  <si>
    <t>C62</t>
  </si>
  <si>
    <t>C63</t>
  </si>
  <si>
    <t>C64</t>
  </si>
  <si>
    <t>C65</t>
  </si>
  <si>
    <t>C66</t>
  </si>
  <si>
    <t>C67</t>
  </si>
  <si>
    <t>C68</t>
  </si>
  <si>
    <t>C69</t>
  </si>
  <si>
    <t>C70</t>
  </si>
  <si>
    <t>C71</t>
  </si>
  <si>
    <t>C72</t>
  </si>
  <si>
    <t>C73</t>
  </si>
  <si>
    <t>C74</t>
  </si>
  <si>
    <t>C75</t>
  </si>
  <si>
    <t>C76</t>
  </si>
  <si>
    <t>C77</t>
  </si>
  <si>
    <t>C78</t>
  </si>
  <si>
    <t>D1</t>
  </si>
  <si>
    <t>D2</t>
  </si>
  <si>
    <t>D3</t>
  </si>
  <si>
    <t>D4</t>
  </si>
  <si>
    <t>D5</t>
  </si>
  <si>
    <t>D6</t>
  </si>
  <si>
    <t>D7</t>
  </si>
  <si>
    <t>D8</t>
  </si>
  <si>
    <t>D9</t>
  </si>
  <si>
    <t>D10</t>
  </si>
  <si>
    <t>D11</t>
  </si>
  <si>
    <t>D12</t>
  </si>
  <si>
    <t>D13</t>
  </si>
  <si>
    <t>D14</t>
  </si>
  <si>
    <t>D15</t>
  </si>
  <si>
    <t>D16</t>
  </si>
  <si>
    <t>F1</t>
  </si>
  <si>
    <t>H1</t>
  </si>
  <si>
    <t>H2</t>
  </si>
  <si>
    <t>H3</t>
  </si>
  <si>
    <t>H4</t>
  </si>
  <si>
    <t>J11</t>
  </si>
  <si>
    <t>J1</t>
  </si>
  <si>
    <t>J2</t>
  </si>
  <si>
    <t>J3</t>
  </si>
  <si>
    <t>J4</t>
  </si>
  <si>
    <t>J5</t>
  </si>
  <si>
    <t>J6</t>
  </si>
  <si>
    <t>J7</t>
  </si>
  <si>
    <t>J8</t>
  </si>
  <si>
    <t>J9</t>
  </si>
  <si>
    <t>J10</t>
  </si>
  <si>
    <t>J12</t>
  </si>
  <si>
    <t>J13</t>
  </si>
  <si>
    <t>J14</t>
  </si>
  <si>
    <t>J15</t>
  </si>
  <si>
    <t>J16</t>
  </si>
  <si>
    <t>J17</t>
  </si>
  <si>
    <t>J18</t>
  </si>
  <si>
    <t>J19</t>
  </si>
  <si>
    <t>J20</t>
  </si>
  <si>
    <t>J21</t>
  </si>
  <si>
    <t>J22</t>
  </si>
  <si>
    <t>J23</t>
  </si>
  <si>
    <t>J24</t>
  </si>
  <si>
    <t>J25</t>
  </si>
  <si>
    <t>J26</t>
  </si>
  <si>
    <t>K1</t>
  </si>
  <si>
    <t>K2</t>
  </si>
  <si>
    <t>K3</t>
  </si>
  <si>
    <t>L1</t>
  </si>
  <si>
    <t>L2</t>
  </si>
  <si>
    <t>L3</t>
  </si>
  <si>
    <t>L4</t>
  </si>
  <si>
    <t>OR1</t>
  </si>
  <si>
    <t>OR2</t>
  </si>
  <si>
    <t>OR3</t>
  </si>
  <si>
    <t>OR4</t>
  </si>
  <si>
    <t>OR5</t>
  </si>
  <si>
    <t>OT1</t>
  </si>
  <si>
    <t>OT2</t>
  </si>
  <si>
    <t>OT3</t>
  </si>
  <si>
    <t>OT4</t>
  </si>
  <si>
    <t>OT5</t>
  </si>
  <si>
    <t>R1</t>
  </si>
  <si>
    <t>R2</t>
  </si>
  <si>
    <t>R3</t>
  </si>
  <si>
    <t>R4</t>
  </si>
  <si>
    <t>R5</t>
  </si>
  <si>
    <t>R6</t>
  </si>
  <si>
    <t>R7</t>
  </si>
  <si>
    <t>R8</t>
  </si>
  <si>
    <t>R9</t>
  </si>
  <si>
    <t>R10</t>
  </si>
  <si>
    <t>R11</t>
  </si>
  <si>
    <t>R12</t>
  </si>
  <si>
    <t>R13</t>
  </si>
  <si>
    <t>R14</t>
  </si>
  <si>
    <t>R15</t>
  </si>
  <si>
    <t>R16</t>
  </si>
  <si>
    <t>R17</t>
  </si>
  <si>
    <t>R18</t>
  </si>
  <si>
    <t>R19</t>
  </si>
  <si>
    <t>R20</t>
  </si>
  <si>
    <t>R21</t>
  </si>
  <si>
    <t>R22</t>
  </si>
  <si>
    <t>R23</t>
  </si>
  <si>
    <t>R24</t>
  </si>
  <si>
    <t>R25</t>
  </si>
  <si>
    <t>R26</t>
  </si>
  <si>
    <t>R27</t>
  </si>
  <si>
    <t>R28</t>
  </si>
  <si>
    <t>R29</t>
  </si>
  <si>
    <t>R30</t>
  </si>
  <si>
    <t>R31</t>
  </si>
  <si>
    <t>R32</t>
  </si>
  <si>
    <t>R33</t>
  </si>
  <si>
    <t>R34</t>
  </si>
  <si>
    <t>R35</t>
  </si>
  <si>
    <t>RV1</t>
  </si>
  <si>
    <t>RV2</t>
  </si>
  <si>
    <t>RV3</t>
  </si>
  <si>
    <t>S1</t>
  </si>
  <si>
    <t>S2</t>
  </si>
  <si>
    <t>T1</t>
  </si>
  <si>
    <t>U1</t>
  </si>
  <si>
    <t>U2</t>
  </si>
  <si>
    <t>U3</t>
  </si>
  <si>
    <t>U4</t>
  </si>
  <si>
    <t>U5</t>
  </si>
  <si>
    <t>U6</t>
  </si>
  <si>
    <t>U7</t>
  </si>
  <si>
    <t>U8</t>
  </si>
  <si>
    <t>U9</t>
  </si>
  <si>
    <t>U10</t>
  </si>
  <si>
    <t>U11</t>
  </si>
  <si>
    <t>U12</t>
  </si>
  <si>
    <t>U13</t>
  </si>
  <si>
    <t>U14</t>
  </si>
  <si>
    <t>U15</t>
  </si>
  <si>
    <t>U16</t>
  </si>
  <si>
    <t>U17</t>
  </si>
  <si>
    <t>U18</t>
  </si>
  <si>
    <t>U19</t>
  </si>
  <si>
    <t>U20</t>
  </si>
  <si>
    <t>U21</t>
  </si>
  <si>
    <t>U22</t>
  </si>
  <si>
    <t>U23</t>
  </si>
  <si>
    <t>U24</t>
  </si>
  <si>
    <t>U25</t>
  </si>
  <si>
    <t>U26</t>
  </si>
  <si>
    <t>U27</t>
  </si>
  <si>
    <t xml:space="preserve">1000uF </t>
  </si>
  <si>
    <t>100v</t>
  </si>
  <si>
    <t>18x40mm</t>
  </si>
  <si>
    <t>100W33RJ</t>
  </si>
  <si>
    <t>https://www.aliexpress.com/item/1005003628962029.html?spm=a2g0o.cart.0.0.777738daA2R03f&amp;mp=1&amp;pdp_npi=6%40dis%21GBP%21GBP%201.31%21GBP%201.31%21%21GBP%201.31%21%21%21%40210385db17695734898988383e20dc%2112000031209925049%21ct%21UK%214911257576%21%211%210%21&amp;pdp_ext_f=%7B%22cart2PdpParams%22%3A%7B%22pdpBusinessMode%22%3A%22retail%22%7D%7D</t>
  </si>
  <si>
    <t>?</t>
  </si>
  <si>
    <t>100W high power winding resistor 33R Ohm 5% aluminum shell resistor</t>
  </si>
  <si>
    <t>100w</t>
  </si>
  <si>
    <t>33Ω</t>
  </si>
  <si>
    <t>twjohm</t>
  </si>
  <si>
    <t>￡1.31</t>
  </si>
  <si>
    <t>100nF</t>
  </si>
  <si>
    <t>https://www.aliexpress.com/item/1005002290441861.html?spm=a2g0o.productlist.main.3.1c6e8rMv8rMvXl&amp;algo_pvid=92e603b0-9e25-4afc-b559-70c7fd8f94e8&amp;algo_exp_id=92e603b0-9e25-4afc-b559-70c7fd8f94e8-2&amp;pdp_ext_f=%7B%22order%22%3A%22733%22%2C%22spu_best_type%22%3A%22price%22%2C%22eval%22%3A%221%22%2C%22fromPage%22%3A%22search%22%7D&amp;pdp_npi=6%40dis%21GBP%210.88%210.88%21%21%211.18%211.18%21%402103956b17695741035686648e29ea%2112000020462004307%21sea%21UK%214911257576%21X%211%210%21n_tag%3A-29919%3Bd%3A38df781%3Bm03_new_user%3A-29895&amp;curPageLogUid=F0H9fgmOu6Th&amp;utparam-url=scene%3Asearch%7Cquery_from%3A%7Cx_object_id%3A1005002290441861%7C_p_origin_prod%3A</t>
  </si>
  <si>
    <t>Multilayer ceramic capacitor 50V 100nF capacitor</t>
  </si>
  <si>
    <t>Electronkit Official Store</t>
  </si>
  <si>
    <t>https://www.aliexpress.com/item/1005002290441861.html?spm=a2g0o.cart.0.0.540f38daATDCsh&amp;mp=1&amp;pdp_npi=6%40dis%21GBP%21GBP%200.88%21GBP%200.88%21%21GBP%200.88%21%21%21%40211b876e17695746980225415e1e12%2112000019940256022%21ct%21UK%214911257576%21%211%210%21</t>
  </si>
  <si>
    <t>Multilayer ceramic capacitor 50V 30pF capacitor</t>
  </si>
  <si>
    <t>300 30pF</t>
  </si>
  <si>
    <t>104 100nF</t>
  </si>
  <si>
    <t>104 100nF MMLC capacitor</t>
  </si>
  <si>
    <t>300 30oF NNKC capacitor</t>
  </si>
  <si>
    <t>30pF</t>
  </si>
  <si>
    <t>1000uF</t>
  </si>
  <si>
    <t>ECA-1JM102</t>
  </si>
  <si>
    <t>https://www.mouser.co.uk/ProductDetail/Panasonic/ECA-1JM102?qs=EZwXiknEaqTHw%252BmBjjudqg%3D%3D</t>
  </si>
  <si>
    <t>Aluminium Electrolytic Capacitors - Radial Leaded 1000uF 63V</t>
  </si>
  <si>
    <t>63v</t>
  </si>
  <si>
    <t>667-ECA-1JM102</t>
  </si>
  <si>
    <t>UPW1E471MPD6TA</t>
  </si>
  <si>
    <t>https://www.mouser.co.uk/ProductDetail/Nichicon/UPW1E471MPD6TA?qs=%252Bj3bNAeznFUL2kyej8zyGg%3D%3D</t>
  </si>
  <si>
    <t>Aluminium Electrolytic Capacitors - Radial Leaded 470uF 20% 25V AEC-Q200</t>
  </si>
  <si>
    <t>470uF</t>
  </si>
  <si>
    <t>25v</t>
  </si>
  <si>
    <t>647-UPW1E471MPD6TA</t>
  </si>
  <si>
    <t>Multilayer Ceramic Capacitors MLCC - Leaded 100V 0.1uF X7R Long Leads 1"min 10% A 581-SR211C104KARTR1</t>
  </si>
  <si>
    <t>SR211C104KAATR1</t>
  </si>
  <si>
    <t>https://www.mouser.co.uk/ProductDetail/KYOCERA-AVX/SR211C104KAATR1?qs=sGAEpiMZZMvsSlwiRhF8qvcZFLKdtpl4z1Dx0c%252BnWlY%3D</t>
  </si>
  <si>
    <t>581-SR211C104KAATR1</t>
  </si>
  <si>
    <t>K103K15X7RF5TK2</t>
  </si>
  <si>
    <t>https://www.mouser.co.uk/ProductDetail/Vishay-BC-Components/K103K15X7RF5TK2?qs=sYfpZ29HcUSZbtKxC8Ci1g%3D%3D</t>
  </si>
  <si>
    <t>Multilayer Ceramic Capacitors MLCC - Leaded .1LS .01UF 50V 10%</t>
  </si>
  <si>
    <t>10nF</t>
  </si>
  <si>
    <t>594-K103K15X7RF5TK2</t>
  </si>
  <si>
    <t>810-FK16X7R1C106K</t>
  </si>
  <si>
    <t>FK16X7R1C106K</t>
  </si>
  <si>
    <t>Multilayer Ceramic Capacitors MLCC - Leaded SUGGESTED ALTERNATE 810-FG16X7R1E106KRT6</t>
  </si>
  <si>
    <t>10uF</t>
  </si>
  <si>
    <t>16v</t>
  </si>
  <si>
    <t>https://www.mouser.co.uk/ProductDetail/TDK/FK16X7R1C106K?qs=zLBlM7QTTNo2fF6bge9DGw%3D%3D</t>
  </si>
  <si>
    <t>https://www.aliexpress.com/item/1005003650061687.html?spm=a2g0o.productlist.main.7.8da5i7Eji7EjaH&amp;algo_pvid=27bd90ce-e53b-4695-a722-6010b3763d6c&amp;algo_exp_id=27bd90ce-e53b-4695-a722-6010b3763d6c-6&amp;pdp_ext_f=%7B%22order%22%3A%22449%22%2C%22spu_best_type%22%3A%22price%22%2C%22eval%22%3A%221%22%2C%22fromPage%22%3A%22search%22%7D&amp;pdp_npi=6%40dis%21GBP%211.38%211.38%21%21%211.85%211.85%21%40211b612817695996300002755e4c81%2112000046162561254%21sea%21UK%214911257576%21X%211%210%21n_tag%3A-29919%3Bd%3A38df781%3Bm03_new_user%3A-29895&amp;curPageLogUid=s6WtrPCaExrJ&amp;utparam-url=scene%3Asearch%7Cquery_from%3A%7Cx_object_id%3A1005003650061687%7C_p_origin_prod%3A#nav-specification</t>
  </si>
  <si>
    <t>68uH</t>
  </si>
  <si>
    <t>Keshy 5PCS 5026 Toroid Inductor 3A Winding Magnetic Inductance 68uH Inductor</t>
  </si>
  <si>
    <t>3A</t>
  </si>
  <si>
    <t>Aliexpress</t>
  </si>
  <si>
    <t>https://www.mouser.co.uk/ProductDetail/Coilcraft/SER2918H-223KL?qs=zCSbvcPd3pbugGZO%2F8SqDw%3D%3D</t>
  </si>
  <si>
    <t>28A</t>
  </si>
  <si>
    <t>Multilayer Ceramic Capacitors MLCC - Leaded RAD 100V 1uF X7R 10% LS:5mm</t>
  </si>
  <si>
    <t>FG26X7R2A105KNT06</t>
  </si>
  <si>
    <t>https://www.mouser.co.uk/ProductDetail/TDK/FG26X7R2A105KNT06?qs=qf2ddTMq67XO0I1H0ed67A%3D%3D</t>
  </si>
  <si>
    <t>810-FG26X7R2A105KNT6</t>
  </si>
  <si>
    <t>1n4148</t>
  </si>
  <si>
    <t>Zener Diodes 3.0 Volt 0.5W 5%</t>
  </si>
  <si>
    <t>https://www.mouser.co.uk/ProductDetail/Vishay-Semiconductors/BZX55C3V0-TR?qs=WLTup5mM6hj0XdtrqBFixA%3D%3D3D</t>
  </si>
  <si>
    <t>BZX55C3V0-TR</t>
  </si>
  <si>
    <t>78-BZX55C3V0</t>
  </si>
  <si>
    <t>SL155C472MAB</t>
  </si>
  <si>
    <t>https://www.mouser.co.uk/ProductDetail/KYOCERA-AVX/SL155C472MAB?qs=sGAEpiMZZMvsSlwiRhF8qqaXG%2FqyeHNlBnneqO%252BRH5mxkDSvEuox%252BQ%3D%3D</t>
  </si>
  <si>
    <t>Multilayer Ceramic Capacitors MLCC - Leaded SKYCAPS</t>
  </si>
  <si>
    <t>4.7uF</t>
  </si>
  <si>
    <t>581-SL155C472MAB</t>
  </si>
  <si>
    <t>1N5822</t>
  </si>
  <si>
    <t>Schottky Diodes &amp; Rectifiers Vr/40V Io/3A BULK</t>
  </si>
  <si>
    <t>https://www.mouser.co.uk/ProductDetail/STMicroelectronics/1N5822?qs=JV7lzlMm3yJ50hlrGV6%252BnQ%3D%3D</t>
  </si>
  <si>
    <t>511-1N5822</t>
  </si>
  <si>
    <t>1N4149</t>
  </si>
  <si>
    <t>Small Signal Switching Diodes Hi Conductance Fast</t>
  </si>
  <si>
    <t>512-1N4149</t>
  </si>
  <si>
    <t>https://www.mouser.co.uk/ProductDetail/onsemi/1N4149?qs=i4Fj9T%2FoRm%2FvLHm7C0TH8w%3D%3D</t>
  </si>
  <si>
    <t>MUR420 R0</t>
  </si>
  <si>
    <t>https://www.mouser.co.uk/ProductDetail/Taiwan-Semiconductor/MUR420-R0?qs=dv9KMQQLqv0Mtply6g8TSg%3D%3D</t>
  </si>
  <si>
    <t>Rectifiers 25ns 4A 200V Ultra F ast Recovery Rect</t>
  </si>
  <si>
    <t>821-MUR420R0</t>
  </si>
  <si>
    <t>647-25ABPE</t>
  </si>
  <si>
    <t>567-647-25ABPE</t>
  </si>
  <si>
    <t>9-55556-0</t>
  </si>
  <si>
    <t>https://eu.mouser.com/ProductDetail/TE-Connectivity/9-55556-0?qs=mJctyx65val65L6gnKaTLA%3D%3D&amp;countryCode=GB&amp;currencyCode=GBP</t>
  </si>
  <si>
    <t>214786-E</t>
  </si>
  <si>
    <t>1-55323-0</t>
  </si>
  <si>
    <t>https://www.mouser.co.uk/ProductDetail/TE-Connectivity/1-55323-0?qs=ZDXmSm13593kmHLkU9RFpw%3D%3D</t>
  </si>
  <si>
    <t>5055323-5</t>
  </si>
  <si>
    <t>https://www.mouser.co.uk/ProductDetail/TE-Connectivity/5055323-5?qs=Y2IUIqUeZibHL7okQXpZvA%3D%3D</t>
  </si>
  <si>
    <t>https://www.aliexpress.com/item/1005008932232226.html?spm=a2g0o.imagesearchproductlist.main.8.4734qECIqECI2O&amp;algo_pvid=9f160064-ec10-40a7-a58f-470970fdb23b&amp;algo_exp_id=9f160064-ec10-40a7-a58f-470970fdb23b&amp;pdp_ext_f=%7B%22order%22%3A%22-1%22%2C%22fromPage%22%3A%22search%22%7D&amp;pdp_npi=6%40dis%21GBP%213.89%213.89%21%21%2136.19%2136.19%21%40211b441e17696825341045042ecbb2%2112000047255165097%21sea%21UK%214911257576%21X%211%210%21n_tag%3A-29919%3Bd%3A38df781%3Bm03_new_user%3A-29895&amp;curPageLogUid=41CHMsdYaM7F&amp;utparam-url=scene%3Aimage_search%7Cquery_from%3Apc_web_image_search%7Cx_object_id%3A1005008932232226%7C_p_origin_prod%3A</t>
  </si>
  <si>
    <t>M4 PCB Screw Terminal 6 Pin in PCB Welding Terminal P/N 7798</t>
  </si>
  <si>
    <t>5PCS PCB 5 Solder Terminals / M6 high current terminal 120A Circuit Board Hardware PCB-5 M6 Connector</t>
  </si>
  <si>
    <t>Screw Terminals</t>
  </si>
  <si>
    <t>https://www.aliexpress.com/item/1005009170628482.html?spm=a2g0o.detail.pcDetailTopMoreOtherSeller.2.b8ea57q857q8Dj&amp;gps-id=pcDetailTopMoreOtherSeller&amp;scm=1007.40050.354490.0&amp;scm_id=1007.40050.354490.0&amp;scm-url=1007.40050.354490.0&amp;pvid=aac114a1-0c60-44eb-8fac-760693bcfba4&amp;_t=gps-id:pcDetailTopMoreOtherSeller,scm-url:1007.40050.354490.0,pvid:aac114a1-0c60-44eb-8fac-760693bcfba4,tpp_buckets:668%232846%238107%231934&amp;pdp_ext_f=%7B%22order%22%3A%223%22%2C%22eval%22%3A%221%22%2C%22sceneId%22%3A%2230050%22%2C%22fromPage%22%3A%22recommend%22%7D&amp;pdp_npi=6%40dis%21GBP%214.43%214.12%21%21%215.94%215.52%21%402103864c17696832870796281ebd76%2112000048185694590%21rec%21UK%214911257576%21X%211%210%21n_tag%3A-29919%3Bd%3A38df781%3Bm03_new_user%3A-29895&amp;utparam-url=scene%3ApcDetailTopMoreOtherSeller%7Cquery_from%3A%7Cx_object_id%3A1005009170628482%7C_p_origin_prod%3A</t>
  </si>
  <si>
    <t>PCB-3 (M4)PCB soldering terminal</t>
  </si>
  <si>
    <t>https://www.aliexpress.com/item/1005007001183779.html?spm=a2g0o.cart.0.0.3f7738daE8N6Kp&amp;mp=1&amp;pdp_npi=6%40dis%21GBP%21GBP%201.34%21GBP%201.27%21%21GBP%201.27%21%21%21%402103985c17696857200332011ea163%2112000039009277917%21ct%21UK%214911257576%21%211%210%21</t>
  </si>
  <si>
    <t>Shenzhen DANTEQI Technology</t>
  </si>
  <si>
    <t>Aliexpress:Shenzhen DANTEQI Technology</t>
  </si>
  <si>
    <t>https://www.aliexpress.com/item/1005009262194204.html?spm=a2g0o.productlist.main.1.1cefmpkDmpkDEd&amp;algo_pvid=3367f602-5b0c-4360-abbb-b35bf062909c&amp;algo_exp_id=3367f602-5b0c-4360-abbb-b35bf062909c-0&amp;pdp_ext_f=%7B%22order%22%3A%224%22%2C%22eval%22%3A%221%22%2C%22fromPage%22%3A%22search%22%7D&amp;pdp_npi=6%40dis%21GBP%210.43%210.32%21%21%214.01%212.97%21%40211b813b17696871744307833ea00b%2112000048521079392%21sea%21UK%214911257576%21X%211%210%21n_tag%3A-29919%3Bd%3A38df781%3Bm03_new_user%3A-29895&amp;curPageLogUid=su5Bbxdvt4nS&amp;utparam-url=scene%3Asearch%7Cquery_from%3A%7Cx_object_id%3A1005009262194204%7C_p_origin_prod%3A</t>
  </si>
  <si>
    <t>10 pin JTAG Connector</t>
  </si>
  <si>
    <t xml:space="preserve">Aliexpress:Stlxy Store
(Trader)
</t>
  </si>
  <si>
    <t xml:space="preserve">Stlxy Store
(Trader)
</t>
  </si>
  <si>
    <t>https://www.aliexpress.com/item/1005008559565009.html?spm=a2g0o.order_list.order_list_main.112.695718020yxBKf</t>
  </si>
  <si>
    <t>8 2.54mm pin strip female</t>
  </si>
  <si>
    <t>https://www.aliexpress.com/item/1005008694962372.html?spm=a2g0o.productlist.main.21.4bd578ecjX2Mfy&amp;algo_pvid=d4474e9c-34a1-4cea-9f2d-c3c77127e37b&amp;algo_exp_id=d4474e9c-34a1-4cea-9f2d-c3c77127e37b-20&amp;pdp_ext_f=%7B%22order%22%3A%22101%22%2C%22eval%22%3A%221%22%2C%22fromPage%22%3A%22search%22%7D&amp;pdp_npi=6%40dis%21GBP%214.54%212.09%21%21%2142.26%2119.46%21%40210384cc17696878885315377e8ec8%2112000046806153631%21sea%21UK%214911257576%21X%211%210%21n_tag%3A-29919%3Bd%3A38df781%3Bm03_new_user%3A-29895%3BpisId%3A5000000199914185&amp;curPageLogUid=cfBDucwPxlF8&amp;utparam-url=scene%3Asearch%7Cquery_from%3A%7Cx_object_id%3A1005008694962372%7C_p_origin_prod%3A</t>
  </si>
  <si>
    <t>4 pin JST XH2.54 female</t>
  </si>
  <si>
    <t>2 pin JST XH2.54 female</t>
  </si>
  <si>
    <t>PCB-1 (M4)PCB soldering terminal</t>
  </si>
  <si>
    <t>5 2.54mm pin strip female</t>
  </si>
  <si>
    <t>AWHSH124D00G</t>
  </si>
  <si>
    <t>General Purpose Relays Commercial RelayRated Carrying Current :15AType of Sealing : Sealed and Waterproof TypeNumber of pole : one poleCoil Voltage : 24VCoil Type : Standard DC CoilContact Form : Form C</t>
  </si>
  <si>
    <t>523-AWHSH124D00G</t>
  </si>
  <si>
    <t>24v</t>
  </si>
  <si>
    <t>15A</t>
  </si>
  <si>
    <t xml:space="preserve"> SRD-05VDC-SL-C</t>
  </si>
  <si>
    <t>5v relay</t>
  </si>
  <si>
    <t>10A</t>
  </si>
  <si>
    <t>DLR2111</t>
  </si>
  <si>
    <t>DLT2111</t>
  </si>
  <si>
    <t>https://www.mouser.co.uk/ProductDetail/YAGEO/MFR50SFTE52-1K33?qs=UFD7vfw3J8osCEB2xFvg0Q%3D%3D</t>
  </si>
  <si>
    <t>Metal Film Resistors - Through Hole 1.33K Ohm 1/2 Wat 1% Miniature Version</t>
  </si>
  <si>
    <t>MFR50SFTE52-1K33</t>
  </si>
  <si>
    <t>603-MFR50SFTE52-1K33</t>
  </si>
  <si>
    <t>Generic 33K 0.25w resistor</t>
  </si>
  <si>
    <t>Generic 0.25w resistor</t>
  </si>
  <si>
    <t>Generic 1K 0.25w resistor</t>
  </si>
  <si>
    <t>Generic 2K 0.25w resistor</t>
  </si>
  <si>
    <t>Generic 10K 0.25w resistor</t>
  </si>
  <si>
    <t>Generic 120K 0.25w resistor</t>
  </si>
  <si>
    <t>22K</t>
  </si>
  <si>
    <t>22K 0.25w resistor</t>
  </si>
  <si>
    <t>Current Sense Resistors - SMD 2W 10 Ohm 1% 100ppm</t>
  </si>
  <si>
    <t>SL2TTED10R0F</t>
  </si>
  <si>
    <t>10Ω</t>
  </si>
  <si>
    <t>2KΩ</t>
  </si>
  <si>
    <t>1KΩ</t>
  </si>
  <si>
    <t>120KΩ</t>
  </si>
  <si>
    <t>10KΩ</t>
  </si>
  <si>
    <t>1.33KΩ</t>
  </si>
  <si>
    <t>33KΩ</t>
  </si>
  <si>
    <t>2w</t>
  </si>
  <si>
    <t>660-SL2TTED10R0F</t>
  </si>
  <si>
    <t>Generic 51 0.25w resistor</t>
  </si>
  <si>
    <t>51Ω</t>
  </si>
  <si>
    <t>Generic 100 0.25w resistor</t>
  </si>
  <si>
    <t>100Ω</t>
  </si>
  <si>
    <t>Generic 6.2 0.25w resistor</t>
  </si>
  <si>
    <t>6.2Ω</t>
  </si>
  <si>
    <t>RV4</t>
  </si>
  <si>
    <t>RV5</t>
  </si>
  <si>
    <t>5KΩ</t>
  </si>
  <si>
    <t>0.5w</t>
  </si>
  <si>
    <t>Generic  5K 0.5w variable resistor</t>
  </si>
  <si>
    <t>Generic 0.5w variable resistor</t>
  </si>
  <si>
    <t>Generic  10K 0.5w variable resistor</t>
  </si>
  <si>
    <t>https://www.aliexpress.com/item/1005006681081490.html?spm=a2g0o.productlist.main.2.116e5a3dkeBTWT&amp;algo_pvid=a3475d4c-764c-43c0-a63a-65af0325a99e&amp;algo_exp_id=a3475d4c-764c-43c0-a63a-65af0325a99e-1&amp;pdp_ext_f=%7B%22order%22%3A%2237%22%2C%22spu_best_type%22%3A%22service%22%2C%22eval%22%3A%221%22%2C%22fromPage%22%3A%22search%22%7D&amp;pdp_npi=6%40dis%21GBP%211.82%211.19%21%21%2116.88%2111.04%21%40211b80e117698400426915867e9347%2112000038000554739%21sea%21UK%214911257576%21X%211%210%21n_tag%3A-29919%3Bd%3A38df781%3Bm03_new_user%3A-29895&amp;curPageLogUid=VRNyfdPBS8Pf&amp;utparam-url=scene%3Asearch%7Cquery_from%3A%7Cx_object_id%3A1005006681081490%7C_p_origin_prod%3A</t>
  </si>
  <si>
    <t>Generic 30K 0.5w variable resistor</t>
  </si>
  <si>
    <t>Generic  30K 0.5w variable resistor</t>
  </si>
  <si>
    <t>30KΩ</t>
  </si>
  <si>
    <t>SLW-1678105-6A-N-D</t>
  </si>
  <si>
    <t>179-SLW16781056AND</t>
  </si>
  <si>
    <t>https://uk.mouser.com/ProductDetail/Same-Sky/SLW-1678105-6A-N-D?qs=IKkN%2F947nfCWfuHPg7jcWw%3D%3D&amp;utm_id=23236092148&amp;utm_source=google&amp;utm_medium=cpc&amp;utm_marketing_tactic=emeacorp&amp;gad_source=1&amp;gad_campaignid=23231937965&amp;gbraid=0AAAAADn_wf34HIBobKPmmM31UfztW_7ox&amp;gclid=Cj0KCQiAkPzLBhD4ARIsAGfah8jN4I235KrSVyM_nt0YQaNvNH0gaD4rn-i-P06pZFi9sTwpn--0H1waAjc9EALw_wcB</t>
  </si>
  <si>
    <t>CST2020-200L</t>
  </si>
  <si>
    <t>200:1 current transformer</t>
  </si>
  <si>
    <t>CoilCraft</t>
  </si>
  <si>
    <t>https://www.coilcraft.com/en-us/products/transformers/power-transformers/current-sensing/cst2020/cst2020-200l/?srsltid=AfmBOopIh5XroH3DbMZZ7wBeaNkMRH6IJqVoqDL4aVMxHAmLDTLoe6sg</t>
  </si>
  <si>
    <t>2N7000</t>
  </si>
  <si>
    <t>https://www.aliexpress.com/item/1005008216457372.html?spm=a2g0o.order_detail.order_detail_item.3.5ee5f19cFwkSvQ</t>
  </si>
  <si>
    <t>ESP32</t>
  </si>
  <si>
    <t xml:space="preserve"> ESP32 Development CP2102 Board WiFi+Bluetooth</t>
  </si>
  <si>
    <t>https://www.aliexpress.com/item/1005010771301622.html?spm=a2g0o.productlist.main.1.452f5199x6OJN0&amp;algo_pvid=e11cd43a-39ff-473d-8b48-655982b9b03f&amp;algo_exp_id=e11cd43a-39ff-473d-8b48-655982b9b03f-0&amp;pdp_ext_f=%7B%22order%22%3A%22-1%22%2C%22eval%22%3A%221%22%2C%22fromPage%22%3A%22search%22%7D&amp;pdp_npi=6%40dis%21GBP%213.34%213.34%21%21%2130.95%2130.95%21%40210384b217699486057074054e78c9%2112000053459588991%21sea%21UK%214911257576%21X%211%210%21n_tag%3A-29919%3Bd%3A38df781%3Bm03_new_user%3A-29895&amp;curPageLogUid=bhGa5rS273EV&amp;utparam-url=scene%3Asearch%7Cquery_from%3A%7Cx_object_id%3A1005010771301622%7C_p_origin_prod%3A</t>
  </si>
  <si>
    <t>LM2956HVT-ADJ</t>
  </si>
  <si>
    <t>LM2956HVT-ADJ adjustable regulator</t>
  </si>
  <si>
    <t>https://www.aliexpress.com/ssr/300000512/BundleDeals2?spm=a2g0o.productlist.main.1.13352e91TMLlHu&amp;productIds=4000190314199:10000000710306628&amp;pha_manifest=ssr&amp;_immersiveMode=true&amp;disableNav=YES&amp;sourceName=SEARCHProduct&amp;utparam-url=scene%3Asearch%7Cquery_from%3A%7Cx_object_id%3A4000190314199%7C_p_origin_prod%3A&amp;pvid=97eb60f0-54a8-4618-8275-8e6fca0512ce</t>
  </si>
  <si>
    <t>H5</t>
  </si>
  <si>
    <t>TO-220 Cooling Radiator Aluminum Sheet</t>
  </si>
  <si>
    <t>H6</t>
  </si>
  <si>
    <t>H7</t>
  </si>
  <si>
    <t>https://www.mouser.co.uk/ProductDetail/Texas-Instruments/LM4040A20IDBZR?qs=VBduBm9rCJS7ix0kTeCDJA%3D%3D</t>
  </si>
  <si>
    <t>LM4040A20IDBZR</t>
  </si>
  <si>
    <t>LM4040A20IDBZR 2.048v reference</t>
  </si>
  <si>
    <t>595-LM4040A20IDBZR</t>
  </si>
  <si>
    <t>2.048v</t>
  </si>
  <si>
    <t>0.l%</t>
  </si>
  <si>
    <t>https://www.mouser.co.uk/ProductDetail/Analog-Devices/AD7822BNZ?qs=%2FtpEQrCGXCyXv71BkCSjyQ%3D%3D</t>
  </si>
  <si>
    <t>AD7822BNZ</t>
  </si>
  <si>
    <t>584-AD7822BNZ</t>
  </si>
  <si>
    <t>WS2812D</t>
  </si>
  <si>
    <t>Programmable RGB LED</t>
  </si>
  <si>
    <t>https://www.aliexpress.com/item/1005005871456289.html?spm=a2g0o.order_list.order_list_main.167.7f241802X7yGNh</t>
  </si>
  <si>
    <t>￡4.12</t>
  </si>
  <si>
    <t>EP4CE6E22C8N_FPGA_Development_Board</t>
  </si>
  <si>
    <t>https://www.mouser.co.uk/ProductDetail/IXYS/IXFP60N25X3?qs=5aG0NVq1C4yTnBULxG9HTw%3D%3D</t>
  </si>
  <si>
    <t>MOSFETs 250V/60A Ultra Junct ion X3-Class MOSFET</t>
  </si>
  <si>
    <t>IXFP60N25X3</t>
  </si>
  <si>
    <t>747-IXFP60N25X3</t>
  </si>
  <si>
    <t>IR2010PBF</t>
  </si>
  <si>
    <t>IR2010PBF high low gate driver</t>
  </si>
  <si>
    <t>942-IR2010PBF</t>
  </si>
  <si>
    <t>https://www.mouser.co.uk/ProductDetail/Infineon-Technologies/IR2010PBF?qs=2r01AXMCG3OJtVSU%2F%252BPmvA%3D%3D</t>
  </si>
  <si>
    <t>Ordered</t>
  </si>
  <si>
    <t>[</t>
  </si>
  <si>
    <t>[/]</t>
  </si>
  <si>
    <t>[?]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</si>
</sst>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8" formatCode="&quot;£&quot;#,##0.00;[Red]\-&quot;£&quot;#,##0.00"/>
  </numFmts>
  <fonts count="22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theme="1"/>
      <name val="Calibri"/>
      <family val="2"/>
      <scheme val="minor"/>
    </font>
    <font>
      <u/>
      <sz val="10"/>
      <color theme="10"/>
      <name val="Calibri"/>
      <family val="2"/>
      <scheme val="minor"/>
    </font>
    <font>
      <i/>
      <u/>
      <sz val="10"/>
      <name val="Calibri"/>
      <family val="2"/>
      <scheme val="minor"/>
    </font>
    <font>
      <b/>
      <sz val="12"/>
      <color theme="1"/>
      <name val="Calibri"/>
      <family val="2"/>
      <scheme val="minor"/>
    </font>
    <font>
      <i/>
      <sz val="10"/>
      <name val="Calibri"/>
      <family val="2"/>
      <scheme val="minor"/>
    </font>
    <font>
      <sz val="23"/>
      <color theme="1"/>
      <name val="Arial"/>
      <family val="2"/>
    </font>
    <font>
      <sz val="1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u/>
      <sz val="10"/>
      <color theme="1"/>
      <name val="Calibri"/>
      <family val="2"/>
      <scheme val="minor"/>
    </font>
    <font>
      <b/>
      <i/>
      <u/>
      <sz val="10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color rgb="FF333333"/>
      <name val="Calibri"/>
      <family val="2"/>
      <scheme val="minor"/>
    </font>
    <font>
      <sz val="10"/>
      <color rgb="FF393939"/>
      <name val="Calibri"/>
      <family val="2"/>
      <scheme val="minor"/>
    </font>
    <font>
      <sz val="17"/>
      <color rgb="FF9D1F5F"/>
      <name val="Arial"/>
      <family val="2"/>
    </font>
    <font>
      <b/>
      <i/>
      <u/>
      <sz val="10"/>
      <color theme="1"/>
      <name val="Calibri"/>
      <family val="2"/>
      <scheme val="minor"/>
    </font>
    <font>
      <sz val="10"/>
      <color rgb="FF333333"/>
      <name val="Arial"/>
      <family val="2"/>
    </font>
    <font>
      <sz val="9"/>
      <color rgb="FF333333"/>
      <name val="Arial"/>
      <family val="2"/>
    </font>
    <font>
      <sz val="10"/>
      <color rgb="FF00B050"/>
      <name val="Calibri"/>
      <family val="2"/>
      <scheme val="minor"/>
    </font>
    <font>
      <u/>
      <sz val="11"/>
      <color theme="1"/>
      <name val="Calibri"/>
      <family val="2"/>
      <scheme val="minor"/>
    </font>
    <font>
      <sz val="11"/>
      <color rgb="FF000000"/>
      <name val="Arial"/>
      <family val="2"/>
    </font>
  </fonts>
  <fills count="24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-0.249977111117893"/>
        <bgColor indexed="64"/>
      </patternFill>
    </fill>
  </fills>
  <borders count="24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87">
    <xf numFmtId="0" fontId="0" fillId="0" borderId="0" xfId="0"/>
    <xf numFmtId="0" fontId="2" fillId="0" borderId="0" xfId="0" applyFont="1" applyAlignment="1">
      <alignment horizontal="left" vertical="top" readingOrder="1"/>
    </xf>
    <xf numFmtId="0" fontId="2" fillId="11" borderId="0" xfId="0" applyFont="1" applyFill="1" applyAlignment="1">
      <alignment horizontal="left" vertical="top" readingOrder="1"/>
    </xf>
    <xf numFmtId="0" fontId="4" fillId="8" borderId="2" xfId="0" applyFont="1" applyFill="1" applyBorder="1" applyAlignment="1">
      <alignment horizontal="left" vertical="top" readingOrder="1"/>
    </xf>
    <xf numFmtId="0" fontId="2" fillId="3" borderId="2" xfId="0" applyFont="1" applyFill="1" applyBorder="1" applyAlignment="1">
      <alignment horizontal="left" vertical="top" readingOrder="1"/>
    </xf>
    <xf numFmtId="0" fontId="2" fillId="8" borderId="2" xfId="0" applyFont="1" applyFill="1" applyBorder="1" applyAlignment="1">
      <alignment horizontal="left" vertical="top" readingOrder="1"/>
    </xf>
    <xf numFmtId="0" fontId="2" fillId="12" borderId="2" xfId="0" applyFont="1" applyFill="1" applyBorder="1" applyAlignment="1">
      <alignment horizontal="left" vertical="top" readingOrder="1"/>
    </xf>
    <xf numFmtId="0" fontId="2" fillId="7" borderId="0" xfId="0" applyFont="1" applyFill="1" applyAlignment="1">
      <alignment horizontal="left" vertical="top" readingOrder="1"/>
    </xf>
    <xf numFmtId="0" fontId="2" fillId="13" borderId="2" xfId="0" applyFont="1" applyFill="1" applyBorder="1" applyAlignment="1">
      <alignment horizontal="left" vertical="top" readingOrder="1"/>
    </xf>
    <xf numFmtId="0" fontId="2" fillId="14" borderId="2" xfId="0" applyFont="1" applyFill="1" applyBorder="1" applyAlignment="1">
      <alignment horizontal="left" vertical="top" readingOrder="1"/>
    </xf>
    <xf numFmtId="0" fontId="2" fillId="5" borderId="2" xfId="0" applyFont="1" applyFill="1" applyBorder="1" applyAlignment="1">
      <alignment horizontal="left" vertical="top" readingOrder="1"/>
    </xf>
    <xf numFmtId="0" fontId="2" fillId="6" borderId="2" xfId="0" applyFont="1" applyFill="1" applyBorder="1" applyAlignment="1">
      <alignment horizontal="left" vertical="top" readingOrder="1"/>
    </xf>
    <xf numFmtId="0" fontId="5" fillId="0" borderId="3" xfId="0" applyFont="1" applyBorder="1" applyAlignment="1">
      <alignment horizontal="left" vertical="center" wrapText="1" readingOrder="1"/>
    </xf>
    <xf numFmtId="0" fontId="2" fillId="15" borderId="2" xfId="0" applyFont="1" applyFill="1" applyBorder="1" applyAlignment="1">
      <alignment horizontal="left" vertical="top" readingOrder="1"/>
    </xf>
    <xf numFmtId="0" fontId="2" fillId="16" borderId="2" xfId="0" applyFont="1" applyFill="1" applyBorder="1" applyAlignment="1">
      <alignment horizontal="left" vertical="top" readingOrder="1"/>
    </xf>
    <xf numFmtId="0" fontId="2" fillId="17" borderId="2" xfId="0" applyFont="1" applyFill="1" applyBorder="1" applyAlignment="1">
      <alignment horizontal="left" vertical="top" readingOrder="1"/>
    </xf>
    <xf numFmtId="0" fontId="2" fillId="10" borderId="2" xfId="0" applyFont="1" applyFill="1" applyBorder="1" applyAlignment="1">
      <alignment horizontal="left" vertical="top" readingOrder="1"/>
    </xf>
    <xf numFmtId="0" fontId="2" fillId="9" borderId="2" xfId="0" applyFont="1" applyFill="1" applyBorder="1" applyAlignment="1">
      <alignment horizontal="left" vertical="top" readingOrder="1"/>
    </xf>
    <xf numFmtId="0" fontId="2" fillId="2" borderId="2" xfId="0" applyFont="1" applyFill="1" applyBorder="1" applyAlignment="1">
      <alignment horizontal="left" vertical="top" readingOrder="1"/>
    </xf>
    <xf numFmtId="0" fontId="2" fillId="4" borderId="2" xfId="0" applyFont="1" applyFill="1" applyBorder="1" applyAlignment="1">
      <alignment horizontal="left" vertical="top" readingOrder="1"/>
    </xf>
    <xf numFmtId="0" fontId="2" fillId="18" borderId="2" xfId="0" applyFont="1" applyFill="1" applyBorder="1" applyAlignment="1">
      <alignment horizontal="left" vertical="top" readingOrder="1"/>
    </xf>
    <xf numFmtId="0" fontId="2" fillId="19" borderId="2" xfId="0" applyFont="1" applyFill="1" applyBorder="1" applyAlignment="1">
      <alignment horizontal="left" vertical="top" readingOrder="1"/>
    </xf>
    <xf numFmtId="0" fontId="2" fillId="4" borderId="6" xfId="0" applyFont="1" applyFill="1" applyBorder="1" applyAlignment="1">
      <alignment horizontal="left" vertical="top" readingOrder="1"/>
    </xf>
    <xf numFmtId="0" fontId="2" fillId="7" borderId="6" xfId="0" applyFont="1" applyFill="1" applyBorder="1" applyAlignment="1">
      <alignment horizontal="left" vertical="top" readingOrder="1"/>
    </xf>
    <xf numFmtId="0" fontId="2" fillId="5" borderId="6" xfId="0" applyFont="1" applyFill="1" applyBorder="1" applyAlignment="1">
      <alignment horizontal="left" vertical="top" readingOrder="1"/>
    </xf>
    <xf numFmtId="0" fontId="2" fillId="13" borderId="6" xfId="0" applyFont="1" applyFill="1" applyBorder="1" applyAlignment="1">
      <alignment horizontal="left" vertical="top" readingOrder="1"/>
    </xf>
    <xf numFmtId="0" fontId="2" fillId="6" borderId="6" xfId="0" applyFont="1" applyFill="1" applyBorder="1" applyAlignment="1">
      <alignment horizontal="left" vertical="top" readingOrder="1"/>
    </xf>
    <xf numFmtId="0" fontId="2" fillId="15" borderId="6" xfId="0" applyFont="1" applyFill="1" applyBorder="1" applyAlignment="1">
      <alignment horizontal="left" vertical="top" readingOrder="1"/>
    </xf>
    <xf numFmtId="0" fontId="2" fillId="16" borderId="6" xfId="0" applyFont="1" applyFill="1" applyBorder="1" applyAlignment="1">
      <alignment horizontal="left" vertical="top" readingOrder="1"/>
    </xf>
    <xf numFmtId="0" fontId="2" fillId="3" borderId="6" xfId="0" applyFont="1" applyFill="1" applyBorder="1" applyAlignment="1">
      <alignment horizontal="left" vertical="top" readingOrder="1"/>
    </xf>
    <xf numFmtId="0" fontId="2" fillId="11" borderId="6" xfId="0" applyFont="1" applyFill="1" applyBorder="1" applyAlignment="1">
      <alignment horizontal="left" vertical="top" readingOrder="1"/>
    </xf>
    <xf numFmtId="0" fontId="2" fillId="8" borderId="6" xfId="0" applyFont="1" applyFill="1" applyBorder="1" applyAlignment="1">
      <alignment horizontal="left" vertical="top" readingOrder="1"/>
    </xf>
    <xf numFmtId="0" fontId="2" fillId="12" borderId="6" xfId="0" applyFont="1" applyFill="1" applyBorder="1" applyAlignment="1">
      <alignment horizontal="left" vertical="top" readingOrder="1"/>
    </xf>
    <xf numFmtId="0" fontId="2" fillId="17" borderId="6" xfId="0" applyFont="1" applyFill="1" applyBorder="1" applyAlignment="1">
      <alignment horizontal="left" vertical="top" readingOrder="1"/>
    </xf>
    <xf numFmtId="0" fontId="2" fillId="9" borderId="6" xfId="0" applyFont="1" applyFill="1" applyBorder="1" applyAlignment="1">
      <alignment horizontal="left" vertical="top" readingOrder="1"/>
    </xf>
    <xf numFmtId="0" fontId="2" fillId="10" borderId="6" xfId="0" applyFont="1" applyFill="1" applyBorder="1" applyAlignment="1">
      <alignment horizontal="left" vertical="top" readingOrder="1"/>
    </xf>
    <xf numFmtId="0" fontId="2" fillId="19" borderId="6" xfId="0" applyFont="1" applyFill="1" applyBorder="1" applyAlignment="1">
      <alignment horizontal="left" vertical="top" readingOrder="1"/>
    </xf>
    <xf numFmtId="0" fontId="2" fillId="18" borderId="6" xfId="0" applyFont="1" applyFill="1" applyBorder="1" applyAlignment="1">
      <alignment horizontal="left" vertical="top" readingOrder="1"/>
    </xf>
    <xf numFmtId="0" fontId="2" fillId="2" borderId="6" xfId="0" applyFont="1" applyFill="1" applyBorder="1" applyAlignment="1">
      <alignment horizontal="left" vertical="top" readingOrder="1"/>
    </xf>
    <xf numFmtId="0" fontId="3" fillId="7" borderId="6" xfId="1" applyFont="1" applyFill="1" applyBorder="1" applyAlignment="1">
      <alignment horizontal="left" vertical="top" readingOrder="1"/>
    </xf>
    <xf numFmtId="9" fontId="2" fillId="8" borderId="6" xfId="0" applyNumberFormat="1" applyFont="1" applyFill="1" applyBorder="1" applyAlignment="1">
      <alignment horizontal="left" vertical="top" readingOrder="1"/>
    </xf>
    <xf numFmtId="0" fontId="2" fillId="13" borderId="6" xfId="1" applyFont="1" applyFill="1" applyBorder="1" applyAlignment="1">
      <alignment horizontal="left" vertical="top" readingOrder="1"/>
    </xf>
    <xf numFmtId="0" fontId="6" fillId="8" borderId="6" xfId="0" applyFont="1" applyFill="1" applyBorder="1" applyAlignment="1">
      <alignment horizontal="left" vertical="top" readingOrder="1"/>
    </xf>
    <xf numFmtId="0" fontId="6" fillId="8" borderId="2" xfId="0" applyFont="1" applyFill="1" applyBorder="1" applyAlignment="1">
      <alignment horizontal="left" vertical="top" readingOrder="1"/>
    </xf>
    <xf numFmtId="0" fontId="2" fillId="14" borderId="5" xfId="0" applyFont="1" applyFill="1" applyBorder="1" applyAlignment="1">
      <alignment horizontal="left" vertical="top" readingOrder="1"/>
    </xf>
    <xf numFmtId="0" fontId="2" fillId="14" borderId="6" xfId="0" applyFont="1" applyFill="1" applyBorder="1" applyAlignment="1">
      <alignment horizontal="left" vertical="top" readingOrder="1"/>
    </xf>
    <xf numFmtId="0" fontId="2" fillId="14" borderId="0" xfId="0" applyFont="1" applyFill="1" applyAlignment="1">
      <alignment horizontal="left" vertical="top" readingOrder="1"/>
    </xf>
    <xf numFmtId="0" fontId="2" fillId="20" borderId="6" xfId="0" applyFont="1" applyFill="1" applyBorder="1" applyAlignment="1">
      <alignment horizontal="left" vertical="top" readingOrder="1"/>
    </xf>
    <xf numFmtId="0" fontId="0" fillId="4" borderId="1" xfId="0" applyFont="1" applyFill="1" applyBorder="1" applyAlignment="1">
      <alignment horizontal="center" vertical="top" readingOrder="1"/>
    </xf>
    <xf numFmtId="0" fontId="1" fillId="8" borderId="6" xfId="1" applyFill="1" applyBorder="1" applyAlignment="1">
      <alignment horizontal="left" vertical="top" readingOrder="1"/>
    </xf>
    <xf numFmtId="0" fontId="7" fillId="0" borderId="0" xfId="0" applyFont="1"/>
    <xf numFmtId="0" fontId="2" fillId="20" borderId="0" xfId="0" applyFont="1" applyFill="1" applyAlignment="1">
      <alignment horizontal="left" vertical="top" readingOrder="1"/>
    </xf>
    <xf numFmtId="8" fontId="2" fillId="19" borderId="6" xfId="0" applyNumberFormat="1" applyFont="1" applyFill="1" applyBorder="1" applyAlignment="1">
      <alignment horizontal="left" vertical="top" readingOrder="1"/>
    </xf>
    <xf numFmtId="0" fontId="8" fillId="8" borderId="6" xfId="0" applyFont="1" applyFill="1" applyBorder="1" applyAlignment="1">
      <alignment horizontal="left" vertical="top" readingOrder="1"/>
    </xf>
    <xf numFmtId="0" fontId="10" fillId="4" borderId="4" xfId="0" applyFont="1" applyFill="1" applyBorder="1" applyAlignment="1">
      <alignment horizontal="left" vertical="center" wrapText="1" readingOrder="1"/>
    </xf>
    <xf numFmtId="0" fontId="10" fillId="7" borderId="3" xfId="0" applyFont="1" applyFill="1" applyBorder="1" applyAlignment="1">
      <alignment horizontal="left" vertical="center" wrapText="1" readingOrder="1"/>
    </xf>
    <xf numFmtId="0" fontId="11" fillId="8" borderId="5" xfId="0" applyFont="1" applyFill="1" applyBorder="1" applyAlignment="1">
      <alignment horizontal="left" vertical="center" wrapText="1" readingOrder="1"/>
    </xf>
    <xf numFmtId="0" fontId="10" fillId="5" borderId="5" xfId="0" applyFont="1" applyFill="1" applyBorder="1" applyAlignment="1">
      <alignment horizontal="left" vertical="center" wrapText="1" readingOrder="1"/>
    </xf>
    <xf numFmtId="0" fontId="10" fillId="13" borderId="5" xfId="0" applyFont="1" applyFill="1" applyBorder="1" applyAlignment="1">
      <alignment horizontal="left" vertical="center" wrapText="1" readingOrder="1"/>
    </xf>
    <xf numFmtId="0" fontId="10" fillId="6" borderId="5" xfId="0" applyFont="1" applyFill="1" applyBorder="1" applyAlignment="1">
      <alignment horizontal="left" vertical="center" wrapText="1" readingOrder="1"/>
    </xf>
    <xf numFmtId="0" fontId="10" fillId="15" borderId="5" xfId="0" applyFont="1" applyFill="1" applyBorder="1" applyAlignment="1">
      <alignment horizontal="left" vertical="center" wrapText="1" readingOrder="1"/>
    </xf>
    <xf numFmtId="0" fontId="10" fillId="16" borderId="5" xfId="0" applyFont="1" applyFill="1" applyBorder="1" applyAlignment="1">
      <alignment horizontal="left" vertical="center" wrapText="1" readingOrder="1"/>
    </xf>
    <xf numFmtId="0" fontId="10" fillId="3" borderId="5" xfId="0" applyFont="1" applyFill="1" applyBorder="1" applyAlignment="1">
      <alignment horizontal="left" vertical="center" wrapText="1" readingOrder="1"/>
    </xf>
    <xf numFmtId="0" fontId="10" fillId="11" borderId="3" xfId="0" applyFont="1" applyFill="1" applyBorder="1" applyAlignment="1">
      <alignment horizontal="left" vertical="center" wrapText="1" readingOrder="1"/>
    </xf>
    <xf numFmtId="0" fontId="10" fillId="8" borderId="5" xfId="0" applyFont="1" applyFill="1" applyBorder="1" applyAlignment="1">
      <alignment horizontal="left" vertical="center" wrapText="1" readingOrder="1"/>
    </xf>
    <xf numFmtId="0" fontId="10" fillId="12" borderId="5" xfId="0" applyFont="1" applyFill="1" applyBorder="1" applyAlignment="1">
      <alignment horizontal="left" vertical="center" wrapText="1" readingOrder="1"/>
    </xf>
    <xf numFmtId="0" fontId="10" fillId="17" borderId="5" xfId="0" applyFont="1" applyFill="1" applyBorder="1" applyAlignment="1">
      <alignment horizontal="left" vertical="center" wrapText="1" readingOrder="1"/>
    </xf>
    <xf numFmtId="0" fontId="10" fillId="9" borderId="5" xfId="0" applyFont="1" applyFill="1" applyBorder="1" applyAlignment="1">
      <alignment horizontal="left" vertical="center" wrapText="1" readingOrder="1"/>
    </xf>
    <xf numFmtId="0" fontId="10" fillId="10" borderId="5" xfId="0" applyFont="1" applyFill="1" applyBorder="1" applyAlignment="1">
      <alignment horizontal="left" vertical="center" wrapText="1" readingOrder="1"/>
    </xf>
    <xf numFmtId="0" fontId="10" fillId="19" borderId="5" xfId="0" applyFont="1" applyFill="1" applyBorder="1" applyAlignment="1">
      <alignment horizontal="left" vertical="center" wrapText="1" readingOrder="1"/>
    </xf>
    <xf numFmtId="0" fontId="10" fillId="18" borderId="5" xfId="0" applyFont="1" applyFill="1" applyBorder="1" applyAlignment="1">
      <alignment horizontal="left" vertical="center" wrapText="1" readingOrder="1"/>
    </xf>
    <xf numFmtId="0" fontId="10" fillId="2" borderId="5" xfId="0" applyFont="1" applyFill="1" applyBorder="1" applyAlignment="1">
      <alignment horizontal="left" vertical="center" wrapText="1" readingOrder="1"/>
    </xf>
    <xf numFmtId="0" fontId="10" fillId="4" borderId="5" xfId="0" applyFont="1" applyFill="1" applyBorder="1" applyAlignment="1">
      <alignment horizontal="left" vertical="center" wrapText="1" readingOrder="1"/>
    </xf>
    <xf numFmtId="0" fontId="2" fillId="4" borderId="1" xfId="0" applyFont="1" applyFill="1" applyBorder="1" applyAlignment="1">
      <alignment horizontal="center" vertical="top" readingOrder="1"/>
    </xf>
    <xf numFmtId="0" fontId="13" fillId="7" borderId="6" xfId="0" applyFont="1" applyFill="1" applyBorder="1" applyAlignment="1">
      <alignment horizontal="left" vertical="top" readingOrder="1"/>
    </xf>
    <xf numFmtId="0" fontId="13" fillId="5" borderId="6" xfId="0" applyFont="1" applyFill="1" applyBorder="1" applyAlignment="1">
      <alignment horizontal="left" vertical="top" readingOrder="1"/>
    </xf>
    <xf numFmtId="0" fontId="13" fillId="17" borderId="6" xfId="0" applyFont="1" applyFill="1" applyBorder="1" applyAlignment="1">
      <alignment horizontal="left" vertical="top" readingOrder="1"/>
    </xf>
    <xf numFmtId="0" fontId="13" fillId="3" borderId="6" xfId="0" applyFont="1" applyFill="1" applyBorder="1" applyAlignment="1">
      <alignment horizontal="left" vertical="top" readingOrder="1"/>
    </xf>
    <xf numFmtId="0" fontId="14" fillId="7" borderId="6" xfId="0" applyFont="1" applyFill="1" applyBorder="1" applyAlignment="1">
      <alignment horizontal="left" vertical="top" readingOrder="1"/>
    </xf>
    <xf numFmtId="0" fontId="14" fillId="3" borderId="6" xfId="0" applyFont="1" applyFill="1" applyBorder="1" applyAlignment="1">
      <alignment horizontal="left" vertical="top" readingOrder="1"/>
    </xf>
    <xf numFmtId="0" fontId="13" fillId="21" borderId="6" xfId="0" applyFont="1" applyFill="1" applyBorder="1" applyAlignment="1">
      <alignment horizontal="left" vertical="top" readingOrder="1"/>
    </xf>
    <xf numFmtId="0" fontId="2" fillId="21" borderId="6" xfId="0" applyFont="1" applyFill="1" applyBorder="1" applyAlignment="1">
      <alignment horizontal="left" vertical="top" readingOrder="1"/>
    </xf>
    <xf numFmtId="0" fontId="6" fillId="21" borderId="6" xfId="0" applyFont="1" applyFill="1" applyBorder="1" applyAlignment="1">
      <alignment horizontal="left" vertical="top" readingOrder="1"/>
    </xf>
    <xf numFmtId="0" fontId="2" fillId="21" borderId="6" xfId="0" applyFont="1" applyFill="1" applyBorder="1" applyAlignment="1">
      <alignment horizontal="center" vertical="top" readingOrder="1"/>
    </xf>
    <xf numFmtId="0" fontId="3" fillId="21" borderId="6" xfId="1" applyFont="1" applyFill="1" applyBorder="1" applyAlignment="1">
      <alignment horizontal="left" vertical="top" readingOrder="1"/>
    </xf>
    <xf numFmtId="0" fontId="2" fillId="21" borderId="6" xfId="1" applyFont="1" applyFill="1" applyBorder="1" applyAlignment="1">
      <alignment horizontal="left" vertical="top" readingOrder="1"/>
    </xf>
    <xf numFmtId="9" fontId="2" fillId="21" borderId="6" xfId="0" applyNumberFormat="1" applyFont="1" applyFill="1" applyBorder="1" applyAlignment="1">
      <alignment horizontal="left" vertical="top" readingOrder="1"/>
    </xf>
    <xf numFmtId="0" fontId="14" fillId="21" borderId="6" xfId="0" applyFont="1" applyFill="1" applyBorder="1" applyAlignment="1">
      <alignment horizontal="left" vertical="top" readingOrder="1"/>
    </xf>
    <xf numFmtId="0" fontId="2" fillId="21" borderId="2" xfId="0" applyFont="1" applyFill="1" applyBorder="1" applyAlignment="1">
      <alignment horizontal="left" vertical="top" readingOrder="1"/>
    </xf>
    <xf numFmtId="0" fontId="12" fillId="21" borderId="6" xfId="0" applyFont="1" applyFill="1" applyBorder="1" applyAlignment="1">
      <alignment horizontal="left" vertical="top" readingOrder="1"/>
    </xf>
    <xf numFmtId="0" fontId="12" fillId="21" borderId="6" xfId="0" applyFont="1" applyFill="1" applyBorder="1"/>
    <xf numFmtId="11" fontId="2" fillId="21" borderId="6" xfId="0" applyNumberFormat="1" applyFont="1" applyFill="1" applyBorder="1" applyAlignment="1">
      <alignment horizontal="left" vertical="top" readingOrder="1"/>
    </xf>
    <xf numFmtId="11" fontId="2" fillId="15" borderId="6" xfId="0" applyNumberFormat="1" applyFont="1" applyFill="1" applyBorder="1" applyAlignment="1">
      <alignment horizontal="left" vertical="top" readingOrder="1"/>
    </xf>
    <xf numFmtId="0" fontId="2" fillId="22" borderId="6" xfId="0" applyFont="1" applyFill="1" applyBorder="1" applyAlignment="1">
      <alignment horizontal="left" vertical="top" readingOrder="1"/>
    </xf>
    <xf numFmtId="11" fontId="2" fillId="22" borderId="6" xfId="0" applyNumberFormat="1" applyFont="1" applyFill="1" applyBorder="1" applyAlignment="1">
      <alignment horizontal="left" vertical="top" readingOrder="1"/>
    </xf>
    <xf numFmtId="0" fontId="2" fillId="23" borderId="6" xfId="0" applyFont="1" applyFill="1" applyBorder="1" applyAlignment="1">
      <alignment horizontal="left" vertical="top" readingOrder="1"/>
    </xf>
    <xf numFmtId="0" fontId="9" fillId="21" borderId="6" xfId="0" applyFont="1" applyFill="1" applyBorder="1" applyAlignment="1">
      <alignment vertical="center" readingOrder="1"/>
    </xf>
    <xf numFmtId="0" fontId="2" fillId="21" borderId="8" xfId="0" applyFont="1" applyFill="1" applyBorder="1" applyAlignment="1">
      <alignment horizontal="left" vertical="top" readingOrder="1"/>
    </xf>
    <xf numFmtId="0" fontId="2" fillId="21" borderId="10" xfId="0" applyFont="1" applyFill="1" applyBorder="1" applyAlignment="1">
      <alignment horizontal="left" vertical="top" readingOrder="1"/>
    </xf>
    <xf numFmtId="0" fontId="2" fillId="21" borderId="7" xfId="0" applyFont="1" applyFill="1" applyBorder="1" applyAlignment="1">
      <alignment horizontal="left" vertical="top" readingOrder="1"/>
    </xf>
    <xf numFmtId="0" fontId="2" fillId="21" borderId="5" xfId="0" applyFont="1" applyFill="1" applyBorder="1" applyAlignment="1">
      <alignment horizontal="left" vertical="top" readingOrder="1"/>
    </xf>
    <xf numFmtId="0" fontId="2" fillId="21" borderId="13" xfId="0" applyFont="1" applyFill="1" applyBorder="1" applyAlignment="1">
      <alignment horizontal="left" vertical="top" readingOrder="1"/>
    </xf>
    <xf numFmtId="0" fontId="2" fillId="21" borderId="14" xfId="0" applyFont="1" applyFill="1" applyBorder="1" applyAlignment="1">
      <alignment horizontal="left" vertical="top" readingOrder="1"/>
    </xf>
    <xf numFmtId="11" fontId="2" fillId="21" borderId="14" xfId="0" applyNumberFormat="1" applyFont="1" applyFill="1" applyBorder="1" applyAlignment="1">
      <alignment horizontal="left" vertical="top" readingOrder="1"/>
    </xf>
    <xf numFmtId="0" fontId="2" fillId="15" borderId="14" xfId="0" applyFont="1" applyFill="1" applyBorder="1" applyAlignment="1">
      <alignment horizontal="left" vertical="top" readingOrder="1"/>
    </xf>
    <xf numFmtId="0" fontId="2" fillId="22" borderId="14" xfId="0" applyFont="1" applyFill="1" applyBorder="1" applyAlignment="1">
      <alignment horizontal="left" vertical="top" readingOrder="1"/>
    </xf>
    <xf numFmtId="11" fontId="2" fillId="22" borderId="14" xfId="0" applyNumberFormat="1" applyFont="1" applyFill="1" applyBorder="1" applyAlignment="1">
      <alignment horizontal="left" vertical="top" readingOrder="1"/>
    </xf>
    <xf numFmtId="0" fontId="2" fillId="23" borderId="14" xfId="0" applyFont="1" applyFill="1" applyBorder="1" applyAlignment="1">
      <alignment horizontal="left" vertical="top" readingOrder="1"/>
    </xf>
    <xf numFmtId="0" fontId="2" fillId="21" borderId="17" xfId="0" applyFont="1" applyFill="1" applyBorder="1" applyAlignment="1">
      <alignment horizontal="left" vertical="top" readingOrder="1"/>
    </xf>
    <xf numFmtId="0" fontId="2" fillId="21" borderId="18" xfId="0" applyFont="1" applyFill="1" applyBorder="1" applyAlignment="1">
      <alignment horizontal="left" vertical="top" readingOrder="1"/>
    </xf>
    <xf numFmtId="0" fontId="2" fillId="21" borderId="19" xfId="0" applyFont="1" applyFill="1" applyBorder="1" applyAlignment="1">
      <alignment horizontal="left" vertical="top" readingOrder="1"/>
    </xf>
    <xf numFmtId="8" fontId="2" fillId="18" borderId="6" xfId="0" applyNumberFormat="1" applyFont="1" applyFill="1" applyBorder="1" applyAlignment="1">
      <alignment horizontal="left" vertical="top" readingOrder="1"/>
    </xf>
    <xf numFmtId="0" fontId="2" fillId="21" borderId="6" xfId="0" applyFont="1" applyFill="1" applyBorder="1" applyAlignment="1">
      <alignment vertical="top" readingOrder="1"/>
    </xf>
    <xf numFmtId="0" fontId="2" fillId="21" borderId="6" xfId="0" applyFont="1" applyFill="1" applyBorder="1" applyAlignment="1">
      <alignment horizontal="left" vertical="top" wrapText="1" readingOrder="1"/>
    </xf>
    <xf numFmtId="0" fontId="2" fillId="21" borderId="13" xfId="0" applyFont="1" applyFill="1" applyBorder="1" applyAlignment="1">
      <alignment vertical="top" readingOrder="1"/>
    </xf>
    <xf numFmtId="0" fontId="2" fillId="21" borderId="14" xfId="0" applyFont="1" applyFill="1" applyBorder="1" applyAlignment="1">
      <alignment vertical="top" readingOrder="1"/>
    </xf>
    <xf numFmtId="0" fontId="2" fillId="5" borderId="13" xfId="0" applyFont="1" applyFill="1" applyBorder="1" applyAlignment="1">
      <alignment horizontal="left" vertical="top" readingOrder="1"/>
    </xf>
    <xf numFmtId="0" fontId="2" fillId="21" borderId="13" xfId="0" applyFont="1" applyFill="1" applyBorder="1" applyAlignment="1">
      <alignment horizontal="center" vertical="center" wrapText="1" readingOrder="1"/>
    </xf>
    <xf numFmtId="0" fontId="2" fillId="21" borderId="9" xfId="0" applyFont="1" applyFill="1" applyBorder="1" applyAlignment="1">
      <alignment horizontal="left" vertical="top" readingOrder="1"/>
    </xf>
    <xf numFmtId="9" fontId="2" fillId="21" borderId="10" xfId="0" applyNumberFormat="1" applyFont="1" applyFill="1" applyBorder="1" applyAlignment="1">
      <alignment horizontal="left" vertical="top" readingOrder="1"/>
    </xf>
    <xf numFmtId="0" fontId="13" fillId="21" borderId="13" xfId="0" applyFont="1" applyFill="1" applyBorder="1" applyAlignment="1">
      <alignment horizontal="left" vertical="top" readingOrder="1"/>
    </xf>
    <xf numFmtId="0" fontId="13" fillId="21" borderId="17" xfId="0" applyFont="1" applyFill="1" applyBorder="1" applyAlignment="1">
      <alignment horizontal="left" vertical="top" readingOrder="1"/>
    </xf>
    <xf numFmtId="8" fontId="2" fillId="21" borderId="6" xfId="0" applyNumberFormat="1" applyFont="1" applyFill="1" applyBorder="1" applyAlignment="1">
      <alignment horizontal="left" vertical="top" readingOrder="1"/>
    </xf>
    <xf numFmtId="0" fontId="12" fillId="0" borderId="0" xfId="0" applyFont="1"/>
    <xf numFmtId="0" fontId="13" fillId="21" borderId="16" xfId="0" applyFont="1" applyFill="1" applyBorder="1" applyAlignment="1">
      <alignment horizontal="left" vertical="top" readingOrder="1"/>
    </xf>
    <xf numFmtId="0" fontId="2" fillId="21" borderId="23" xfId="0" applyFont="1" applyFill="1" applyBorder="1" applyAlignment="1">
      <alignment horizontal="left" vertical="top" readingOrder="1"/>
    </xf>
    <xf numFmtId="0" fontId="14" fillId="21" borderId="13" xfId="0" applyFont="1" applyFill="1" applyBorder="1" applyAlignment="1">
      <alignment horizontal="left" vertical="top" readingOrder="1"/>
    </xf>
    <xf numFmtId="0" fontId="2" fillId="5" borderId="15" xfId="0" applyFont="1" applyFill="1" applyBorder="1" applyAlignment="1">
      <alignment horizontal="left" vertical="top" readingOrder="1"/>
    </xf>
    <xf numFmtId="0" fontId="12" fillId="0" borderId="22" xfId="0" applyFont="1" applyBorder="1"/>
    <xf numFmtId="9" fontId="2" fillId="21" borderId="14" xfId="0" applyNumberFormat="1" applyFont="1" applyFill="1" applyBorder="1" applyAlignment="1">
      <alignment horizontal="left" vertical="top" readingOrder="1"/>
    </xf>
    <xf numFmtId="8" fontId="2" fillId="21" borderId="14" xfId="0" applyNumberFormat="1" applyFont="1" applyFill="1" applyBorder="1" applyAlignment="1">
      <alignment horizontal="left" vertical="top" readingOrder="1"/>
    </xf>
    <xf numFmtId="0" fontId="2" fillId="21" borderId="22" xfId="0" applyFont="1" applyFill="1" applyBorder="1" applyAlignment="1">
      <alignment horizontal="left" vertical="top" readingOrder="1"/>
    </xf>
    <xf numFmtId="0" fontId="2" fillId="20" borderId="8" xfId="0" applyFont="1" applyFill="1" applyBorder="1" applyAlignment="1">
      <alignment horizontal="left" vertical="top" readingOrder="1"/>
    </xf>
    <xf numFmtId="0" fontId="2" fillId="5" borderId="4" xfId="0" applyFont="1" applyFill="1" applyBorder="1" applyAlignment="1">
      <alignment horizontal="left" vertical="top" readingOrder="1"/>
    </xf>
    <xf numFmtId="0" fontId="2" fillId="13" borderId="5" xfId="0" applyFont="1" applyFill="1" applyBorder="1" applyAlignment="1">
      <alignment horizontal="left" vertical="top" readingOrder="1"/>
    </xf>
    <xf numFmtId="0" fontId="2" fillId="6" borderId="5" xfId="0" applyFont="1" applyFill="1" applyBorder="1" applyAlignment="1">
      <alignment horizontal="left" vertical="top" readingOrder="1"/>
    </xf>
    <xf numFmtId="0" fontId="1" fillId="21" borderId="14" xfId="1" applyFill="1" applyBorder="1" applyAlignment="1">
      <alignment horizontal="left" vertical="top" readingOrder="1"/>
    </xf>
    <xf numFmtId="0" fontId="2" fillId="21" borderId="15" xfId="0" applyFont="1" applyFill="1" applyBorder="1" applyAlignment="1">
      <alignment horizontal="left" vertical="top" readingOrder="1"/>
    </xf>
    <xf numFmtId="0" fontId="2" fillId="21" borderId="4" xfId="0" applyFont="1" applyFill="1" applyBorder="1" applyAlignment="1">
      <alignment horizontal="left" vertical="top" readingOrder="1"/>
    </xf>
    <xf numFmtId="8" fontId="15" fillId="0" borderId="0" xfId="0" applyNumberFormat="1" applyFont="1"/>
    <xf numFmtId="0" fontId="1" fillId="0" borderId="0" xfId="1"/>
    <xf numFmtId="0" fontId="2" fillId="0" borderId="6" xfId="0" applyFont="1" applyBorder="1" applyAlignment="1">
      <alignment horizontal="left" vertical="top" readingOrder="1"/>
    </xf>
    <xf numFmtId="0" fontId="4" fillId="8" borderId="6" xfId="0" applyFont="1" applyFill="1" applyBorder="1" applyAlignment="1">
      <alignment horizontal="left" vertical="top" readingOrder="1"/>
    </xf>
    <xf numFmtId="0" fontId="12" fillId="13" borderId="6" xfId="0" applyFont="1" applyFill="1" applyBorder="1"/>
    <xf numFmtId="10" fontId="2" fillId="8" borderId="6" xfId="0" applyNumberFormat="1" applyFont="1" applyFill="1" applyBorder="1" applyAlignment="1">
      <alignment horizontal="left" vertical="top" readingOrder="1"/>
    </xf>
    <xf numFmtId="0" fontId="2" fillId="3" borderId="6" xfId="0" applyFont="1" applyFill="1" applyBorder="1" applyAlignment="1">
      <alignment horizontal="left" vertical="top" wrapText="1" readingOrder="1"/>
    </xf>
    <xf numFmtId="0" fontId="2" fillId="5" borderId="6" xfId="0" applyFont="1" applyFill="1" applyBorder="1" applyAlignment="1">
      <alignment horizontal="left" vertical="top" wrapText="1" readingOrder="1"/>
    </xf>
    <xf numFmtId="0" fontId="2" fillId="15" borderId="6" xfId="0" applyFont="1" applyFill="1" applyBorder="1" applyAlignment="1">
      <alignment horizontal="center" vertical="top" readingOrder="1"/>
    </xf>
    <xf numFmtId="0" fontId="0" fillId="15" borderId="6" xfId="0" applyFont="1" applyFill="1" applyBorder="1" applyAlignment="1">
      <alignment horizontal="center" vertical="top" readingOrder="1"/>
    </xf>
    <xf numFmtId="8" fontId="2" fillId="2" borderId="6" xfId="0" applyNumberFormat="1" applyFont="1" applyFill="1" applyBorder="1" applyAlignment="1">
      <alignment horizontal="left" vertical="top" readingOrder="1"/>
    </xf>
    <xf numFmtId="0" fontId="10" fillId="15" borderId="6" xfId="0" applyFont="1" applyFill="1" applyBorder="1" applyAlignment="1">
      <alignment horizontal="left" vertical="center" wrapText="1" readingOrder="1"/>
    </xf>
    <xf numFmtId="0" fontId="2" fillId="15" borderId="6" xfId="0" applyFont="1" applyFill="1" applyBorder="1" applyAlignment="1">
      <alignment horizontal="center" vertical="center" readingOrder="1"/>
    </xf>
    <xf numFmtId="11" fontId="0" fillId="0" borderId="0" xfId="0" applyNumberFormat="1"/>
    <xf numFmtId="0" fontId="19" fillId="20" borderId="6" xfId="0" applyFont="1" applyFill="1" applyBorder="1" applyAlignment="1">
      <alignment horizontal="left" vertical="top" readingOrder="1"/>
    </xf>
    <xf numFmtId="0" fontId="16" fillId="20" borderId="5" xfId="0" applyFont="1" applyFill="1" applyBorder="1" applyAlignment="1">
      <alignment horizontal="left" vertical="center" wrapText="1" readingOrder="1"/>
    </xf>
    <xf numFmtId="0" fontId="17" fillId="0" borderId="6" xfId="0" applyFont="1" applyBorder="1"/>
    <xf numFmtId="0" fontId="18" fillId="0" borderId="6" xfId="0" applyFont="1" applyBorder="1"/>
    <xf numFmtId="8" fontId="2" fillId="10" borderId="6" xfId="0" applyNumberFormat="1" applyFont="1" applyFill="1" applyBorder="1" applyAlignment="1">
      <alignment horizontal="left" vertical="top" readingOrder="1"/>
    </xf>
    <xf numFmtId="0" fontId="0" fillId="0" borderId="0" xfId="0" applyBorder="1"/>
    <xf numFmtId="0" fontId="20" fillId="0" borderId="0" xfId="1" applyFont="1" applyFill="1" applyBorder="1" applyAlignment="1">
      <alignment horizontal="left" vertical="top" readingOrder="1"/>
    </xf>
    <xf numFmtId="0" fontId="2" fillId="0" borderId="0" xfId="0" applyFont="1" applyFill="1" applyBorder="1" applyAlignment="1">
      <alignment horizontal="left" vertical="top" readingOrder="1"/>
    </xf>
    <xf numFmtId="0" fontId="2" fillId="0" borderId="0" xfId="0" applyFont="1" applyFill="1" applyBorder="1" applyAlignment="1">
      <alignment horizontal="left" vertical="top" wrapText="1" readingOrder="1"/>
    </xf>
    <xf numFmtId="0" fontId="21" fillId="0" borderId="0" xfId="0" applyFont="1"/>
    <xf numFmtId="0" fontId="2" fillId="9" borderId="6" xfId="0" applyFont="1" applyFill="1" applyBorder="1" applyAlignment="1">
      <alignment horizontal="left" vertical="top" wrapText="1" readingOrder="1"/>
    </xf>
    <xf numFmtId="0" fontId="2" fillId="10" borderId="6" xfId="0" applyFont="1" applyFill="1" applyBorder="1" applyAlignment="1">
      <alignment horizontal="left" vertical="top" wrapText="1" readingOrder="1"/>
    </xf>
    <xf numFmtId="0" fontId="2" fillId="13" borderId="6" xfId="0" applyFont="1" applyFill="1" applyBorder="1" applyAlignment="1">
      <alignment horizontal="left" vertical="top" wrapText="1" readingOrder="1"/>
    </xf>
    <xf numFmtId="0" fontId="2" fillId="4" borderId="6" xfId="0" applyFont="1" applyFill="1" applyBorder="1" applyAlignment="1">
      <alignment horizontal="center" vertical="top" wrapText="1" readingOrder="1"/>
    </xf>
    <xf numFmtId="0" fontId="9" fillId="4" borderId="7" xfId="0" applyFont="1" applyFill="1" applyBorder="1" applyAlignment="1">
      <alignment horizontal="center" vertical="center" readingOrder="1"/>
    </xf>
    <xf numFmtId="0" fontId="9" fillId="4" borderId="2" xfId="0" applyFont="1" applyFill="1" applyBorder="1" applyAlignment="1">
      <alignment horizontal="center" vertical="center" readingOrder="1"/>
    </xf>
    <xf numFmtId="0" fontId="9" fillId="4" borderId="5" xfId="0" applyFont="1" applyFill="1" applyBorder="1" applyAlignment="1">
      <alignment horizontal="center" vertical="center" readingOrder="1"/>
    </xf>
    <xf numFmtId="0" fontId="2" fillId="21" borderId="13" xfId="0" applyFont="1" applyFill="1" applyBorder="1" applyAlignment="1">
      <alignment horizontal="center" vertical="center" wrapText="1" readingOrder="1"/>
    </xf>
    <xf numFmtId="0" fontId="9" fillId="21" borderId="20" xfId="0" applyFont="1" applyFill="1" applyBorder="1" applyAlignment="1">
      <alignment horizontal="center" vertical="top" readingOrder="1"/>
    </xf>
    <xf numFmtId="0" fontId="9" fillId="21" borderId="21" xfId="0" applyFont="1" applyFill="1" applyBorder="1" applyAlignment="1">
      <alignment horizontal="center" vertical="top" readingOrder="1"/>
    </xf>
    <xf numFmtId="0" fontId="9" fillId="21" borderId="23" xfId="0" applyFont="1" applyFill="1" applyBorder="1" applyAlignment="1">
      <alignment horizontal="center" vertical="top" readingOrder="1"/>
    </xf>
    <xf numFmtId="0" fontId="2" fillId="21" borderId="11" xfId="0" applyFont="1" applyFill="1" applyBorder="1" applyAlignment="1">
      <alignment horizontal="center" vertical="top" readingOrder="1"/>
    </xf>
    <xf numFmtId="0" fontId="2" fillId="21" borderId="12" xfId="0" applyFont="1" applyFill="1" applyBorder="1" applyAlignment="1">
      <alignment horizontal="center" vertical="top" readingOrder="1"/>
    </xf>
    <xf numFmtId="0" fontId="9" fillId="4" borderId="7" xfId="0" applyFont="1" applyFill="1" applyBorder="1" applyAlignment="1">
      <alignment horizontal="center" vertical="center" wrapText="1" readingOrder="1"/>
    </xf>
    <xf numFmtId="0" fontId="9" fillId="4" borderId="5" xfId="0" applyFont="1" applyFill="1" applyBorder="1" applyAlignment="1">
      <alignment horizontal="center" vertical="center" wrapText="1" readingOrder="1"/>
    </xf>
    <xf numFmtId="0" fontId="2" fillId="0" borderId="0" xfId="0" applyFont="1" applyBorder="1" applyAlignment="1">
      <alignment horizontal="left" vertical="top" readingOrder="1"/>
    </xf>
    <xf numFmtId="0" fontId="10" fillId="17" borderId="3" xfId="0" applyFont="1" applyFill="1" applyBorder="1" applyAlignment="1">
      <alignment horizontal="left" vertical="center" wrapText="1" readingOrder="1"/>
    </xf>
    <xf numFmtId="0" fontId="3" fillId="17" borderId="6" xfId="1" applyFont="1" applyFill="1" applyBorder="1" applyAlignment="1">
      <alignment horizontal="left" vertical="top" readingOrder="1"/>
    </xf>
    <xf numFmtId="0" fontId="12" fillId="17" borderId="6" xfId="0" applyFont="1" applyFill="1" applyBorder="1" applyAlignment="1">
      <alignment horizontal="left" vertical="top" readingOrder="1"/>
    </xf>
    <xf numFmtId="0" fontId="2" fillId="17" borderId="6" xfId="1" applyFont="1" applyFill="1" applyBorder="1" applyAlignment="1">
      <alignment horizontal="left" vertical="top" readingOrder="1"/>
    </xf>
    <xf numFmtId="0" fontId="1" fillId="17" borderId="6" xfId="1" applyFill="1" applyBorder="1" applyAlignment="1">
      <alignment horizontal="left" vertical="top" readingOrder="1"/>
    </xf>
    <xf numFmtId="0" fontId="14" fillId="17" borderId="6" xfId="0" applyFont="1" applyFill="1" applyBorder="1" applyAlignment="1">
      <alignment horizontal="left" vertical="top" readingOrder="1"/>
    </xf>
    <xf numFmtId="0" fontId="2" fillId="17" borderId="10" xfId="0" applyFont="1" applyFill="1" applyBorder="1" applyAlignment="1">
      <alignment horizontal="left" vertical="top" readingOrder="1"/>
    </xf>
    <xf numFmtId="0" fontId="2" fillId="17" borderId="0" xfId="0" applyFont="1" applyFill="1" applyAlignment="1">
      <alignment horizontal="left" vertical="top" readingOrder="1"/>
    </xf>
  </cellXfs>
  <cellStyles count="2">
    <cellStyle name="Hyperlink" xfId="1" builtinId="8"/>
    <cellStyle name="Normal" xfId="0" builtinId="0"/>
  </cellStyles>
  <dxfs count="3">
    <dxf>
      <fill>
        <patternFill>
          <bgColor theme="0" tint="-0.14996795556505021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</dxfs>
  <tableStyles count="0" defaultTableStyle="TableStyleMedium2" defaultPivotStyle="PivotStyleLight16"/>
  <colors>
    <mruColors>
      <color rgb="FFFFCC00"/>
      <color rgb="FFCC66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5.png"/><Relationship Id="rId2" Type="http://schemas.openxmlformats.org/officeDocument/2006/relationships/image" Target="../media/image4.png"/><Relationship Id="rId1" Type="http://schemas.openxmlformats.org/officeDocument/2006/relationships/image" Target="../media/image3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6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381000</xdr:colOff>
      <xdr:row>0</xdr:row>
      <xdr:rowOff>142875</xdr:rowOff>
    </xdr:from>
    <xdr:to>
      <xdr:col>11</xdr:col>
      <xdr:colOff>277146</xdr:colOff>
      <xdr:row>15</xdr:row>
      <xdr:rowOff>86116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81000" y="142875"/>
          <a:ext cx="6601746" cy="2800741"/>
        </a:xfrm>
        <a:prstGeom prst="rect">
          <a:avLst/>
        </a:prstGeom>
      </xdr:spPr>
    </xdr:pic>
    <xdr:clientData/>
  </xdr:twoCellAnchor>
  <xdr:twoCellAnchor>
    <xdr:from>
      <xdr:col>5</xdr:col>
      <xdr:colOff>390525</xdr:colOff>
      <xdr:row>4</xdr:row>
      <xdr:rowOff>104775</xdr:rowOff>
    </xdr:from>
    <xdr:to>
      <xdr:col>10</xdr:col>
      <xdr:colOff>361950</xdr:colOff>
      <xdr:row>10</xdr:row>
      <xdr:rowOff>161925</xdr:rowOff>
    </xdr:to>
    <xdr:sp macro="" textlink="">
      <xdr:nvSpPr>
        <xdr:cNvPr id="3" name="TextBox 2"/>
        <xdr:cNvSpPr txBox="1"/>
      </xdr:nvSpPr>
      <xdr:spPr>
        <a:xfrm>
          <a:off x="3438525" y="866775"/>
          <a:ext cx="3019425" cy="12001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2000" b="1" i="0">
              <a:solidFill>
                <a:srgbClr val="FF0000"/>
              </a:solidFill>
            </a:rPr>
            <a:t>Original core we cant</a:t>
          </a:r>
          <a:r>
            <a:rPr lang="en-GB" sz="2000" b="1" i="0" baseline="0">
              <a:solidFill>
                <a:srgbClr val="FF0000"/>
              </a:solidFill>
            </a:rPr>
            <a:t> get</a:t>
          </a:r>
          <a:endParaRPr lang="en-GB" sz="2000" b="1" i="0">
            <a:solidFill>
              <a:srgbClr val="FF0000"/>
            </a:solidFill>
          </a:endParaRPr>
        </a:p>
      </xdr:txBody>
    </xdr:sp>
    <xdr:clientData/>
  </xdr:twoCellAnchor>
  <xdr:twoCellAnchor editAs="oneCell">
    <xdr:from>
      <xdr:col>0</xdr:col>
      <xdr:colOff>9525</xdr:colOff>
      <xdr:row>17</xdr:row>
      <xdr:rowOff>171450</xdr:rowOff>
    </xdr:from>
    <xdr:to>
      <xdr:col>14</xdr:col>
      <xdr:colOff>277453</xdr:colOff>
      <xdr:row>36</xdr:row>
      <xdr:rowOff>48113</xdr:rowOff>
    </xdr:to>
    <xdr:pic>
      <xdr:nvPicPr>
        <xdr:cNvPr id="4" name="Picture 3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9525" y="3409950"/>
          <a:ext cx="8802328" cy="3496163"/>
        </a:xfrm>
        <a:prstGeom prst="rect">
          <a:avLst/>
        </a:prstGeom>
      </xdr:spPr>
    </xdr:pic>
    <xdr:clientData/>
  </xdr:twoCellAnchor>
  <xdr:twoCellAnchor>
    <xdr:from>
      <xdr:col>7</xdr:col>
      <xdr:colOff>390525</xdr:colOff>
      <xdr:row>29</xdr:row>
      <xdr:rowOff>47625</xdr:rowOff>
    </xdr:from>
    <xdr:to>
      <xdr:col>11</xdr:col>
      <xdr:colOff>9525</xdr:colOff>
      <xdr:row>34</xdr:row>
      <xdr:rowOff>142875</xdr:rowOff>
    </xdr:to>
    <xdr:sp macro="" textlink="">
      <xdr:nvSpPr>
        <xdr:cNvPr id="5" name="TextBox 4"/>
        <xdr:cNvSpPr txBox="1"/>
      </xdr:nvSpPr>
      <xdr:spPr>
        <a:xfrm>
          <a:off x="4657725" y="5572125"/>
          <a:ext cx="2057400" cy="10477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626.79 mm^2 </a:t>
          </a:r>
          <a:endParaRPr lang="en-GB" sz="11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41414</xdr:colOff>
      <xdr:row>82</xdr:row>
      <xdr:rowOff>49696</xdr:rowOff>
    </xdr:from>
    <xdr:to>
      <xdr:col>2</xdr:col>
      <xdr:colOff>115957</xdr:colOff>
      <xdr:row>105</xdr:row>
      <xdr:rowOff>24848</xdr:rowOff>
    </xdr:to>
    <xdr:sp macro="" textlink="">
      <xdr:nvSpPr>
        <xdr:cNvPr id="3" name="TextBox 2"/>
        <xdr:cNvSpPr txBox="1"/>
      </xdr:nvSpPr>
      <xdr:spPr>
        <a:xfrm>
          <a:off x="41414" y="13310153"/>
          <a:ext cx="2451652" cy="3785152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/>
            <a:t>V_F</a:t>
          </a:r>
          <a:r>
            <a:rPr lang="en-GB" sz="1100" baseline="0"/>
            <a:t> = V_H + V_L</a:t>
          </a:r>
        </a:p>
        <a:p>
          <a:r>
            <a:rPr lang="en-GB" sz="1100" baseline="0"/>
            <a:t>V_H/R_H = (V_L/R_L)+(C_L*dV_L/dt)</a:t>
          </a:r>
        </a:p>
        <a:p>
          <a:pPr marL="0" marR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dV_L/dt = ((V_H/R_H) -  (V_L/R_L))/ C_L</a:t>
          </a:r>
        </a:p>
        <a:p>
          <a:pPr marL="0" marR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V_H = V_F - V_L</a:t>
          </a:r>
        </a:p>
        <a:p>
          <a:pPr marL="0" marR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dV_L/dt = (((V_F - V_L)/R_H) </a:t>
          </a:r>
        </a:p>
        <a:p>
          <a:pPr marL="0" marR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  (V_L/R_L))/ C_L</a:t>
          </a:r>
        </a:p>
        <a:p>
          <a:pPr marL="0" marR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V_F is a constant during discharge.</a:t>
          </a:r>
        </a:p>
        <a:p>
          <a:pPr marL="0" marR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Need to find V_L_t from V_L_0, C_L (constant), R_H (constant) </a:t>
          </a:r>
        </a:p>
        <a:p>
          <a:pPr marL="0" marR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en-GB">
            <a:effectLst/>
          </a:endParaRPr>
        </a:p>
        <a:p>
          <a:endParaRPr lang="en-GB" sz="1100"/>
        </a:p>
      </xdr:txBody>
    </xdr:sp>
    <xdr:clientData/>
  </xdr:twoCellAnchor>
  <xdr:twoCellAnchor editAs="oneCell">
    <xdr:from>
      <xdr:col>0</xdr:col>
      <xdr:colOff>0</xdr:colOff>
      <xdr:row>57</xdr:row>
      <xdr:rowOff>107674</xdr:rowOff>
    </xdr:from>
    <xdr:to>
      <xdr:col>1</xdr:col>
      <xdr:colOff>259118</xdr:colOff>
      <xdr:row>78</xdr:row>
      <xdr:rowOff>92859</xdr:rowOff>
    </xdr:to>
    <xdr:pic>
      <xdr:nvPicPr>
        <xdr:cNvPr id="5" name="Picture 4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9210261"/>
          <a:ext cx="2048161" cy="3991532"/>
        </a:xfrm>
        <a:prstGeom prst="rect">
          <a:avLst/>
        </a:prstGeom>
      </xdr:spPr>
    </xdr:pic>
    <xdr:clientData/>
  </xdr:twoCellAnchor>
  <xdr:twoCellAnchor editAs="oneCell">
    <xdr:from>
      <xdr:col>2</xdr:col>
      <xdr:colOff>122777</xdr:colOff>
      <xdr:row>94</xdr:row>
      <xdr:rowOff>91596</xdr:rowOff>
    </xdr:from>
    <xdr:to>
      <xdr:col>5</xdr:col>
      <xdr:colOff>952998</xdr:colOff>
      <xdr:row>99</xdr:row>
      <xdr:rowOff>120707</xdr:rowOff>
    </xdr:to>
    <xdr:pic>
      <xdr:nvPicPr>
        <xdr:cNvPr id="8" name="Picture 7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509630" y="15947920"/>
          <a:ext cx="2174927" cy="813522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85</xdr:row>
      <xdr:rowOff>24850</xdr:rowOff>
    </xdr:from>
    <xdr:to>
      <xdr:col>5</xdr:col>
      <xdr:colOff>1345975</xdr:colOff>
      <xdr:row>96</xdr:row>
      <xdr:rowOff>14846</xdr:rowOff>
    </xdr:to>
    <xdr:pic>
      <xdr:nvPicPr>
        <xdr:cNvPr id="10" name="Picture 9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0" y="13135732"/>
          <a:ext cx="5077534" cy="1715701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12</xdr:col>
      <xdr:colOff>582127</xdr:colOff>
      <xdr:row>24</xdr:row>
      <xdr:rowOff>86375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7897327" cy="465837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mouser.co.uk/ProductDetail/KYOCERA-AVX/SR211C104KAATR1?qs=sGAEpiMZZMvsSlwiRhF8qvcZFLKdtpl4z1Dx0c%252BnWlY%3D" TargetMode="External"/><Relationship Id="rId18" Type="http://schemas.openxmlformats.org/officeDocument/2006/relationships/hyperlink" Target="https://www.mouser.co.uk/ProductDetail/TDK/FK16X7R1C106K?qs=zLBlM7QTTNo2fF6bge9DGw%3D%3D" TargetMode="External"/><Relationship Id="rId26" Type="http://schemas.openxmlformats.org/officeDocument/2006/relationships/hyperlink" Target="https://www.mouser.co.uk/ProductDetail/Vishay-Semiconductors/BZX55C3V0-TR?qs=WLTup5mM6hj0XdtrqBFixA%3D%3D3D" TargetMode="External"/><Relationship Id="rId39" Type="http://schemas.openxmlformats.org/officeDocument/2006/relationships/hyperlink" Target="https://www.mouser.co.uk/ProductDetail/Essentra/FH-320-NV?qs=PzGy0jfpSMtU9GQhdYJRvA%3D%3D" TargetMode="External"/><Relationship Id="rId21" Type="http://schemas.openxmlformats.org/officeDocument/2006/relationships/hyperlink" Target="https://www.mouser.co.uk/ProductDetail/TDK/FG26X7R2A105KNT06?qs=qf2ddTMq67XO0I1H0ed67A%3D%3D" TargetMode="External"/><Relationship Id="rId34" Type="http://schemas.openxmlformats.org/officeDocument/2006/relationships/hyperlink" Target="https://www.mouser.co.uk/ProductDetail/STMicroelectronics/1N5822?qs=JV7lzlMm3yJ50hlrGV6%252BnQ%3D%3D" TargetMode="External"/><Relationship Id="rId42" Type="http://schemas.openxmlformats.org/officeDocument/2006/relationships/hyperlink" Target="https://www.mouser.co.uk/ProductDetail/Wakefield-Thermal/647-25ABPE?qs=1%252ByrAFyf4wEF4vm1j%252Byz0w%3D%3D" TargetMode="External"/><Relationship Id="rId47" Type="http://schemas.openxmlformats.org/officeDocument/2006/relationships/hyperlink" Target="https://www.aliexpress.com/item/1005007001183779.html?spm=a2g0o.cart.0.0.3f7738daE8N6Kp&amp;mp=1&amp;pdp_npi=6%40dis%21GBP%21GBP%201.34%21GBP%201.27%21%21GBP%201.27%21%21%21%402103985c17696857200332011ea163%2112000039009277917%21ct%21UK%214911257576%21%211%210%21" TargetMode="External"/><Relationship Id="rId50" Type="http://schemas.openxmlformats.org/officeDocument/2006/relationships/hyperlink" Target="https://www.mouser.co.uk/ProductDetail/YAGEO/MFR50SFTE52-1K33?qs=UFD7vfw3J8osCEB2xFvg0Q%3D%3D" TargetMode="External"/><Relationship Id="rId55" Type="http://schemas.openxmlformats.org/officeDocument/2006/relationships/hyperlink" Target="https://www.mouser.co.uk/ProductDetail/Analog-Devices/AD7822BNZ?qs=%2FtpEQrCGXCyXv71BkCSjyQ%3D%3D" TargetMode="External"/><Relationship Id="rId63" Type="http://schemas.openxmlformats.org/officeDocument/2006/relationships/hyperlink" Target="https://www.aliexpress.com/item/1005005871456289.html?spm=a2g0o.order_list.order_list_main.167.7f241802X7yGNh" TargetMode="External"/><Relationship Id="rId68" Type="http://schemas.openxmlformats.org/officeDocument/2006/relationships/hyperlink" Target="https://www.mouser.co.uk/ProductDetail/IXYS/IXFP60N25X3?qs=5aG0NVq1C4yTnBULxG9HTw%3D%3D" TargetMode="External"/><Relationship Id="rId7" Type="http://schemas.openxmlformats.org/officeDocument/2006/relationships/hyperlink" Target="https://www.mouser.co.uk/ProductDetail/KYOCERA-AVX/SR211C104KAATR1?qs=sGAEpiMZZMvsSlwiRhF8qvcZFLKdtpl4z1Dx0c%252BnWlY%3D" TargetMode="External"/><Relationship Id="rId71" Type="http://schemas.openxmlformats.org/officeDocument/2006/relationships/hyperlink" Target="https://www.mouser.co.uk/ProductDetail/IXYS/IXFP60N25X3?qs=5aG0NVq1C4yTnBULxG9HTw%3D%3D" TargetMode="External"/><Relationship Id="rId2" Type="http://schemas.openxmlformats.org/officeDocument/2006/relationships/hyperlink" Target="https://www.mouser.co.uk/ProductDetail/Nichicon/UPW1E471MPD6TA?qs=%252Bj3bNAeznFUL2kyej8zyGg%3D%3D" TargetMode="External"/><Relationship Id="rId16" Type="http://schemas.openxmlformats.org/officeDocument/2006/relationships/hyperlink" Target="https://www.mouser.co.uk/ProductDetail/TDK/FK16X7R1C106K?qs=zLBlM7QTTNo2fF6bge9DGw%3D%3D" TargetMode="External"/><Relationship Id="rId29" Type="http://schemas.openxmlformats.org/officeDocument/2006/relationships/hyperlink" Target="https://www.mouser.co.uk/ProductDetail/onsemi/1N4149?qs=i4Fj9T%2FoRm%2FvLHm7C0TH8w%3D%3D" TargetMode="External"/><Relationship Id="rId11" Type="http://schemas.openxmlformats.org/officeDocument/2006/relationships/hyperlink" Target="https://www.mouser.co.uk/ProductDetail/KYOCERA-AVX/SR211C104KAATR1?qs=sGAEpiMZZMvsSlwiRhF8qvcZFLKdtpl4z1Dx0c%252BnWlY%3D" TargetMode="External"/><Relationship Id="rId24" Type="http://schemas.openxmlformats.org/officeDocument/2006/relationships/hyperlink" Target="https://www.mouser.co.uk/ProductDetail/TDK/FK16X7R1C106K?qs=zLBlM7QTTNo2fF6bge9DGw%3D%3D" TargetMode="External"/><Relationship Id="rId32" Type="http://schemas.openxmlformats.org/officeDocument/2006/relationships/hyperlink" Target="https://www.mouser.co.uk/ProductDetail/onsemi/1N4149?qs=i4Fj9T%2FoRm%2FvLHm7C0TH8w%3D%3D" TargetMode="External"/><Relationship Id="rId37" Type="http://schemas.openxmlformats.org/officeDocument/2006/relationships/hyperlink" Target="https://www.mouser.co.uk/ProductDetail/Taiwan-Semiconductor/MUR420-R0?qs=dv9KMQQLqv0Mtply6g8TSg%3D%3D" TargetMode="External"/><Relationship Id="rId40" Type="http://schemas.openxmlformats.org/officeDocument/2006/relationships/hyperlink" Target="https://www.mouser.co.uk/ProductDetail/Wakefield-Thermal/647-25ABPE?qs=1%252ByrAFyf4wEF4vm1j%252Byz0w%3D%3D" TargetMode="External"/><Relationship Id="rId45" Type="http://schemas.openxmlformats.org/officeDocument/2006/relationships/hyperlink" Target="https://www.aliexpress.com/item/1005007001183779.html?spm=a2g0o.cart.0.0.3f7738daE8N6Kp&amp;mp=1&amp;pdp_npi=6%40dis%21GBP%21GBP%201.34%21GBP%201.27%21%21GBP%201.27%21%21%21%402103985c17696857200332011ea163%2112000039009277917%21ct%21UK%214911257576%21%211%210%21" TargetMode="External"/><Relationship Id="rId53" Type="http://schemas.openxmlformats.org/officeDocument/2006/relationships/hyperlink" Target="https://www.aliexpress.com/item/1005008216457372.html?spm=a2g0o.order_detail.order_detail_item.3.5ee5f19cFwkSvQ" TargetMode="External"/><Relationship Id="rId58" Type="http://schemas.openxmlformats.org/officeDocument/2006/relationships/hyperlink" Target="https://www.mouser.co.uk/ProductDetail/Texas-Instruments/LM4040A20IDBZR?qs=VBduBm9rCJS7ix0kTeCDJA%3D%3D" TargetMode="External"/><Relationship Id="rId66" Type="http://schemas.openxmlformats.org/officeDocument/2006/relationships/hyperlink" Target="https://www.aliexpress.com/item/1005005871456289.html?spm=a2g0o.order_list.order_list_main.167.7f241802X7yGNh" TargetMode="External"/><Relationship Id="rId74" Type="http://schemas.openxmlformats.org/officeDocument/2006/relationships/printerSettings" Target="../printerSettings/printerSettings1.bin"/><Relationship Id="rId5" Type="http://schemas.openxmlformats.org/officeDocument/2006/relationships/hyperlink" Target="https://www.mouser.co.uk/ProductDetail/Nichicon/UPW1E471MPD6TA?qs=%252Bj3bNAeznFUL2kyej8zyGg%3D%3D" TargetMode="External"/><Relationship Id="rId15" Type="http://schemas.openxmlformats.org/officeDocument/2006/relationships/hyperlink" Target="https://www.mouser.co.uk/ProductDetail/KYOCERA-AVX/SR211C104KAATR1?qs=sGAEpiMZZMvsSlwiRhF8qvcZFLKdtpl4z1Dx0c%252BnWlY%3D" TargetMode="External"/><Relationship Id="rId23" Type="http://schemas.openxmlformats.org/officeDocument/2006/relationships/hyperlink" Target="https://www.mouser.co.uk/ProductDetail/TDK/FG26X7R2A105KNT06?qs=qf2ddTMq67XO0I1H0ed67A%3D%3D" TargetMode="External"/><Relationship Id="rId28" Type="http://schemas.openxmlformats.org/officeDocument/2006/relationships/hyperlink" Target="https://www.mouser.co.uk/ProductDetail/STMicroelectronics/1N5822?qs=JV7lzlMm3yJ50hlrGV6%252BnQ%3D%3D" TargetMode="External"/><Relationship Id="rId36" Type="http://schemas.openxmlformats.org/officeDocument/2006/relationships/hyperlink" Target="https://www.mouser.co.uk/ProductDetail/onsemi/1N4149?qs=i4Fj9T%2FoRm%2FvLHm7C0TH8w%3D%3D" TargetMode="External"/><Relationship Id="rId49" Type="http://schemas.openxmlformats.org/officeDocument/2006/relationships/hyperlink" Target="https://www.aliexpress.com/item/1005007001183779.html?spm=a2g0o.cart.0.0.3f7738daE8N6Kp&amp;mp=1&amp;pdp_npi=6%40dis%21GBP%21GBP%201.34%21GBP%201.27%21%21GBP%201.27%21%21%21%402103985c17696857200332011ea163%2112000039009277917%21ct%21UK%214911257576%21%211%210%21" TargetMode="External"/><Relationship Id="rId57" Type="http://schemas.openxmlformats.org/officeDocument/2006/relationships/hyperlink" Target="https://www.mouser.co.uk/ProductDetail/Analog-Devices/AD7822BNZ?qs=%2FtpEQrCGXCyXv71BkCSjyQ%3D%3D" TargetMode="External"/><Relationship Id="rId61" Type="http://schemas.openxmlformats.org/officeDocument/2006/relationships/hyperlink" Target="https://www.aliexpress.com/item/1005005871456289.html?spm=a2g0o.order_list.order_list_main.167.7f241802X7yGNh" TargetMode="External"/><Relationship Id="rId10" Type="http://schemas.openxmlformats.org/officeDocument/2006/relationships/hyperlink" Target="https://www.mouser.co.uk/ProductDetail/KYOCERA-AVX/SR211C104KAATR1?qs=sGAEpiMZZMvsSlwiRhF8qvcZFLKdtpl4z1Dx0c%252BnWlY%3D" TargetMode="External"/><Relationship Id="rId19" Type="http://schemas.openxmlformats.org/officeDocument/2006/relationships/hyperlink" Target="https://www.mouser.co.uk/ProductDetail/Coilcraft/SER2918H-223KL?qs=zCSbvcPd3pbugGZO%2F8SqDw%3D%3D" TargetMode="External"/><Relationship Id="rId31" Type="http://schemas.openxmlformats.org/officeDocument/2006/relationships/hyperlink" Target="https://www.mouser.co.uk/ProductDetail/onsemi/1N4149?qs=i4Fj9T%2FoRm%2FvLHm7C0TH8w%3D%3D" TargetMode="External"/><Relationship Id="rId44" Type="http://schemas.openxmlformats.org/officeDocument/2006/relationships/hyperlink" Target="https://www.aliexpress.com/item/1005007001183779.html?spm=a2g0o.cart.0.0.3f7738daE8N6Kp&amp;mp=1&amp;pdp_npi=6%40dis%21GBP%21GBP%201.34%21GBP%201.27%21%21GBP%201.27%21%21%21%402103985c17696857200332011ea163%2112000039009277917%21ct%21UK%214911257576%21%211%210%21" TargetMode="External"/><Relationship Id="rId52" Type="http://schemas.openxmlformats.org/officeDocument/2006/relationships/hyperlink" Target="https://www.coilcraft.com/en-us/products/transformers/power-transformers/current-sensing/cst2020/cst2020-200l/?srsltid=AfmBOopIh5XroH3DbMZZ7wBeaNkMRH6IJqVoqDL4aVMxHAmLDTLoe6sg" TargetMode="External"/><Relationship Id="rId60" Type="http://schemas.openxmlformats.org/officeDocument/2006/relationships/hyperlink" Target="https://www.aliexpress.com/item/1005005871456289.html?spm=a2g0o.order_list.order_list_main.167.7f241802X7yGNh" TargetMode="External"/><Relationship Id="rId65" Type="http://schemas.openxmlformats.org/officeDocument/2006/relationships/hyperlink" Target="https://www.aliexpress.com/item/1005005871456289.html?spm=a2g0o.order_list.order_list_main.167.7f241802X7yGNh" TargetMode="External"/><Relationship Id="rId73" Type="http://schemas.openxmlformats.org/officeDocument/2006/relationships/hyperlink" Target="https://www.mouser.co.uk/ProductDetail/Infineon-Technologies/IR2010PBF?qs=2r01AXMCG3OJtVSU%2F%252BPmvA%3D%3D" TargetMode="External"/><Relationship Id="rId4" Type="http://schemas.openxmlformats.org/officeDocument/2006/relationships/hyperlink" Target="https://www.mouser.co.uk/ProductDetail/Panasonic/ECA-1JM102?qs=EZwXiknEaqTHw%252BmBjjudqg%3D%3D" TargetMode="External"/><Relationship Id="rId9" Type="http://schemas.openxmlformats.org/officeDocument/2006/relationships/hyperlink" Target="https://www.mouser.co.uk/ProductDetail/Vishay-BC-Components/K103K15X7RF5TK2?qs=sYfpZ29HcUSZbtKxC8Ci1g%3D%3D" TargetMode="External"/><Relationship Id="rId14" Type="http://schemas.openxmlformats.org/officeDocument/2006/relationships/hyperlink" Target="https://www.mouser.co.uk/ProductDetail/KYOCERA-AVX/SR211C104KAATR1?qs=sGAEpiMZZMvsSlwiRhF8qvcZFLKdtpl4z1Dx0c%252BnWlY%3D" TargetMode="External"/><Relationship Id="rId22" Type="http://schemas.openxmlformats.org/officeDocument/2006/relationships/hyperlink" Target="https://www.mouser.co.uk/ProductDetail/TDK/FG26X7R2A105KNT06?qs=qf2ddTMq67XO0I1H0ed67A%3D%3D" TargetMode="External"/><Relationship Id="rId27" Type="http://schemas.openxmlformats.org/officeDocument/2006/relationships/hyperlink" Target="https://www.mouser.co.uk/ProductDetail/KYOCERA-AVX/SL155C472MAB?qs=sGAEpiMZZMvsSlwiRhF8qqaXG%2FqyeHNlBnneqO%252BRH5mxkDSvEuox%252BQ%3D%3D" TargetMode="External"/><Relationship Id="rId30" Type="http://schemas.openxmlformats.org/officeDocument/2006/relationships/hyperlink" Target="https://www.mouser.co.uk/ProductDetail/onsemi/1N4149?qs=i4Fj9T%2FoRm%2FvLHm7C0TH8w%3D%3D" TargetMode="External"/><Relationship Id="rId35" Type="http://schemas.openxmlformats.org/officeDocument/2006/relationships/hyperlink" Target="https://www.mouser.co.uk/ProductDetail/STMicroelectronics/1N5822?qs=JV7lzlMm3yJ50hlrGV6%252BnQ%3D%3D" TargetMode="External"/><Relationship Id="rId43" Type="http://schemas.openxmlformats.org/officeDocument/2006/relationships/hyperlink" Target="https://www.mouser.co.uk/ProductDetail/Wakefield-Thermal/647-25ABPE?qs=1%252ByrAFyf4wEF4vm1j%252Byz0w%3D%3D" TargetMode="External"/><Relationship Id="rId48" Type="http://schemas.openxmlformats.org/officeDocument/2006/relationships/hyperlink" Target="https://www.aliexpress.com/item/1005007001183779.html?spm=a2g0o.cart.0.0.3f7738daE8N6Kp&amp;mp=1&amp;pdp_npi=6%40dis%21GBP%21GBP%201.34%21GBP%201.27%21%21GBP%201.27%21%21%21%402103985c17696857200332011ea163%2112000039009277917%21ct%21UK%214911257576%21%211%210%21" TargetMode="External"/><Relationship Id="rId56" Type="http://schemas.openxmlformats.org/officeDocument/2006/relationships/hyperlink" Target="https://www.mouser.co.uk/ProductDetail/Analog-Devices/AD7822BNZ?qs=%2FtpEQrCGXCyXv71BkCSjyQ%3D%3D" TargetMode="External"/><Relationship Id="rId64" Type="http://schemas.openxmlformats.org/officeDocument/2006/relationships/hyperlink" Target="https://www.aliexpress.com/item/1005005871456289.html?spm=a2g0o.order_list.order_list_main.167.7f241802X7yGNh" TargetMode="External"/><Relationship Id="rId69" Type="http://schemas.openxmlformats.org/officeDocument/2006/relationships/hyperlink" Target="https://www.mouser.co.uk/ProductDetail/IXYS/IXFP60N25X3?qs=5aG0NVq1C4yTnBULxG9HTw%3D%3D" TargetMode="External"/><Relationship Id="rId8" Type="http://schemas.openxmlformats.org/officeDocument/2006/relationships/hyperlink" Target="https://www.mouser.co.uk/ProductDetail/KYOCERA-AVX/SR211C104KAATR1?qs=sGAEpiMZZMvsSlwiRhF8qvcZFLKdtpl4z1Dx0c%252BnWlY%3D" TargetMode="External"/><Relationship Id="rId51" Type="http://schemas.openxmlformats.org/officeDocument/2006/relationships/hyperlink" Target="https://www.mouser.co.uk/ProductDetail/YAGEO/MFR50SFTE52-1K33?qs=UFD7vfw3J8osCEB2xFvg0Q%3D%3D" TargetMode="External"/><Relationship Id="rId72" Type="http://schemas.openxmlformats.org/officeDocument/2006/relationships/hyperlink" Target="https://www.mouser.co.uk/ProductDetail/Infineon-Technologies/IR2010PBF?qs=2r01AXMCG3OJtVSU%2F%252BPmvA%3D%3D" TargetMode="External"/><Relationship Id="rId3" Type="http://schemas.openxmlformats.org/officeDocument/2006/relationships/hyperlink" Target="https://www.mouser.co.uk/ProductDetail/Panasonic/ECA-1JM102?qs=EZwXiknEaqTHw%252BmBjjudqg%3D%3D" TargetMode="External"/><Relationship Id="rId12" Type="http://schemas.openxmlformats.org/officeDocument/2006/relationships/hyperlink" Target="https://www.mouser.co.uk/ProductDetail/KYOCERA-AVX/SR211C104KAATR1?qs=sGAEpiMZZMvsSlwiRhF8qvcZFLKdtpl4z1Dx0c%252BnWlY%3D" TargetMode="External"/><Relationship Id="rId17" Type="http://schemas.openxmlformats.org/officeDocument/2006/relationships/hyperlink" Target="https://www.mouser.co.uk/ProductDetail/TDK/FK16X7R1C106K?qs=zLBlM7QTTNo2fF6bge9DGw%3D%3D" TargetMode="External"/><Relationship Id="rId25" Type="http://schemas.openxmlformats.org/officeDocument/2006/relationships/hyperlink" Target="https://www.mouser.co.uk/ProductDetail/TDK/FK16X7R1C106K?qs=zLBlM7QTTNo2fF6bge9DGw%3D%3D" TargetMode="External"/><Relationship Id="rId33" Type="http://schemas.openxmlformats.org/officeDocument/2006/relationships/hyperlink" Target="https://www.mouser.co.uk/ProductDetail/onsemi/1N4149?qs=i4Fj9T%2FoRm%2FvLHm7C0TH8w%3D%3D" TargetMode="External"/><Relationship Id="rId38" Type="http://schemas.openxmlformats.org/officeDocument/2006/relationships/hyperlink" Target="https://www.mouser.co.uk/ProductDetail/Taiwan-Semiconductor/MUR420-R0?qs=dv9KMQQLqv0Mtply6g8TSg%3D%3D" TargetMode="External"/><Relationship Id="rId46" Type="http://schemas.openxmlformats.org/officeDocument/2006/relationships/hyperlink" Target="https://www.aliexpress.com/item/1005007001183779.html?spm=a2g0o.cart.0.0.3f7738daE8N6Kp&amp;mp=1&amp;pdp_npi=6%40dis%21GBP%21GBP%201.34%21GBP%201.27%21%21GBP%201.27%21%21%21%402103985c17696857200332011ea163%2112000039009277917%21ct%21UK%214911257576%21%211%210%21" TargetMode="External"/><Relationship Id="rId59" Type="http://schemas.openxmlformats.org/officeDocument/2006/relationships/hyperlink" Target="https://www.aliexpress.com/item/1005005871456289.html?spm=a2g0o.order_list.order_list_main.167.7f241802X7yGNh" TargetMode="External"/><Relationship Id="rId67" Type="http://schemas.openxmlformats.org/officeDocument/2006/relationships/hyperlink" Target="https://www.mouser.co.uk/ProductDetail/Texas-Instruments/LM4040A20IDBZR?qs=VBduBm9rCJS7ix0kTeCDJA%3D%3D" TargetMode="External"/><Relationship Id="rId20" Type="http://schemas.openxmlformats.org/officeDocument/2006/relationships/hyperlink" Target="https://www.mouser.co.uk/ProductDetail/TDK/FG26X7R2A105KNT06?qs=qf2ddTMq67XO0I1H0ed67A%3D%3D" TargetMode="External"/><Relationship Id="rId41" Type="http://schemas.openxmlformats.org/officeDocument/2006/relationships/hyperlink" Target="https://www.mouser.co.uk/ProductDetail/Wakefield-Thermal/647-25ABPE?qs=1%252ByrAFyf4wEF4vm1j%252Byz0w%3D%3D" TargetMode="External"/><Relationship Id="rId54" Type="http://schemas.openxmlformats.org/officeDocument/2006/relationships/hyperlink" Target="https://www.mouser.co.uk/ProductDetail/Texas-Instruments/LM4040A20IDBZR?qs=VBduBm9rCJS7ix0kTeCDJA%3D%3D" TargetMode="External"/><Relationship Id="rId62" Type="http://schemas.openxmlformats.org/officeDocument/2006/relationships/hyperlink" Target="https://www.aliexpress.com/item/1005005871456289.html?spm=a2g0o.order_list.order_list_main.167.7f241802X7yGNh" TargetMode="External"/><Relationship Id="rId70" Type="http://schemas.openxmlformats.org/officeDocument/2006/relationships/hyperlink" Target="https://www.mouser.co.uk/ProductDetail/IXYS/IXFP60N25X3?qs=5aG0NVq1C4yTnBULxG9HTw%3D%3D" TargetMode="External"/><Relationship Id="rId1" Type="http://schemas.openxmlformats.org/officeDocument/2006/relationships/hyperlink" Target="https://www.mouser.co.uk/ProductDetail/Panasonic/ECA-1JM102?qs=EZwXiknEaqTHw%252BmBjjudqg%3D%3D" TargetMode="External"/><Relationship Id="rId6" Type="http://schemas.openxmlformats.org/officeDocument/2006/relationships/hyperlink" Target="https://www.mouser.co.uk/ProductDetail/KYOCERA-AVX/SR211C104KAATR1?qs=sGAEpiMZZMvsSlwiRhF8qvcZFLKdtpl4z1Dx0c%252BnWlY%3D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mouser.co.uk/ProductDetail/Ohmite/SM108033006FE?qs=sGAEpiMZZMsPqMdJzcrNwsJljJEG6Yukcxhr%252BDB3b%252B8%3D" TargetMode="External"/><Relationship Id="rId3" Type="http://schemas.openxmlformats.org/officeDocument/2006/relationships/hyperlink" Target="https://www.mouser.co.uk/ProductDetail/YAGEO/MFR-25FBF52-45K3?qs=sGAEpiMZZMsPqMdJzcrNwvki5I7GwxKeE3xxvbKgyM0%3D" TargetMode="External"/><Relationship Id="rId7" Type="http://schemas.openxmlformats.org/officeDocument/2006/relationships/hyperlink" Target="https://www.aliexpress.com/item/1005004279932436.html?pdp_npi=4%40dis%21GBP%21%EF%BF%A11.33%21%EF%BF%A11.33%21%21%2111.82%2111.82%21%40211b619a17401876960841815eaddb%2112000035453859120%21sh%21UK%214911257576%21X&amp;spm=a2g0o.store_pc_allItems" TargetMode="External"/><Relationship Id="rId2" Type="http://schemas.openxmlformats.org/officeDocument/2006/relationships/hyperlink" Target="https://www.mouser.co.uk/ProductDetail/Ohmite/SM108033006FE?qs=sGAEpiMZZMsPqMdJzcrNwsJljJEG6Yukcxhr%252BDB3b%252B8%3D" TargetMode="External"/><Relationship Id="rId1" Type="http://schemas.openxmlformats.org/officeDocument/2006/relationships/hyperlink" Target="https://www.mouser.co.uk/ProductDetail/KEMET/C317C300J5G5TA?qs=b8KOIaRqXtdsFXPxXiN2GA%3D%3D" TargetMode="External"/><Relationship Id="rId6" Type="http://schemas.openxmlformats.org/officeDocument/2006/relationships/hyperlink" Target="https://www.mouser.co.uk/ProductDetail/Murata-Power-Solutions/MHR0844SA107F70?qs=T3oQrply3y%252Bo2f2KmFIg%2Fg%3D%3D" TargetMode="External"/><Relationship Id="rId11" Type="http://schemas.openxmlformats.org/officeDocument/2006/relationships/drawing" Target="../drawings/drawing2.xml"/><Relationship Id="rId5" Type="http://schemas.openxmlformats.org/officeDocument/2006/relationships/hyperlink" Target="https://www.mouser.co.uk/ProductDetail/Ohmite/SM108033006FE?qs=sGAEpiMZZMsPqMdJzcrNwsJljJEG6Yukcxhr%252BDB3b%252B8%3D" TargetMode="External"/><Relationship Id="rId10" Type="http://schemas.openxmlformats.org/officeDocument/2006/relationships/printerSettings" Target="../printerSettings/printerSettings3.bin"/><Relationship Id="rId4" Type="http://schemas.openxmlformats.org/officeDocument/2006/relationships/hyperlink" Target="https://www.mouser.co.uk/ProductDetail/YAGEO/MFR-25FRF52-27K?qs=sGAEpiMZZMsPqMdJzcrNwiweiCzxKzWLhyrsT9Ty9ww%3D" TargetMode="External"/><Relationship Id="rId9" Type="http://schemas.openxmlformats.org/officeDocument/2006/relationships/hyperlink" Target="https://www.aliexpress.com/item/1005004279932436.html?pdp_npi=4%40dis%21GBP%21%EF%BF%A11.33%21%EF%BF%A11.33%21%21%2111.82%2111.82%21%40211b619a17401876960841815eaddb%2112000035453859120%21sh%21UK%214911257576%21X&amp;spm=a2g0o.store_pc_allItems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s://www.trentplastics.co.uk/product/clear-acrylic-tube/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aliexpress.com/item/1005006754784195.html?spm=a2g0o.cart.0.0.322938daTrlqB9&amp;mp=1&amp;pdp_npi=5%40dis%21GBP%21GBP%204.14%21GBP%204.14%21%21%21%21%21%4021038df617417047619325936ee264%2112000038195597222%21ct%21UK%214911257576%21%211%210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hyperlink" Target="https://www.mouser.co.uk/ProductDetail/TE-Connectivity/5055323-5?qs=Y2IUIqUeZibHL7okQXpZvA%3D%3D" TargetMode="External"/><Relationship Id="rId1" Type="http://schemas.openxmlformats.org/officeDocument/2006/relationships/hyperlink" Target="https://eu.mouser.com/ProductDetail/TE-Connectivity/9-55556-0?qs=mJctyx65val65L6gnKaTLA%3D%3D&amp;countryCode=GB&amp;currencyCode=GB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Y591"/>
  <sheetViews>
    <sheetView tabSelected="1" zoomScale="85" zoomScaleNormal="85" workbookViewId="0">
      <pane ySplit="1" topLeftCell="A101" activePane="bottomLeft" state="frozen"/>
      <selection activeCell="I1" sqref="I1"/>
      <selection pane="bottomLeft" activeCell="C114" sqref="C114"/>
    </sheetView>
  </sheetViews>
  <sheetFormatPr defaultRowHeight="15" x14ac:dyDescent="0.25"/>
  <cols>
    <col min="1" max="1" width="26.85546875" style="48" customWidth="1"/>
    <col min="2" max="2" width="16.5703125" style="148" customWidth="1"/>
    <col min="3" max="3" width="8.85546875" style="186" customWidth="1"/>
    <col min="4" max="4" width="24.85546875" style="3" customWidth="1"/>
    <col min="5" max="5" width="12.5703125" style="9" customWidth="1"/>
    <col min="6" max="6" width="50.85546875" style="10" customWidth="1"/>
    <col min="7" max="7" width="23.28515625" style="8" customWidth="1"/>
    <col min="8" max="8" width="12.140625" style="11" customWidth="1"/>
    <col min="9" max="9" width="18.7109375" style="13" customWidth="1"/>
    <col min="10" max="10" width="13.140625" style="14" customWidth="1"/>
    <col min="11" max="11" width="39.42578125" style="4" customWidth="1"/>
    <col min="12" max="12" width="14.85546875" style="2" customWidth="1"/>
    <col min="13" max="13" width="13.140625" style="5" customWidth="1"/>
    <col min="14" max="14" width="12.42578125" style="6" customWidth="1"/>
    <col min="15" max="15" width="8.85546875" style="10" customWidth="1"/>
    <col min="16" max="16" width="9.140625" style="15" customWidth="1"/>
    <col min="17" max="17" width="9.42578125" style="17" customWidth="1"/>
    <col min="18" max="18" width="24.7109375" style="16" customWidth="1"/>
    <col min="19" max="19" width="10" style="21" customWidth="1"/>
    <col min="20" max="20" width="10.28515625" style="20" customWidth="1"/>
    <col min="21" max="21" width="9.140625" style="18"/>
    <col min="22" max="22" width="9.140625" style="19"/>
    <col min="23" max="16384" width="9.140625" style="1"/>
  </cols>
  <sheetData>
    <row r="1" spans="1:22" s="12" customFormat="1" ht="36.75" customHeight="1" x14ac:dyDescent="0.25">
      <c r="A1" s="54" t="s">
        <v>21</v>
      </c>
      <c r="B1" s="150" t="s">
        <v>213</v>
      </c>
      <c r="C1" s="179" t="s">
        <v>626</v>
      </c>
      <c r="D1" s="56" t="s">
        <v>22</v>
      </c>
      <c r="E1" s="154" t="s">
        <v>177</v>
      </c>
      <c r="F1" s="57" t="s">
        <v>1</v>
      </c>
      <c r="G1" s="58" t="s">
        <v>2</v>
      </c>
      <c r="H1" s="59" t="s">
        <v>3</v>
      </c>
      <c r="I1" s="60" t="s">
        <v>4</v>
      </c>
      <c r="J1" s="61" t="s">
        <v>5</v>
      </c>
      <c r="K1" s="62" t="s">
        <v>6</v>
      </c>
      <c r="L1" s="63" t="s">
        <v>7</v>
      </c>
      <c r="M1" s="64" t="s">
        <v>8</v>
      </c>
      <c r="N1" s="65" t="s">
        <v>9</v>
      </c>
      <c r="O1" s="57" t="s">
        <v>10</v>
      </c>
      <c r="P1" s="66" t="s">
        <v>11</v>
      </c>
      <c r="Q1" s="67" t="s">
        <v>12</v>
      </c>
      <c r="R1" s="68" t="s">
        <v>13</v>
      </c>
      <c r="S1" s="69" t="s">
        <v>14</v>
      </c>
      <c r="T1" s="70" t="s">
        <v>15</v>
      </c>
      <c r="U1" s="71" t="s">
        <v>17</v>
      </c>
      <c r="V1" s="72" t="s">
        <v>19</v>
      </c>
    </row>
    <row r="2" spans="1:22" ht="12.75" x14ac:dyDescent="0.25">
      <c r="A2" s="166" t="s">
        <v>212</v>
      </c>
      <c r="B2" s="147" t="s">
        <v>214</v>
      </c>
      <c r="C2" s="33"/>
      <c r="D2" s="53" t="s">
        <v>190</v>
      </c>
      <c r="E2" s="47" t="s">
        <v>43</v>
      </c>
      <c r="F2" s="24" t="s">
        <v>188</v>
      </c>
      <c r="G2" s="25" t="s">
        <v>188</v>
      </c>
      <c r="H2" s="26"/>
      <c r="I2" s="27"/>
      <c r="J2" s="28"/>
      <c r="K2" s="29" t="s">
        <v>189</v>
      </c>
      <c r="L2" s="30" t="s">
        <v>424</v>
      </c>
      <c r="M2" s="40">
        <v>0.2</v>
      </c>
      <c r="N2" s="32" t="s">
        <v>425</v>
      </c>
      <c r="O2" s="24"/>
      <c r="P2" s="33" t="s">
        <v>426</v>
      </c>
      <c r="Q2" s="34" t="s">
        <v>178</v>
      </c>
      <c r="R2" s="35" t="s">
        <v>191</v>
      </c>
      <c r="S2" s="52">
        <v>1.79</v>
      </c>
      <c r="T2" s="37" t="s">
        <v>16</v>
      </c>
      <c r="U2" s="38" t="s">
        <v>18</v>
      </c>
      <c r="V2" s="22" t="s">
        <v>20</v>
      </c>
    </row>
    <row r="3" spans="1:22" ht="15" customHeight="1" x14ac:dyDescent="0.25">
      <c r="A3" s="166"/>
      <c r="B3" s="147" t="s">
        <v>215</v>
      </c>
      <c r="C3" s="33"/>
      <c r="D3" s="53" t="s">
        <v>190</v>
      </c>
      <c r="E3" s="47" t="s">
        <v>43</v>
      </c>
      <c r="F3" s="24" t="s">
        <v>188</v>
      </c>
      <c r="G3" s="25" t="s">
        <v>188</v>
      </c>
      <c r="H3" s="26"/>
      <c r="I3" s="27"/>
      <c r="J3" s="28"/>
      <c r="K3" s="29" t="s">
        <v>189</v>
      </c>
      <c r="L3" s="30" t="s">
        <v>424</v>
      </c>
      <c r="M3" s="40">
        <v>0.2</v>
      </c>
      <c r="N3" s="32" t="s">
        <v>425</v>
      </c>
      <c r="O3" s="24"/>
      <c r="P3" s="33" t="s">
        <v>426</v>
      </c>
      <c r="Q3" s="34" t="s">
        <v>178</v>
      </c>
      <c r="R3" s="35" t="s">
        <v>191</v>
      </c>
      <c r="S3" s="52">
        <v>1.79</v>
      </c>
      <c r="T3" s="37"/>
      <c r="U3" s="38"/>
      <c r="V3" s="22"/>
    </row>
    <row r="4" spans="1:22" ht="15" customHeight="1" x14ac:dyDescent="0.25">
      <c r="A4" s="166"/>
      <c r="B4" s="147" t="s">
        <v>216</v>
      </c>
      <c r="C4" s="33"/>
      <c r="D4" s="53" t="s">
        <v>190</v>
      </c>
      <c r="E4" s="47" t="s">
        <v>43</v>
      </c>
      <c r="F4" s="24" t="s">
        <v>188</v>
      </c>
      <c r="G4" s="25" t="s">
        <v>188</v>
      </c>
      <c r="H4" s="26"/>
      <c r="I4" s="27"/>
      <c r="J4" s="28"/>
      <c r="K4" s="29" t="s">
        <v>189</v>
      </c>
      <c r="L4" s="30" t="s">
        <v>424</v>
      </c>
      <c r="M4" s="40">
        <v>0.2</v>
      </c>
      <c r="N4" s="32" t="s">
        <v>425</v>
      </c>
      <c r="O4" s="24"/>
      <c r="P4" s="33" t="s">
        <v>426</v>
      </c>
      <c r="Q4" s="34" t="s">
        <v>178</v>
      </c>
      <c r="R4" s="35" t="s">
        <v>191</v>
      </c>
      <c r="S4" s="52">
        <v>1.79</v>
      </c>
      <c r="T4" s="37"/>
      <c r="U4" s="38"/>
      <c r="V4" s="22"/>
    </row>
    <row r="5" spans="1:22" ht="15" customHeight="1" x14ac:dyDescent="0.25">
      <c r="A5" s="166"/>
      <c r="B5" s="147" t="s">
        <v>217</v>
      </c>
      <c r="C5" s="33"/>
      <c r="D5" s="53" t="s">
        <v>190</v>
      </c>
      <c r="E5" s="47" t="s">
        <v>43</v>
      </c>
      <c r="F5" s="24" t="s">
        <v>188</v>
      </c>
      <c r="G5" s="25" t="s">
        <v>188</v>
      </c>
      <c r="H5" s="26"/>
      <c r="I5" s="27"/>
      <c r="J5" s="28"/>
      <c r="K5" s="29" t="s">
        <v>189</v>
      </c>
      <c r="L5" s="30" t="s">
        <v>424</v>
      </c>
      <c r="M5" s="40">
        <v>0.2</v>
      </c>
      <c r="N5" s="32" t="s">
        <v>425</v>
      </c>
      <c r="O5" s="24"/>
      <c r="P5" s="33" t="s">
        <v>426</v>
      </c>
      <c r="Q5" s="34" t="s">
        <v>178</v>
      </c>
      <c r="R5" s="35" t="s">
        <v>191</v>
      </c>
      <c r="S5" s="52">
        <v>1.79</v>
      </c>
      <c r="T5" s="37"/>
      <c r="U5" s="38"/>
      <c r="V5" s="22"/>
    </row>
    <row r="6" spans="1:22" ht="12.75" x14ac:dyDescent="0.25">
      <c r="A6" s="166"/>
      <c r="B6" s="147" t="s">
        <v>218</v>
      </c>
      <c r="C6" s="33"/>
      <c r="D6" s="53" t="s">
        <v>190</v>
      </c>
      <c r="E6" s="47" t="s">
        <v>43</v>
      </c>
      <c r="F6" s="24" t="s">
        <v>188</v>
      </c>
      <c r="G6" s="25" t="s">
        <v>188</v>
      </c>
      <c r="H6" s="26"/>
      <c r="I6" s="27"/>
      <c r="J6" s="28"/>
      <c r="K6" s="29" t="s">
        <v>189</v>
      </c>
      <c r="L6" s="30" t="s">
        <v>424</v>
      </c>
      <c r="M6" s="40">
        <v>0.2</v>
      </c>
      <c r="N6" s="32" t="s">
        <v>425</v>
      </c>
      <c r="O6" s="24"/>
      <c r="P6" s="33" t="s">
        <v>426</v>
      </c>
      <c r="Q6" s="34" t="s">
        <v>178</v>
      </c>
      <c r="R6" s="35" t="s">
        <v>191</v>
      </c>
      <c r="S6" s="52">
        <v>1.79</v>
      </c>
      <c r="T6" s="37"/>
      <c r="U6" s="38"/>
      <c r="V6" s="22"/>
    </row>
    <row r="7" spans="1:22" ht="15" customHeight="1" x14ac:dyDescent="0.25">
      <c r="A7" s="166"/>
      <c r="B7" s="147" t="s">
        <v>219</v>
      </c>
      <c r="C7" s="33"/>
      <c r="D7" s="53" t="s">
        <v>190</v>
      </c>
      <c r="E7" s="47" t="s">
        <v>43</v>
      </c>
      <c r="F7" s="24" t="s">
        <v>188</v>
      </c>
      <c r="G7" s="25" t="s">
        <v>188</v>
      </c>
      <c r="H7" s="26"/>
      <c r="I7" s="27"/>
      <c r="J7" s="28"/>
      <c r="K7" s="29" t="s">
        <v>189</v>
      </c>
      <c r="L7" s="30" t="s">
        <v>424</v>
      </c>
      <c r="M7" s="40">
        <v>0.2</v>
      </c>
      <c r="N7" s="32" t="s">
        <v>425</v>
      </c>
      <c r="O7" s="24"/>
      <c r="P7" s="33" t="s">
        <v>426</v>
      </c>
      <c r="Q7" s="34" t="s">
        <v>178</v>
      </c>
      <c r="R7" s="35" t="s">
        <v>191</v>
      </c>
      <c r="S7" s="52">
        <v>1.79</v>
      </c>
      <c r="T7" s="37"/>
      <c r="U7" s="38"/>
      <c r="V7" s="22"/>
    </row>
    <row r="8" spans="1:22" ht="15" customHeight="1" x14ac:dyDescent="0.25">
      <c r="A8" s="166"/>
      <c r="B8" s="147" t="s">
        <v>220</v>
      </c>
      <c r="C8" s="33"/>
      <c r="D8" s="53" t="s">
        <v>190</v>
      </c>
      <c r="E8" s="47" t="s">
        <v>43</v>
      </c>
      <c r="F8" s="24" t="s">
        <v>188</v>
      </c>
      <c r="G8" s="25" t="s">
        <v>188</v>
      </c>
      <c r="H8" s="26"/>
      <c r="I8" s="27"/>
      <c r="J8" s="28"/>
      <c r="K8" s="29" t="s">
        <v>189</v>
      </c>
      <c r="L8" s="30" t="s">
        <v>424</v>
      </c>
      <c r="M8" s="40">
        <v>0.2</v>
      </c>
      <c r="N8" s="32" t="s">
        <v>425</v>
      </c>
      <c r="O8" s="24"/>
      <c r="P8" s="33" t="s">
        <v>426</v>
      </c>
      <c r="Q8" s="34" t="s">
        <v>178</v>
      </c>
      <c r="R8" s="35" t="s">
        <v>191</v>
      </c>
      <c r="S8" s="52">
        <v>1.79</v>
      </c>
      <c r="T8" s="37"/>
      <c r="U8" s="38"/>
      <c r="V8" s="22"/>
    </row>
    <row r="9" spans="1:22" ht="12.75" x14ac:dyDescent="0.25">
      <c r="A9" s="166"/>
      <c r="B9" s="147" t="s">
        <v>221</v>
      </c>
      <c r="C9" s="33"/>
      <c r="D9" s="53" t="s">
        <v>190</v>
      </c>
      <c r="E9" s="47" t="s">
        <v>43</v>
      </c>
      <c r="F9" s="24" t="s">
        <v>188</v>
      </c>
      <c r="G9" s="25" t="s">
        <v>188</v>
      </c>
      <c r="H9" s="26"/>
      <c r="I9" s="27"/>
      <c r="J9" s="28"/>
      <c r="K9" s="29" t="s">
        <v>189</v>
      </c>
      <c r="L9" s="30" t="s">
        <v>424</v>
      </c>
      <c r="M9" s="40">
        <v>0.2</v>
      </c>
      <c r="N9" s="32" t="s">
        <v>425</v>
      </c>
      <c r="O9" s="24"/>
      <c r="P9" s="33" t="s">
        <v>426</v>
      </c>
      <c r="Q9" s="34" t="s">
        <v>178</v>
      </c>
      <c r="R9" s="35" t="s">
        <v>191</v>
      </c>
      <c r="S9" s="52">
        <v>1.79</v>
      </c>
      <c r="T9" s="111"/>
      <c r="U9" s="38"/>
      <c r="V9" s="22"/>
    </row>
    <row r="10" spans="1:22" ht="12.75" x14ac:dyDescent="0.25">
      <c r="A10" s="166"/>
      <c r="B10" s="147" t="s">
        <v>222</v>
      </c>
      <c r="C10" s="33"/>
      <c r="D10" s="53" t="s">
        <v>190</v>
      </c>
      <c r="E10" s="47" t="s">
        <v>43</v>
      </c>
      <c r="F10" s="24" t="s">
        <v>188</v>
      </c>
      <c r="G10" s="25" t="s">
        <v>188</v>
      </c>
      <c r="H10" s="26"/>
      <c r="I10" s="27"/>
      <c r="J10" s="28"/>
      <c r="K10" s="29" t="s">
        <v>189</v>
      </c>
      <c r="L10" s="30" t="s">
        <v>424</v>
      </c>
      <c r="M10" s="40">
        <v>0.2</v>
      </c>
      <c r="N10" s="32" t="s">
        <v>425</v>
      </c>
      <c r="O10" s="24"/>
      <c r="P10" s="33" t="s">
        <v>426</v>
      </c>
      <c r="Q10" s="34" t="s">
        <v>178</v>
      </c>
      <c r="R10" s="35" t="s">
        <v>191</v>
      </c>
      <c r="S10" s="52">
        <v>1.79</v>
      </c>
      <c r="T10" s="111"/>
      <c r="U10" s="38"/>
      <c r="V10" s="22"/>
    </row>
    <row r="11" spans="1:22" ht="15" customHeight="1" x14ac:dyDescent="0.25">
      <c r="A11" s="166"/>
      <c r="B11" s="147" t="s">
        <v>223</v>
      </c>
      <c r="C11" s="76"/>
      <c r="D11" s="53" t="s">
        <v>190</v>
      </c>
      <c r="E11" s="47" t="s">
        <v>43</v>
      </c>
      <c r="F11" s="24" t="s">
        <v>188</v>
      </c>
      <c r="G11" s="25" t="s">
        <v>188</v>
      </c>
      <c r="H11" s="26"/>
      <c r="I11" s="27"/>
      <c r="J11" s="28"/>
      <c r="K11" s="29" t="s">
        <v>189</v>
      </c>
      <c r="L11" s="30" t="s">
        <v>424</v>
      </c>
      <c r="M11" s="40">
        <v>0.2</v>
      </c>
      <c r="N11" s="32" t="s">
        <v>425</v>
      </c>
      <c r="O11" s="24"/>
      <c r="P11" s="33" t="s">
        <v>426</v>
      </c>
      <c r="Q11" s="34" t="s">
        <v>178</v>
      </c>
      <c r="R11" s="35" t="s">
        <v>191</v>
      </c>
      <c r="S11" s="52">
        <v>1.79</v>
      </c>
      <c r="T11" s="111"/>
      <c r="U11" s="38"/>
      <c r="V11" s="22"/>
    </row>
    <row r="12" spans="1:22" ht="15" customHeight="1" x14ac:dyDescent="0.25">
      <c r="A12" s="166"/>
      <c r="B12" s="147" t="s">
        <v>224</v>
      </c>
      <c r="C12" s="33"/>
      <c r="D12" s="42" t="s">
        <v>439</v>
      </c>
      <c r="E12" s="47" t="s">
        <v>43</v>
      </c>
      <c r="F12" s="24" t="s">
        <v>440</v>
      </c>
      <c r="G12" s="25" t="s">
        <v>441</v>
      </c>
      <c r="H12" s="26"/>
      <c r="I12" s="27"/>
      <c r="J12" s="28"/>
      <c r="K12" s="29" t="s">
        <v>444</v>
      </c>
      <c r="L12" s="30" t="s">
        <v>445</v>
      </c>
      <c r="M12" s="40">
        <v>0.1</v>
      </c>
      <c r="N12" s="32" t="s">
        <v>31</v>
      </c>
      <c r="O12" s="24"/>
      <c r="P12" s="33"/>
      <c r="Q12" s="34" t="s">
        <v>438</v>
      </c>
      <c r="R12" s="35"/>
      <c r="S12" s="36"/>
      <c r="T12" s="111"/>
      <c r="U12" s="38"/>
      <c r="V12" s="22"/>
    </row>
    <row r="13" spans="1:22" ht="15" customHeight="1" x14ac:dyDescent="0.25">
      <c r="A13" s="166"/>
      <c r="B13" s="147" t="s">
        <v>225</v>
      </c>
      <c r="C13" s="33"/>
      <c r="D13" s="42" t="s">
        <v>439</v>
      </c>
      <c r="E13" s="47" t="s">
        <v>43</v>
      </c>
      <c r="F13" s="24" t="s">
        <v>440</v>
      </c>
      <c r="G13" s="25" t="s">
        <v>441</v>
      </c>
      <c r="H13" s="26"/>
      <c r="I13" s="27"/>
      <c r="J13" s="28"/>
      <c r="K13" s="29" t="s">
        <v>444</v>
      </c>
      <c r="L13" s="30" t="s">
        <v>445</v>
      </c>
      <c r="M13" s="40">
        <v>0.1</v>
      </c>
      <c r="N13" s="32" t="s">
        <v>31</v>
      </c>
      <c r="O13" s="24"/>
      <c r="P13" s="33"/>
      <c r="Q13" s="34" t="s">
        <v>438</v>
      </c>
      <c r="R13" s="35"/>
      <c r="S13" s="36"/>
      <c r="T13" s="111"/>
      <c r="U13" s="38"/>
      <c r="V13" s="22"/>
    </row>
    <row r="14" spans="1:22" ht="12.75" x14ac:dyDescent="0.25">
      <c r="A14" s="166"/>
      <c r="B14" s="147" t="s">
        <v>226</v>
      </c>
      <c r="C14" s="33"/>
      <c r="D14" s="42" t="s">
        <v>439</v>
      </c>
      <c r="E14" s="47" t="s">
        <v>43</v>
      </c>
      <c r="F14" s="24" t="s">
        <v>440</v>
      </c>
      <c r="G14" s="25" t="s">
        <v>441</v>
      </c>
      <c r="H14" s="26"/>
      <c r="I14" s="27"/>
      <c r="J14" s="28"/>
      <c r="K14" s="29" t="s">
        <v>444</v>
      </c>
      <c r="L14" s="30" t="s">
        <v>445</v>
      </c>
      <c r="M14" s="40">
        <v>0.1</v>
      </c>
      <c r="N14" s="32" t="s">
        <v>31</v>
      </c>
      <c r="O14" s="24"/>
      <c r="P14" s="33"/>
      <c r="Q14" s="34" t="s">
        <v>438</v>
      </c>
      <c r="R14" s="35"/>
      <c r="S14" s="36"/>
      <c r="T14" s="111"/>
      <c r="U14" s="38"/>
      <c r="V14" s="22"/>
    </row>
    <row r="15" spans="1:22" ht="12.75" x14ac:dyDescent="0.25">
      <c r="A15" s="166"/>
      <c r="B15" s="147" t="s">
        <v>227</v>
      </c>
      <c r="C15" s="33"/>
      <c r="D15" s="42" t="s">
        <v>439</v>
      </c>
      <c r="E15" s="47" t="s">
        <v>43</v>
      </c>
      <c r="F15" s="24" t="s">
        <v>440</v>
      </c>
      <c r="G15" s="25" t="s">
        <v>441</v>
      </c>
      <c r="H15" s="26"/>
      <c r="I15" s="27"/>
      <c r="J15" s="28"/>
      <c r="K15" s="29" t="s">
        <v>444</v>
      </c>
      <c r="L15" s="30" t="s">
        <v>445</v>
      </c>
      <c r="M15" s="40">
        <v>0.1</v>
      </c>
      <c r="N15" s="32" t="s">
        <v>31</v>
      </c>
      <c r="O15" s="24"/>
      <c r="P15" s="33"/>
      <c r="Q15" s="34" t="s">
        <v>438</v>
      </c>
      <c r="R15" s="35"/>
      <c r="S15" s="36"/>
      <c r="T15" s="111"/>
      <c r="U15" s="38"/>
      <c r="V15" s="22"/>
    </row>
    <row r="16" spans="1:22" ht="12.75" x14ac:dyDescent="0.25">
      <c r="A16" s="166"/>
      <c r="B16" s="147" t="s">
        <v>228</v>
      </c>
      <c r="C16" s="33"/>
      <c r="D16" s="42" t="s">
        <v>439</v>
      </c>
      <c r="E16" s="47" t="s">
        <v>43</v>
      </c>
      <c r="F16" s="24" t="s">
        <v>440</v>
      </c>
      <c r="G16" s="25" t="s">
        <v>441</v>
      </c>
      <c r="H16" s="26"/>
      <c r="I16" s="27"/>
      <c r="J16" s="28"/>
      <c r="K16" s="29" t="s">
        <v>444</v>
      </c>
      <c r="L16" s="30" t="s">
        <v>445</v>
      </c>
      <c r="M16" s="40">
        <v>0.1</v>
      </c>
      <c r="N16" s="32" t="s">
        <v>31</v>
      </c>
      <c r="O16" s="24"/>
      <c r="P16" s="33"/>
      <c r="Q16" s="34" t="s">
        <v>438</v>
      </c>
      <c r="R16" s="35"/>
      <c r="S16" s="36"/>
      <c r="T16" s="111"/>
      <c r="U16" s="38"/>
      <c r="V16" s="22"/>
    </row>
    <row r="17" spans="1:25" ht="12.75" x14ac:dyDescent="0.25">
      <c r="A17" s="166"/>
      <c r="B17" s="147" t="s">
        <v>229</v>
      </c>
      <c r="C17" s="33"/>
      <c r="D17" s="42" t="s">
        <v>439</v>
      </c>
      <c r="E17" s="47" t="s">
        <v>43</v>
      </c>
      <c r="F17" s="24" t="s">
        <v>440</v>
      </c>
      <c r="G17" s="25" t="s">
        <v>441</v>
      </c>
      <c r="H17" s="26"/>
      <c r="I17" s="27"/>
      <c r="J17" s="28"/>
      <c r="K17" s="29" t="s">
        <v>444</v>
      </c>
      <c r="L17" s="30" t="s">
        <v>445</v>
      </c>
      <c r="M17" s="40">
        <v>0.1</v>
      </c>
      <c r="N17" s="32" t="s">
        <v>31</v>
      </c>
      <c r="O17" s="24"/>
      <c r="P17" s="33"/>
      <c r="Q17" s="34" t="s">
        <v>438</v>
      </c>
      <c r="R17" s="35"/>
      <c r="S17" s="36"/>
      <c r="T17" s="111"/>
      <c r="U17" s="38"/>
      <c r="V17" s="22"/>
    </row>
    <row r="18" spans="1:25" ht="12.75" x14ac:dyDescent="0.25">
      <c r="A18" s="166"/>
      <c r="B18" s="147" t="s">
        <v>230</v>
      </c>
      <c r="C18" s="180"/>
      <c r="D18" s="42" t="s">
        <v>436</v>
      </c>
      <c r="E18" s="47" t="s">
        <v>43</v>
      </c>
      <c r="F18" s="24" t="s">
        <v>437</v>
      </c>
      <c r="G18" s="41" t="s">
        <v>442</v>
      </c>
      <c r="H18" s="26"/>
      <c r="I18" s="27"/>
      <c r="J18" s="28"/>
      <c r="K18" s="77" t="s">
        <v>443</v>
      </c>
      <c r="L18" s="30" t="s">
        <v>435</v>
      </c>
      <c r="M18" s="40">
        <v>0.1</v>
      </c>
      <c r="N18" s="32" t="s">
        <v>31</v>
      </c>
      <c r="O18" s="24"/>
      <c r="P18" s="33"/>
      <c r="Q18" s="34" t="s">
        <v>438</v>
      </c>
      <c r="R18" s="35"/>
      <c r="S18" s="36"/>
      <c r="T18" s="111"/>
      <c r="U18" s="38"/>
      <c r="V18" s="22"/>
    </row>
    <row r="19" spans="1:25" ht="12.75" x14ac:dyDescent="0.25">
      <c r="A19" s="166"/>
      <c r="B19" s="147" t="s">
        <v>231</v>
      </c>
      <c r="C19" s="180"/>
      <c r="D19" s="42" t="s">
        <v>436</v>
      </c>
      <c r="E19" s="47" t="s">
        <v>43</v>
      </c>
      <c r="F19" s="24" t="s">
        <v>437</v>
      </c>
      <c r="G19" s="41" t="s">
        <v>442</v>
      </c>
      <c r="H19" s="26"/>
      <c r="I19" s="27"/>
      <c r="J19" s="28"/>
      <c r="K19" s="77" t="s">
        <v>443</v>
      </c>
      <c r="L19" s="30" t="s">
        <v>435</v>
      </c>
      <c r="M19" s="40">
        <v>0.1</v>
      </c>
      <c r="N19" s="32" t="s">
        <v>31</v>
      </c>
      <c r="O19" s="24"/>
      <c r="P19" s="33"/>
      <c r="Q19" s="34" t="s">
        <v>438</v>
      </c>
      <c r="R19" s="35"/>
      <c r="S19" s="36"/>
      <c r="T19" s="111"/>
      <c r="U19" s="38"/>
      <c r="V19" s="22"/>
    </row>
    <row r="20" spans="1:25" ht="12.75" x14ac:dyDescent="0.25">
      <c r="A20" s="166"/>
      <c r="B20" s="147" t="s">
        <v>232</v>
      </c>
      <c r="C20" s="180"/>
      <c r="D20" s="42" t="s">
        <v>436</v>
      </c>
      <c r="E20" s="47" t="s">
        <v>43</v>
      </c>
      <c r="F20" s="24" t="s">
        <v>437</v>
      </c>
      <c r="G20" s="41" t="s">
        <v>442</v>
      </c>
      <c r="H20" s="26"/>
      <c r="I20" s="27"/>
      <c r="J20" s="28"/>
      <c r="K20" s="77" t="s">
        <v>443</v>
      </c>
      <c r="L20" s="30" t="s">
        <v>435</v>
      </c>
      <c r="M20" s="40">
        <v>0.1</v>
      </c>
      <c r="N20" s="32" t="s">
        <v>31</v>
      </c>
      <c r="O20" s="24"/>
      <c r="P20" s="33"/>
      <c r="Q20" s="34" t="s">
        <v>438</v>
      </c>
      <c r="R20" s="35"/>
      <c r="S20" s="36"/>
      <c r="T20" s="111"/>
      <c r="U20" s="38"/>
      <c r="V20" s="22"/>
    </row>
    <row r="21" spans="1:25" ht="12.75" x14ac:dyDescent="0.25">
      <c r="A21" s="166"/>
      <c r="B21" s="147" t="s">
        <v>233</v>
      </c>
      <c r="C21" s="180"/>
      <c r="D21" s="42" t="s">
        <v>436</v>
      </c>
      <c r="E21" s="47" t="s">
        <v>43</v>
      </c>
      <c r="F21" s="24" t="s">
        <v>437</v>
      </c>
      <c r="G21" s="41" t="s">
        <v>442</v>
      </c>
      <c r="H21" s="26"/>
      <c r="I21" s="27"/>
      <c r="J21" s="28"/>
      <c r="K21" s="77" t="s">
        <v>443</v>
      </c>
      <c r="L21" s="30" t="s">
        <v>435</v>
      </c>
      <c r="M21" s="40">
        <v>0.1</v>
      </c>
      <c r="N21" s="32" t="s">
        <v>31</v>
      </c>
      <c r="O21" s="24"/>
      <c r="P21" s="33"/>
      <c r="Q21" s="34" t="s">
        <v>438</v>
      </c>
      <c r="R21" s="35"/>
      <c r="S21" s="36"/>
      <c r="T21" s="111"/>
      <c r="U21" s="38"/>
      <c r="V21" s="22"/>
    </row>
    <row r="22" spans="1:25" ht="12.75" x14ac:dyDescent="0.25">
      <c r="A22" s="166"/>
      <c r="B22" s="147" t="s">
        <v>234</v>
      </c>
      <c r="C22" s="180"/>
      <c r="D22" s="42" t="s">
        <v>436</v>
      </c>
      <c r="E22" s="47" t="s">
        <v>43</v>
      </c>
      <c r="F22" s="24" t="s">
        <v>437</v>
      </c>
      <c r="G22" s="41" t="s">
        <v>442</v>
      </c>
      <c r="H22" s="26"/>
      <c r="I22" s="27"/>
      <c r="J22" s="28"/>
      <c r="K22" s="77" t="s">
        <v>443</v>
      </c>
      <c r="L22" s="30" t="s">
        <v>435</v>
      </c>
      <c r="M22" s="40">
        <v>0.1</v>
      </c>
      <c r="N22" s="32" t="s">
        <v>31</v>
      </c>
      <c r="O22" s="24"/>
      <c r="P22" s="33"/>
      <c r="Q22" s="34" t="s">
        <v>438</v>
      </c>
      <c r="R22" s="35"/>
      <c r="S22" s="36"/>
      <c r="T22" s="111"/>
      <c r="U22" s="38"/>
      <c r="V22" s="22"/>
    </row>
    <row r="23" spans="1:25" ht="12.75" x14ac:dyDescent="0.25">
      <c r="A23" s="166"/>
      <c r="B23" s="147" t="s">
        <v>235</v>
      </c>
      <c r="C23" s="180"/>
      <c r="D23" s="42" t="s">
        <v>436</v>
      </c>
      <c r="E23" s="47" t="s">
        <v>43</v>
      </c>
      <c r="F23" s="24" t="s">
        <v>437</v>
      </c>
      <c r="G23" s="41" t="s">
        <v>442</v>
      </c>
      <c r="H23" s="26"/>
      <c r="I23" s="27"/>
      <c r="J23" s="28"/>
      <c r="K23" s="77" t="s">
        <v>443</v>
      </c>
      <c r="L23" s="30" t="s">
        <v>435</v>
      </c>
      <c r="M23" s="40">
        <v>0.1</v>
      </c>
      <c r="N23" s="32" t="s">
        <v>31</v>
      </c>
      <c r="O23" s="24"/>
      <c r="P23" s="33"/>
      <c r="Q23" s="34" t="s">
        <v>438</v>
      </c>
      <c r="R23" s="35"/>
      <c r="S23" s="36"/>
      <c r="T23" s="111"/>
      <c r="U23" s="38"/>
      <c r="V23" s="22"/>
    </row>
    <row r="24" spans="1:25" ht="15.75" customHeight="1" x14ac:dyDescent="0.25">
      <c r="A24" s="166"/>
      <c r="B24" s="147" t="s">
        <v>236</v>
      </c>
      <c r="C24" s="180"/>
      <c r="D24" s="42" t="s">
        <v>436</v>
      </c>
      <c r="E24" s="47" t="s">
        <v>43</v>
      </c>
      <c r="F24" s="24" t="s">
        <v>437</v>
      </c>
      <c r="G24" s="41" t="s">
        <v>442</v>
      </c>
      <c r="H24" s="26"/>
      <c r="I24" s="27"/>
      <c r="J24" s="28"/>
      <c r="K24" s="77" t="s">
        <v>443</v>
      </c>
      <c r="L24" s="30" t="s">
        <v>435</v>
      </c>
      <c r="M24" s="40">
        <v>0.1</v>
      </c>
      <c r="N24" s="32" t="s">
        <v>31</v>
      </c>
      <c r="O24" s="24"/>
      <c r="P24" s="33"/>
      <c r="Q24" s="34" t="s">
        <v>438</v>
      </c>
      <c r="R24" s="35"/>
      <c r="S24" s="36"/>
      <c r="T24" s="111"/>
      <c r="U24" s="38"/>
      <c r="V24" s="22"/>
    </row>
    <row r="25" spans="1:25" ht="12.75" x14ac:dyDescent="0.25">
      <c r="A25" s="166"/>
      <c r="B25" s="147" t="s">
        <v>237</v>
      </c>
      <c r="C25" s="180"/>
      <c r="D25" s="42" t="s">
        <v>436</v>
      </c>
      <c r="E25" s="47" t="s">
        <v>43</v>
      </c>
      <c r="F25" s="24" t="s">
        <v>437</v>
      </c>
      <c r="G25" s="41" t="s">
        <v>442</v>
      </c>
      <c r="H25" s="26"/>
      <c r="I25" s="27"/>
      <c r="J25" s="28"/>
      <c r="K25" s="77" t="s">
        <v>443</v>
      </c>
      <c r="L25" s="30" t="s">
        <v>435</v>
      </c>
      <c r="M25" s="40">
        <v>0.1</v>
      </c>
      <c r="N25" s="32" t="s">
        <v>31</v>
      </c>
      <c r="O25" s="24"/>
      <c r="P25" s="33"/>
      <c r="Q25" s="34" t="s">
        <v>438</v>
      </c>
      <c r="R25" s="35"/>
      <c r="S25" s="36"/>
      <c r="T25" s="111"/>
      <c r="U25" s="38"/>
      <c r="V25" s="22"/>
      <c r="Y25" s="51"/>
    </row>
    <row r="26" spans="1:25" ht="12.75" x14ac:dyDescent="0.25">
      <c r="A26" s="166"/>
      <c r="B26" s="147" t="s">
        <v>238</v>
      </c>
      <c r="C26" s="180"/>
      <c r="D26" s="42" t="s">
        <v>436</v>
      </c>
      <c r="E26" s="47" t="s">
        <v>43</v>
      </c>
      <c r="F26" s="24" t="s">
        <v>437</v>
      </c>
      <c r="G26" s="41" t="s">
        <v>442</v>
      </c>
      <c r="H26" s="26"/>
      <c r="I26" s="27"/>
      <c r="J26" s="28"/>
      <c r="K26" s="77" t="s">
        <v>443</v>
      </c>
      <c r="L26" s="30" t="s">
        <v>435</v>
      </c>
      <c r="M26" s="40">
        <v>0.1</v>
      </c>
      <c r="N26" s="32" t="s">
        <v>31</v>
      </c>
      <c r="O26" s="24"/>
      <c r="P26" s="33"/>
      <c r="Q26" s="34" t="s">
        <v>438</v>
      </c>
      <c r="R26" s="35"/>
      <c r="S26" s="36"/>
      <c r="T26" s="111"/>
      <c r="U26" s="38"/>
      <c r="V26" s="22"/>
    </row>
    <row r="27" spans="1:25" ht="17.25" customHeight="1" x14ac:dyDescent="0.25">
      <c r="A27" s="166"/>
      <c r="B27" s="147" t="s">
        <v>239</v>
      </c>
      <c r="C27" s="180"/>
      <c r="D27" s="42" t="s">
        <v>436</v>
      </c>
      <c r="E27" s="47" t="s">
        <v>43</v>
      </c>
      <c r="F27" s="24" t="s">
        <v>437</v>
      </c>
      <c r="G27" s="41" t="s">
        <v>442</v>
      </c>
      <c r="H27" s="26"/>
      <c r="I27" s="27"/>
      <c r="J27" s="28"/>
      <c r="K27" s="77" t="s">
        <v>443</v>
      </c>
      <c r="L27" s="30" t="s">
        <v>435</v>
      </c>
      <c r="M27" s="40">
        <v>0.1</v>
      </c>
      <c r="N27" s="32" t="s">
        <v>31</v>
      </c>
      <c r="O27" s="24"/>
      <c r="P27" s="33"/>
      <c r="Q27" s="34" t="s">
        <v>438</v>
      </c>
      <c r="R27" s="35"/>
      <c r="S27" s="36"/>
      <c r="T27" s="111"/>
      <c r="U27" s="38"/>
      <c r="V27" s="22"/>
    </row>
    <row r="28" spans="1:25" ht="15" customHeight="1" x14ac:dyDescent="0.25">
      <c r="A28" s="166"/>
      <c r="B28" s="147" t="s">
        <v>240</v>
      </c>
      <c r="C28" s="180"/>
      <c r="D28" s="42" t="s">
        <v>436</v>
      </c>
      <c r="E28" s="47" t="s">
        <v>43</v>
      </c>
      <c r="F28" s="24" t="s">
        <v>437</v>
      </c>
      <c r="G28" s="41" t="s">
        <v>442</v>
      </c>
      <c r="H28" s="26"/>
      <c r="I28" s="27"/>
      <c r="J28" s="28"/>
      <c r="K28" s="77" t="s">
        <v>443</v>
      </c>
      <c r="L28" s="30" t="s">
        <v>435</v>
      </c>
      <c r="M28" s="40">
        <v>0.1</v>
      </c>
      <c r="N28" s="32" t="s">
        <v>31</v>
      </c>
      <c r="O28" s="24"/>
      <c r="P28" s="33"/>
      <c r="Q28" s="34" t="s">
        <v>438</v>
      </c>
      <c r="R28" s="35"/>
      <c r="S28" s="36"/>
      <c r="T28" s="111"/>
      <c r="U28" s="38"/>
      <c r="V28" s="22"/>
    </row>
    <row r="29" spans="1:25" ht="12.75" x14ac:dyDescent="0.25">
      <c r="A29" s="166"/>
      <c r="B29" s="147" t="s">
        <v>241</v>
      </c>
      <c r="C29" s="180"/>
      <c r="D29" s="53" t="s">
        <v>190</v>
      </c>
      <c r="E29" s="47" t="s">
        <v>43</v>
      </c>
      <c r="F29" s="24" t="s">
        <v>188</v>
      </c>
      <c r="G29" s="25" t="s">
        <v>188</v>
      </c>
      <c r="H29" s="26"/>
      <c r="I29" s="27"/>
      <c r="J29" s="28"/>
      <c r="K29" s="29" t="s">
        <v>189</v>
      </c>
      <c r="L29" s="30" t="s">
        <v>424</v>
      </c>
      <c r="M29" s="40">
        <v>0.2</v>
      </c>
      <c r="N29" s="32" t="s">
        <v>425</v>
      </c>
      <c r="O29" s="24"/>
      <c r="P29" s="33" t="s">
        <v>426</v>
      </c>
      <c r="Q29" s="34" t="s">
        <v>178</v>
      </c>
      <c r="R29" s="35" t="s">
        <v>191</v>
      </c>
      <c r="S29" s="52">
        <v>1.79</v>
      </c>
      <c r="T29" s="111"/>
      <c r="U29" s="38"/>
      <c r="V29" s="22"/>
    </row>
    <row r="30" spans="1:25" ht="12.75" x14ac:dyDescent="0.25">
      <c r="A30" s="166"/>
      <c r="B30" s="147" t="s">
        <v>242</v>
      </c>
      <c r="C30" s="33"/>
      <c r="D30" s="53" t="s">
        <v>190</v>
      </c>
      <c r="E30" s="47" t="s">
        <v>43</v>
      </c>
      <c r="F30" s="24" t="s">
        <v>188</v>
      </c>
      <c r="G30" s="25" t="s">
        <v>188</v>
      </c>
      <c r="H30" s="26"/>
      <c r="I30" s="27"/>
      <c r="J30" s="28"/>
      <c r="K30" s="29" t="s">
        <v>189</v>
      </c>
      <c r="L30" s="30" t="s">
        <v>424</v>
      </c>
      <c r="M30" s="40">
        <v>0.2</v>
      </c>
      <c r="N30" s="32" t="s">
        <v>425</v>
      </c>
      <c r="O30" s="24"/>
      <c r="P30" s="33" t="s">
        <v>426</v>
      </c>
      <c r="Q30" s="34" t="s">
        <v>178</v>
      </c>
      <c r="R30" s="35" t="s">
        <v>191</v>
      </c>
      <c r="S30" s="52">
        <v>1.79</v>
      </c>
      <c r="T30" s="111"/>
      <c r="U30" s="38"/>
      <c r="V30" s="22"/>
    </row>
    <row r="31" spans="1:25" ht="12.75" x14ac:dyDescent="0.25">
      <c r="A31" s="166"/>
      <c r="B31" s="147" t="s">
        <v>243</v>
      </c>
      <c r="C31" s="33"/>
      <c r="D31" s="53" t="s">
        <v>190</v>
      </c>
      <c r="E31" s="47" t="s">
        <v>43</v>
      </c>
      <c r="F31" s="24" t="s">
        <v>188</v>
      </c>
      <c r="G31" s="25" t="s">
        <v>188</v>
      </c>
      <c r="H31" s="26"/>
      <c r="I31" s="27"/>
      <c r="J31" s="28"/>
      <c r="K31" s="29" t="s">
        <v>189</v>
      </c>
      <c r="L31" s="30" t="s">
        <v>424</v>
      </c>
      <c r="M31" s="40">
        <v>0.2</v>
      </c>
      <c r="N31" s="32" t="s">
        <v>425</v>
      </c>
      <c r="O31" s="24"/>
      <c r="P31" s="33" t="s">
        <v>426</v>
      </c>
      <c r="Q31" s="34" t="s">
        <v>178</v>
      </c>
      <c r="R31" s="35" t="s">
        <v>191</v>
      </c>
      <c r="S31" s="52">
        <v>1.79</v>
      </c>
      <c r="T31" s="111"/>
      <c r="U31" s="38"/>
      <c r="V31" s="22"/>
    </row>
    <row r="32" spans="1:25" ht="15" customHeight="1" x14ac:dyDescent="0.25">
      <c r="A32" s="166"/>
      <c r="B32" s="147" t="s">
        <v>244</v>
      </c>
      <c r="C32" s="33"/>
      <c r="D32" s="53" t="s">
        <v>190</v>
      </c>
      <c r="E32" s="47" t="s">
        <v>43</v>
      </c>
      <c r="F32" s="24" t="s">
        <v>188</v>
      </c>
      <c r="G32" s="25" t="s">
        <v>188</v>
      </c>
      <c r="H32" s="26"/>
      <c r="I32" s="27"/>
      <c r="J32" s="28"/>
      <c r="K32" s="29" t="s">
        <v>189</v>
      </c>
      <c r="L32" s="30" t="s">
        <v>424</v>
      </c>
      <c r="M32" s="40">
        <v>0.2</v>
      </c>
      <c r="N32" s="32" t="s">
        <v>425</v>
      </c>
      <c r="O32" s="24"/>
      <c r="P32" s="33" t="s">
        <v>426</v>
      </c>
      <c r="Q32" s="34" t="s">
        <v>178</v>
      </c>
      <c r="R32" s="35" t="s">
        <v>191</v>
      </c>
      <c r="S32" s="52">
        <v>1.79</v>
      </c>
      <c r="T32" s="111"/>
      <c r="U32" s="38"/>
      <c r="V32" s="22"/>
    </row>
    <row r="33" spans="1:22" ht="12.75" x14ac:dyDescent="0.25">
      <c r="A33" s="166"/>
      <c r="B33" s="147" t="s">
        <v>245</v>
      </c>
      <c r="C33" s="33"/>
      <c r="D33" s="53" t="s">
        <v>190</v>
      </c>
      <c r="E33" s="47" t="s">
        <v>43</v>
      </c>
      <c r="F33" s="24" t="s">
        <v>188</v>
      </c>
      <c r="G33" s="25" t="s">
        <v>188</v>
      </c>
      <c r="H33" s="26"/>
      <c r="I33" s="27"/>
      <c r="J33" s="28"/>
      <c r="K33" s="29" t="s">
        <v>189</v>
      </c>
      <c r="L33" s="30" t="s">
        <v>424</v>
      </c>
      <c r="M33" s="40">
        <v>0.2</v>
      </c>
      <c r="N33" s="32" t="s">
        <v>425</v>
      </c>
      <c r="O33" s="24"/>
      <c r="P33" s="33" t="s">
        <v>426</v>
      </c>
      <c r="Q33" s="34" t="s">
        <v>178</v>
      </c>
      <c r="R33" s="35" t="s">
        <v>191</v>
      </c>
      <c r="S33" s="52">
        <v>1.79</v>
      </c>
      <c r="T33" s="111"/>
      <c r="U33" s="38"/>
      <c r="V33" s="22"/>
    </row>
    <row r="34" spans="1:22" ht="12.75" x14ac:dyDescent="0.25">
      <c r="A34" s="166"/>
      <c r="B34" s="147" t="s">
        <v>246</v>
      </c>
      <c r="C34" s="33"/>
      <c r="D34" s="53" t="s">
        <v>190</v>
      </c>
      <c r="E34" s="47" t="s">
        <v>43</v>
      </c>
      <c r="F34" s="24" t="s">
        <v>188</v>
      </c>
      <c r="G34" s="25" t="s">
        <v>188</v>
      </c>
      <c r="H34" s="26"/>
      <c r="I34" s="27"/>
      <c r="J34" s="28"/>
      <c r="K34" s="29" t="s">
        <v>189</v>
      </c>
      <c r="L34" s="30" t="s">
        <v>424</v>
      </c>
      <c r="M34" s="40">
        <v>0.2</v>
      </c>
      <c r="N34" s="32" t="s">
        <v>425</v>
      </c>
      <c r="O34" s="24"/>
      <c r="P34" s="33" t="s">
        <v>426</v>
      </c>
      <c r="Q34" s="34" t="s">
        <v>178</v>
      </c>
      <c r="R34" s="35" t="s">
        <v>191</v>
      </c>
      <c r="S34" s="52">
        <v>1.79</v>
      </c>
      <c r="T34" s="111"/>
      <c r="U34" s="38"/>
      <c r="V34" s="22"/>
    </row>
    <row r="35" spans="1:22" ht="12.75" x14ac:dyDescent="0.25">
      <c r="A35" s="166"/>
      <c r="B35" s="147" t="s">
        <v>247</v>
      </c>
      <c r="C35" s="33"/>
      <c r="D35" s="53" t="s">
        <v>190</v>
      </c>
      <c r="E35" s="47" t="s">
        <v>43</v>
      </c>
      <c r="F35" s="24" t="s">
        <v>188</v>
      </c>
      <c r="G35" s="25" t="s">
        <v>188</v>
      </c>
      <c r="H35" s="26"/>
      <c r="I35" s="27"/>
      <c r="J35" s="28"/>
      <c r="K35" s="29" t="s">
        <v>189</v>
      </c>
      <c r="L35" s="30" t="s">
        <v>424</v>
      </c>
      <c r="M35" s="40">
        <v>0.2</v>
      </c>
      <c r="N35" s="32" t="s">
        <v>425</v>
      </c>
      <c r="O35" s="24"/>
      <c r="P35" s="33" t="s">
        <v>426</v>
      </c>
      <c r="Q35" s="34" t="s">
        <v>178</v>
      </c>
      <c r="R35" s="35" t="s">
        <v>191</v>
      </c>
      <c r="S35" s="52">
        <v>1.79</v>
      </c>
      <c r="T35" s="111"/>
      <c r="U35" s="38"/>
      <c r="V35" s="22"/>
    </row>
    <row r="36" spans="1:22" ht="12.75" x14ac:dyDescent="0.25">
      <c r="A36" s="166"/>
      <c r="B36" s="147" t="s">
        <v>248</v>
      </c>
      <c r="C36" s="181"/>
      <c r="D36" s="53" t="s">
        <v>190</v>
      </c>
      <c r="E36" s="47" t="s">
        <v>43</v>
      </c>
      <c r="F36" s="24" t="s">
        <v>188</v>
      </c>
      <c r="G36" s="25" t="s">
        <v>188</v>
      </c>
      <c r="H36" s="26"/>
      <c r="I36" s="27"/>
      <c r="J36" s="28"/>
      <c r="K36" s="29" t="s">
        <v>189</v>
      </c>
      <c r="L36" s="30" t="s">
        <v>424</v>
      </c>
      <c r="M36" s="40">
        <v>0.2</v>
      </c>
      <c r="N36" s="32" t="s">
        <v>425</v>
      </c>
      <c r="O36" s="24"/>
      <c r="P36" s="33" t="s">
        <v>426</v>
      </c>
      <c r="Q36" s="34" t="s">
        <v>178</v>
      </c>
      <c r="R36" s="35" t="s">
        <v>191</v>
      </c>
      <c r="S36" s="52">
        <v>1.79</v>
      </c>
      <c r="T36" s="111"/>
      <c r="U36" s="38"/>
      <c r="V36" s="22"/>
    </row>
    <row r="37" spans="1:22" ht="12.75" x14ac:dyDescent="0.25">
      <c r="A37" s="166"/>
      <c r="B37" s="147" t="s">
        <v>249</v>
      </c>
      <c r="C37" s="33"/>
      <c r="D37" s="53" t="s">
        <v>190</v>
      </c>
      <c r="E37" s="47" t="s">
        <v>43</v>
      </c>
      <c r="F37" s="24" t="s">
        <v>188</v>
      </c>
      <c r="G37" s="25" t="s">
        <v>188</v>
      </c>
      <c r="H37" s="26"/>
      <c r="I37" s="27"/>
      <c r="J37" s="28"/>
      <c r="K37" s="29" t="s">
        <v>189</v>
      </c>
      <c r="L37" s="30" t="s">
        <v>424</v>
      </c>
      <c r="M37" s="40">
        <v>0.2</v>
      </c>
      <c r="N37" s="32" t="s">
        <v>425</v>
      </c>
      <c r="O37" s="24"/>
      <c r="P37" s="33" t="s">
        <v>426</v>
      </c>
      <c r="Q37" s="34" t="s">
        <v>178</v>
      </c>
      <c r="R37" s="35" t="s">
        <v>191</v>
      </c>
      <c r="S37" s="52">
        <v>1.79</v>
      </c>
      <c r="T37" s="111"/>
      <c r="U37" s="38"/>
      <c r="V37" s="22"/>
    </row>
    <row r="38" spans="1:22" ht="12.75" x14ac:dyDescent="0.25">
      <c r="A38" s="166"/>
      <c r="B38" s="147" t="s">
        <v>250</v>
      </c>
      <c r="C38" s="33"/>
      <c r="D38" s="53" t="s">
        <v>190</v>
      </c>
      <c r="E38" s="47" t="s">
        <v>43</v>
      </c>
      <c r="F38" s="24" t="s">
        <v>188</v>
      </c>
      <c r="G38" s="25" t="s">
        <v>188</v>
      </c>
      <c r="H38" s="26"/>
      <c r="I38" s="27"/>
      <c r="J38" s="28"/>
      <c r="K38" s="29" t="s">
        <v>189</v>
      </c>
      <c r="L38" s="30" t="s">
        <v>424</v>
      </c>
      <c r="M38" s="40">
        <v>0.2</v>
      </c>
      <c r="N38" s="32" t="s">
        <v>425</v>
      </c>
      <c r="O38" s="24"/>
      <c r="P38" s="33" t="s">
        <v>426</v>
      </c>
      <c r="Q38" s="34" t="s">
        <v>178</v>
      </c>
      <c r="R38" s="35" t="s">
        <v>191</v>
      </c>
      <c r="S38" s="52">
        <v>1.79</v>
      </c>
      <c r="T38" s="111"/>
      <c r="U38" s="38"/>
      <c r="V38" s="22"/>
    </row>
    <row r="39" spans="1:22" x14ac:dyDescent="0.25">
      <c r="A39" s="166"/>
      <c r="B39" s="147" t="s">
        <v>251</v>
      </c>
      <c r="C39" s="33"/>
      <c r="D39" s="49" t="s">
        <v>490</v>
      </c>
      <c r="E39" s="47" t="s">
        <v>43</v>
      </c>
      <c r="F39" s="24" t="s">
        <v>489</v>
      </c>
      <c r="G39" s="25" t="s">
        <v>489</v>
      </c>
      <c r="H39" s="26"/>
      <c r="I39" s="27"/>
      <c r="J39" s="28"/>
      <c r="K39" s="29" t="s">
        <v>491</v>
      </c>
      <c r="L39" s="30" t="s">
        <v>492</v>
      </c>
      <c r="M39" s="40">
        <v>0.1</v>
      </c>
      <c r="N39" s="32" t="s">
        <v>31</v>
      </c>
      <c r="O39" s="24"/>
      <c r="P39" s="33"/>
      <c r="Q39" s="34" t="s">
        <v>178</v>
      </c>
      <c r="R39" s="35" t="s">
        <v>493</v>
      </c>
      <c r="S39" s="52">
        <v>0.308</v>
      </c>
      <c r="T39" s="111"/>
      <c r="U39" s="38"/>
      <c r="V39" s="22"/>
    </row>
    <row r="40" spans="1:22" ht="12.75" x14ac:dyDescent="0.25">
      <c r="A40" s="166"/>
      <c r="B40" s="147" t="s">
        <v>252</v>
      </c>
      <c r="C40" s="33"/>
      <c r="D40" s="42"/>
      <c r="E40" s="47" t="s">
        <v>193</v>
      </c>
      <c r="F40" s="24"/>
      <c r="G40" s="25"/>
      <c r="H40" s="26"/>
      <c r="I40" s="27"/>
      <c r="J40" s="28"/>
      <c r="K40" s="29"/>
      <c r="L40" s="30"/>
      <c r="M40" s="31"/>
      <c r="N40" s="32"/>
      <c r="O40" s="24"/>
      <c r="P40" s="33"/>
      <c r="Q40" s="34"/>
      <c r="R40" s="35"/>
      <c r="S40" s="36"/>
      <c r="T40" s="111"/>
      <c r="U40" s="38"/>
      <c r="V40" s="22"/>
    </row>
    <row r="41" spans="1:22" x14ac:dyDescent="0.25">
      <c r="A41" s="166"/>
      <c r="B41" s="147" t="s">
        <v>253</v>
      </c>
      <c r="C41" s="182"/>
      <c r="D41" s="49" t="s">
        <v>463</v>
      </c>
      <c r="E41" s="47" t="s">
        <v>43</v>
      </c>
      <c r="F41" s="24" t="s">
        <v>462</v>
      </c>
      <c r="G41" s="41" t="s">
        <v>462</v>
      </c>
      <c r="H41" s="26"/>
      <c r="I41" s="27"/>
      <c r="J41" s="28"/>
      <c r="K41" s="29" t="s">
        <v>464</v>
      </c>
      <c r="L41" s="30" t="s">
        <v>465</v>
      </c>
      <c r="M41" s="40">
        <v>0.1</v>
      </c>
      <c r="N41" s="32" t="s">
        <v>31</v>
      </c>
      <c r="O41" s="24"/>
      <c r="P41" s="33"/>
      <c r="Q41" s="34" t="s">
        <v>178</v>
      </c>
      <c r="R41" s="35" t="s">
        <v>466</v>
      </c>
      <c r="S41" s="52">
        <v>0.18</v>
      </c>
      <c r="T41" s="111"/>
      <c r="U41" s="38"/>
      <c r="V41" s="22"/>
    </row>
    <row r="42" spans="1:22" x14ac:dyDescent="0.2">
      <c r="A42" s="166"/>
      <c r="B42" s="147" t="s">
        <v>254</v>
      </c>
      <c r="C42" s="183"/>
      <c r="D42" s="49" t="s">
        <v>448</v>
      </c>
      <c r="E42" s="47" t="s">
        <v>43</v>
      </c>
      <c r="F42" s="24" t="s">
        <v>447</v>
      </c>
      <c r="G42" s="143" t="s">
        <v>447</v>
      </c>
      <c r="H42" s="26"/>
      <c r="I42" s="27"/>
      <c r="J42" s="28"/>
      <c r="K42" s="29" t="s">
        <v>449</v>
      </c>
      <c r="L42" s="30" t="s">
        <v>446</v>
      </c>
      <c r="M42" s="40">
        <v>0.2</v>
      </c>
      <c r="N42" s="32" t="s">
        <v>450</v>
      </c>
      <c r="O42" s="24"/>
      <c r="P42" s="33"/>
      <c r="Q42" s="34" t="s">
        <v>178</v>
      </c>
      <c r="R42" s="35" t="s">
        <v>451</v>
      </c>
      <c r="S42" s="52">
        <v>0.67600000000000005</v>
      </c>
      <c r="T42" s="111"/>
      <c r="U42" s="38"/>
      <c r="V42" s="22"/>
    </row>
    <row r="43" spans="1:22" x14ac:dyDescent="0.25">
      <c r="A43" s="166"/>
      <c r="B43" s="147" t="s">
        <v>255</v>
      </c>
      <c r="C43" s="182"/>
      <c r="D43" s="49" t="s">
        <v>460</v>
      </c>
      <c r="E43" s="47" t="s">
        <v>43</v>
      </c>
      <c r="F43" s="24" t="s">
        <v>459</v>
      </c>
      <c r="G43" s="41" t="s">
        <v>459</v>
      </c>
      <c r="H43" s="26"/>
      <c r="I43" s="27"/>
      <c r="J43" s="28"/>
      <c r="K43" s="29" t="s">
        <v>458</v>
      </c>
      <c r="L43" s="30" t="s">
        <v>435</v>
      </c>
      <c r="M43" s="40">
        <v>0.1</v>
      </c>
      <c r="N43" s="32" t="s">
        <v>425</v>
      </c>
      <c r="O43" s="24"/>
      <c r="P43" s="33"/>
      <c r="Q43" s="34" t="s">
        <v>178</v>
      </c>
      <c r="R43" s="35" t="s">
        <v>461</v>
      </c>
      <c r="S43" s="36"/>
      <c r="T43" s="111"/>
      <c r="U43" s="38"/>
      <c r="V43" s="22"/>
    </row>
    <row r="44" spans="1:22" x14ac:dyDescent="0.25">
      <c r="A44" s="166"/>
      <c r="B44" s="147" t="s">
        <v>256</v>
      </c>
      <c r="C44" s="183"/>
      <c r="D44" s="49" t="s">
        <v>453</v>
      </c>
      <c r="E44" s="47" t="s">
        <v>43</v>
      </c>
      <c r="F44" s="24" t="s">
        <v>452</v>
      </c>
      <c r="G44" s="25" t="s">
        <v>452</v>
      </c>
      <c r="H44" s="26"/>
      <c r="I44" s="27"/>
      <c r="J44" s="28"/>
      <c r="K44" s="29" t="s">
        <v>454</v>
      </c>
      <c r="L44" s="30" t="s">
        <v>455</v>
      </c>
      <c r="M44" s="40">
        <v>0.2</v>
      </c>
      <c r="N44" s="32" t="s">
        <v>456</v>
      </c>
      <c r="O44" s="24"/>
      <c r="P44" s="33"/>
      <c r="Q44" s="34" t="s">
        <v>178</v>
      </c>
      <c r="R44" s="35" t="s">
        <v>457</v>
      </c>
      <c r="S44" s="52">
        <v>0.29199999999999998</v>
      </c>
      <c r="T44" s="111"/>
      <c r="U44" s="38"/>
      <c r="V44" s="22"/>
    </row>
    <row r="45" spans="1:22" ht="12.75" x14ac:dyDescent="0.25">
      <c r="A45" s="166"/>
      <c r="B45" s="147" t="s">
        <v>257</v>
      </c>
      <c r="C45" s="180"/>
      <c r="D45" s="42" t="s">
        <v>436</v>
      </c>
      <c r="E45" s="47" t="s">
        <v>43</v>
      </c>
      <c r="F45" s="24" t="s">
        <v>437</v>
      </c>
      <c r="G45" s="41" t="s">
        <v>442</v>
      </c>
      <c r="H45" s="26"/>
      <c r="I45" s="27"/>
      <c r="J45" s="28"/>
      <c r="K45" s="77" t="s">
        <v>443</v>
      </c>
      <c r="L45" s="30" t="s">
        <v>435</v>
      </c>
      <c r="M45" s="40">
        <v>0.1</v>
      </c>
      <c r="N45" s="32" t="s">
        <v>31</v>
      </c>
      <c r="O45" s="24"/>
      <c r="P45" s="33"/>
      <c r="Q45" s="34" t="s">
        <v>438</v>
      </c>
      <c r="R45" s="35"/>
      <c r="S45" s="36"/>
      <c r="T45" s="111"/>
      <c r="U45" s="38"/>
      <c r="V45" s="22"/>
    </row>
    <row r="46" spans="1:22" x14ac:dyDescent="0.25">
      <c r="A46" s="166"/>
      <c r="B46" s="147" t="s">
        <v>258</v>
      </c>
      <c r="C46" s="182"/>
      <c r="D46" s="49" t="s">
        <v>460</v>
      </c>
      <c r="E46" s="47" t="s">
        <v>43</v>
      </c>
      <c r="F46" s="24" t="s">
        <v>459</v>
      </c>
      <c r="G46" s="41" t="s">
        <v>459</v>
      </c>
      <c r="H46" s="26"/>
      <c r="I46" s="27"/>
      <c r="J46" s="28"/>
      <c r="K46" s="29" t="s">
        <v>458</v>
      </c>
      <c r="L46" s="30" t="s">
        <v>435</v>
      </c>
      <c r="M46" s="40">
        <v>0.1</v>
      </c>
      <c r="N46" s="32" t="s">
        <v>425</v>
      </c>
      <c r="O46" s="24"/>
      <c r="P46" s="33"/>
      <c r="Q46" s="34" t="s">
        <v>178</v>
      </c>
      <c r="R46" s="35" t="s">
        <v>461</v>
      </c>
      <c r="S46" s="36"/>
      <c r="T46" s="111"/>
      <c r="U46" s="38"/>
      <c r="V46" s="22"/>
    </row>
    <row r="47" spans="1:22" x14ac:dyDescent="0.25">
      <c r="A47" s="166"/>
      <c r="B47" s="147" t="s">
        <v>259</v>
      </c>
      <c r="C47" s="182"/>
      <c r="D47" s="49" t="s">
        <v>460</v>
      </c>
      <c r="E47" s="47" t="s">
        <v>43</v>
      </c>
      <c r="F47" s="24" t="s">
        <v>459</v>
      </c>
      <c r="G47" s="41" t="s">
        <v>459</v>
      </c>
      <c r="H47" s="26"/>
      <c r="I47" s="27"/>
      <c r="J47" s="28"/>
      <c r="K47" s="29" t="s">
        <v>458</v>
      </c>
      <c r="L47" s="30" t="s">
        <v>435</v>
      </c>
      <c r="M47" s="40">
        <v>0.1</v>
      </c>
      <c r="N47" s="32" t="s">
        <v>425</v>
      </c>
      <c r="O47" s="24"/>
      <c r="P47" s="33"/>
      <c r="Q47" s="34" t="s">
        <v>178</v>
      </c>
      <c r="R47" s="35" t="s">
        <v>461</v>
      </c>
      <c r="S47" s="36"/>
      <c r="T47" s="111"/>
      <c r="U47" s="38"/>
      <c r="V47" s="22"/>
    </row>
    <row r="48" spans="1:22" ht="15" customHeight="1" x14ac:dyDescent="0.25">
      <c r="A48" s="166"/>
      <c r="B48" s="147" t="s">
        <v>260</v>
      </c>
      <c r="C48" s="33"/>
      <c r="D48" s="49" t="s">
        <v>472</v>
      </c>
      <c r="E48" s="47" t="s">
        <v>43</v>
      </c>
      <c r="F48" s="24" t="s">
        <v>468</v>
      </c>
      <c r="G48" s="25" t="s">
        <v>468</v>
      </c>
      <c r="H48" s="26"/>
      <c r="I48" s="27"/>
      <c r="J48" s="28"/>
      <c r="K48" s="29" t="s">
        <v>469</v>
      </c>
      <c r="L48" s="30" t="s">
        <v>470</v>
      </c>
      <c r="M48" s="40">
        <v>0.1</v>
      </c>
      <c r="N48" s="32" t="s">
        <v>471</v>
      </c>
      <c r="O48" s="24"/>
      <c r="P48" s="33"/>
      <c r="Q48" s="34" t="s">
        <v>178</v>
      </c>
      <c r="R48" s="35" t="s">
        <v>467</v>
      </c>
      <c r="S48" s="52">
        <v>0.375</v>
      </c>
      <c r="T48" s="111"/>
      <c r="U48" s="38"/>
      <c r="V48" s="22"/>
    </row>
    <row r="49" spans="1:22" ht="15" customHeight="1" x14ac:dyDescent="0.25">
      <c r="A49" s="166"/>
      <c r="B49" s="147" t="s">
        <v>261</v>
      </c>
      <c r="C49" s="33"/>
      <c r="D49" s="49"/>
      <c r="E49" s="47"/>
      <c r="F49" s="24"/>
      <c r="G49" s="25"/>
      <c r="H49" s="26"/>
      <c r="I49" s="27"/>
      <c r="J49" s="28"/>
      <c r="K49" s="29"/>
      <c r="L49" s="30"/>
      <c r="M49" s="31"/>
      <c r="N49" s="32"/>
      <c r="O49" s="24"/>
      <c r="P49" s="33"/>
      <c r="Q49" s="34"/>
      <c r="R49" s="35"/>
      <c r="S49" s="36"/>
      <c r="T49" s="111"/>
      <c r="U49" s="38"/>
      <c r="V49" s="22"/>
    </row>
    <row r="50" spans="1:22" ht="15" customHeight="1" x14ac:dyDescent="0.2">
      <c r="A50" s="166"/>
      <c r="B50" s="147" t="s">
        <v>262</v>
      </c>
      <c r="C50" s="183"/>
      <c r="D50" s="49" t="s">
        <v>448</v>
      </c>
      <c r="E50" s="47" t="s">
        <v>43</v>
      </c>
      <c r="F50" s="24" t="s">
        <v>447</v>
      </c>
      <c r="G50" s="143" t="s">
        <v>447</v>
      </c>
      <c r="H50" s="26"/>
      <c r="I50" s="27"/>
      <c r="J50" s="28"/>
      <c r="K50" s="29" t="s">
        <v>449</v>
      </c>
      <c r="L50" s="30" t="s">
        <v>446</v>
      </c>
      <c r="M50" s="40">
        <v>0.2</v>
      </c>
      <c r="N50" s="32" t="s">
        <v>450</v>
      </c>
      <c r="O50" s="24"/>
      <c r="P50" s="33"/>
      <c r="Q50" s="34" t="s">
        <v>178</v>
      </c>
      <c r="R50" s="35" t="s">
        <v>451</v>
      </c>
      <c r="S50" s="52">
        <v>0.67600000000000005</v>
      </c>
      <c r="T50" s="111"/>
      <c r="U50" s="38"/>
      <c r="V50" s="22"/>
    </row>
    <row r="51" spans="1:22" ht="15" customHeight="1" x14ac:dyDescent="0.25">
      <c r="A51" s="166"/>
      <c r="B51" s="147" t="s">
        <v>263</v>
      </c>
      <c r="C51" s="33"/>
      <c r="D51" s="49" t="s">
        <v>460</v>
      </c>
      <c r="E51" s="47" t="s">
        <v>43</v>
      </c>
      <c r="F51" s="24" t="s">
        <v>459</v>
      </c>
      <c r="G51" s="41" t="s">
        <v>459</v>
      </c>
      <c r="H51" s="26"/>
      <c r="I51" s="27"/>
      <c r="J51" s="28"/>
      <c r="K51" s="4" t="s">
        <v>458</v>
      </c>
      <c r="L51" s="30" t="s">
        <v>435</v>
      </c>
      <c r="M51" s="40">
        <v>0.1</v>
      </c>
      <c r="N51" s="32" t="s">
        <v>425</v>
      </c>
      <c r="O51" s="24"/>
      <c r="P51" s="33"/>
      <c r="Q51" s="34" t="s">
        <v>178</v>
      </c>
      <c r="R51" s="35" t="s">
        <v>461</v>
      </c>
      <c r="S51" s="36"/>
      <c r="T51" s="111"/>
      <c r="U51" s="38"/>
      <c r="V51" s="22"/>
    </row>
    <row r="52" spans="1:22" ht="15" customHeight="1" x14ac:dyDescent="0.25">
      <c r="A52" s="166"/>
      <c r="B52" s="147" t="s">
        <v>264</v>
      </c>
      <c r="C52" s="183"/>
      <c r="D52" s="49" t="s">
        <v>453</v>
      </c>
      <c r="E52" s="47" t="s">
        <v>43</v>
      </c>
      <c r="F52" s="24" t="s">
        <v>452</v>
      </c>
      <c r="G52" s="25" t="s">
        <v>452</v>
      </c>
      <c r="H52" s="26"/>
      <c r="I52" s="27"/>
      <c r="J52" s="28"/>
      <c r="K52" s="29" t="s">
        <v>454</v>
      </c>
      <c r="L52" s="30" t="s">
        <v>455</v>
      </c>
      <c r="M52" s="40">
        <v>0.2</v>
      </c>
      <c r="N52" s="32" t="s">
        <v>456</v>
      </c>
      <c r="O52" s="24"/>
      <c r="P52" s="33"/>
      <c r="Q52" s="34" t="s">
        <v>178</v>
      </c>
      <c r="R52" s="157" t="s">
        <v>457</v>
      </c>
      <c r="S52" s="52">
        <v>0.29199999999999998</v>
      </c>
      <c r="T52" s="111"/>
      <c r="U52" s="38"/>
      <c r="V52" s="22"/>
    </row>
    <row r="53" spans="1:22" ht="12.75" x14ac:dyDescent="0.25">
      <c r="A53" s="166"/>
      <c r="B53" s="147" t="s">
        <v>265</v>
      </c>
      <c r="C53" s="180"/>
      <c r="D53" s="42" t="s">
        <v>436</v>
      </c>
      <c r="E53" s="47"/>
      <c r="F53" s="24" t="s">
        <v>437</v>
      </c>
      <c r="G53" s="41" t="s">
        <v>442</v>
      </c>
      <c r="H53" s="26"/>
      <c r="I53" s="27"/>
      <c r="J53" s="28"/>
      <c r="K53" s="77" t="s">
        <v>443</v>
      </c>
      <c r="L53" s="30" t="s">
        <v>435</v>
      </c>
      <c r="M53" s="40">
        <v>0.1</v>
      </c>
      <c r="N53" s="32" t="s">
        <v>31</v>
      </c>
      <c r="O53" s="24"/>
      <c r="P53" s="33"/>
      <c r="Q53" s="34" t="s">
        <v>438</v>
      </c>
      <c r="R53" s="35"/>
      <c r="S53" s="36"/>
      <c r="T53" s="111"/>
      <c r="U53" s="38"/>
      <c r="V53" s="22"/>
    </row>
    <row r="54" spans="1:22" ht="12.75" x14ac:dyDescent="0.25">
      <c r="A54" s="166"/>
      <c r="B54" s="147" t="s">
        <v>266</v>
      </c>
      <c r="C54" s="33"/>
      <c r="D54" s="42"/>
      <c r="E54" s="47"/>
      <c r="F54" s="24"/>
      <c r="G54" s="25"/>
      <c r="H54" s="26"/>
      <c r="I54" s="27"/>
      <c r="J54" s="28"/>
      <c r="K54" s="29"/>
      <c r="L54" s="30"/>
      <c r="M54" s="31"/>
      <c r="N54" s="32"/>
      <c r="O54" s="24"/>
      <c r="P54" s="33"/>
      <c r="Q54" s="34"/>
      <c r="R54" s="35"/>
      <c r="S54" s="36"/>
      <c r="T54" s="111"/>
      <c r="U54" s="38"/>
      <c r="V54" s="22"/>
    </row>
    <row r="55" spans="1:22" x14ac:dyDescent="0.25">
      <c r="A55" s="166"/>
      <c r="B55" s="147" t="s">
        <v>267</v>
      </c>
      <c r="C55" s="182"/>
      <c r="D55" s="49" t="s">
        <v>460</v>
      </c>
      <c r="E55" s="47" t="s">
        <v>43</v>
      </c>
      <c r="F55" s="24" t="s">
        <v>459</v>
      </c>
      <c r="G55" s="41" t="s">
        <v>459</v>
      </c>
      <c r="H55" s="26"/>
      <c r="I55" s="27"/>
      <c r="J55" s="28"/>
      <c r="K55" s="29" t="s">
        <v>458</v>
      </c>
      <c r="L55" s="30" t="s">
        <v>435</v>
      </c>
      <c r="M55" s="40">
        <v>0.1</v>
      </c>
      <c r="N55" s="32" t="s">
        <v>425</v>
      </c>
      <c r="O55" s="24"/>
      <c r="P55" s="33"/>
      <c r="Q55" s="34" t="s">
        <v>178</v>
      </c>
      <c r="R55" s="35" t="s">
        <v>461</v>
      </c>
      <c r="S55" s="36"/>
      <c r="T55" s="111"/>
      <c r="U55" s="38"/>
      <c r="V55" s="22"/>
    </row>
    <row r="56" spans="1:22" x14ac:dyDescent="0.25">
      <c r="A56" s="166"/>
      <c r="B56" s="147" t="s">
        <v>268</v>
      </c>
      <c r="C56" s="182"/>
      <c r="D56" s="49" t="s">
        <v>460</v>
      </c>
      <c r="E56" s="47" t="s">
        <v>43</v>
      </c>
      <c r="F56" s="24" t="s">
        <v>459</v>
      </c>
      <c r="G56" s="41" t="s">
        <v>459</v>
      </c>
      <c r="H56" s="26"/>
      <c r="I56" s="27"/>
      <c r="J56" s="28"/>
      <c r="K56" s="29" t="s">
        <v>458</v>
      </c>
      <c r="L56" s="30" t="s">
        <v>435</v>
      </c>
      <c r="M56" s="40">
        <v>0.1</v>
      </c>
      <c r="N56" s="32" t="s">
        <v>425</v>
      </c>
      <c r="O56" s="24"/>
      <c r="P56" s="33"/>
      <c r="Q56" s="34" t="s">
        <v>178</v>
      </c>
      <c r="R56" s="35" t="s">
        <v>461</v>
      </c>
      <c r="S56" s="36"/>
      <c r="T56" s="111"/>
      <c r="U56" s="38"/>
      <c r="V56" s="22"/>
    </row>
    <row r="57" spans="1:22" ht="14.25" customHeight="1" x14ac:dyDescent="0.25">
      <c r="A57" s="166"/>
      <c r="B57" s="147" t="s">
        <v>269</v>
      </c>
      <c r="C57" s="33"/>
      <c r="D57" s="49" t="s">
        <v>472</v>
      </c>
      <c r="E57" s="47" t="s">
        <v>43</v>
      </c>
      <c r="F57" s="24" t="s">
        <v>468</v>
      </c>
      <c r="G57" s="25" t="s">
        <v>468</v>
      </c>
      <c r="H57" s="26"/>
      <c r="I57" s="27"/>
      <c r="J57" s="28"/>
      <c r="K57" s="29" t="s">
        <v>469</v>
      </c>
      <c r="L57" s="30" t="s">
        <v>470</v>
      </c>
      <c r="M57" s="40">
        <v>0.1</v>
      </c>
      <c r="N57" s="32" t="s">
        <v>471</v>
      </c>
      <c r="O57" s="24"/>
      <c r="P57" s="33"/>
      <c r="Q57" s="34" t="s">
        <v>178</v>
      </c>
      <c r="R57" s="35" t="s">
        <v>467</v>
      </c>
      <c r="S57" s="52">
        <v>0.375</v>
      </c>
      <c r="T57" s="111"/>
      <c r="U57" s="38"/>
      <c r="V57" s="22"/>
    </row>
    <row r="58" spans="1:22" ht="12.75" x14ac:dyDescent="0.25">
      <c r="A58" s="166"/>
      <c r="B58" s="147" t="s">
        <v>270</v>
      </c>
      <c r="C58" s="33"/>
      <c r="D58" s="42"/>
      <c r="E58" s="47"/>
      <c r="F58" s="24"/>
      <c r="G58" s="25"/>
      <c r="H58" s="26"/>
      <c r="I58" s="27"/>
      <c r="J58" s="28"/>
      <c r="K58" s="29"/>
      <c r="L58" s="30"/>
      <c r="M58" s="31"/>
      <c r="N58" s="32"/>
      <c r="O58" s="24"/>
      <c r="P58" s="33"/>
      <c r="Q58" s="34"/>
      <c r="R58" s="35"/>
      <c r="S58" s="36"/>
      <c r="T58" s="111"/>
      <c r="U58" s="38"/>
      <c r="V58" s="22"/>
    </row>
    <row r="59" spans="1:22" x14ac:dyDescent="0.2">
      <c r="A59" s="166"/>
      <c r="B59" s="147" t="s">
        <v>271</v>
      </c>
      <c r="C59" s="183"/>
      <c r="D59" s="49" t="s">
        <v>448</v>
      </c>
      <c r="E59" s="47" t="s">
        <v>43</v>
      </c>
      <c r="F59" s="24" t="s">
        <v>447</v>
      </c>
      <c r="G59" s="143" t="s">
        <v>447</v>
      </c>
      <c r="H59" s="26"/>
      <c r="I59" s="27"/>
      <c r="J59" s="28"/>
      <c r="K59" s="29" t="s">
        <v>449</v>
      </c>
      <c r="L59" s="30" t="s">
        <v>446</v>
      </c>
      <c r="M59" s="40">
        <v>0.2</v>
      </c>
      <c r="N59" s="32" t="s">
        <v>450</v>
      </c>
      <c r="O59" s="24"/>
      <c r="P59" s="33"/>
      <c r="Q59" s="34" t="s">
        <v>178</v>
      </c>
      <c r="R59" s="35" t="s">
        <v>451</v>
      </c>
      <c r="S59" s="52">
        <v>0.67600000000000005</v>
      </c>
      <c r="T59" s="111"/>
      <c r="U59" s="38"/>
      <c r="V59" s="22"/>
    </row>
    <row r="60" spans="1:22" x14ac:dyDescent="0.25">
      <c r="A60" s="166"/>
      <c r="B60" s="147" t="s">
        <v>272</v>
      </c>
      <c r="C60" s="33"/>
      <c r="D60" s="49" t="s">
        <v>460</v>
      </c>
      <c r="E60" s="47" t="s">
        <v>43</v>
      </c>
      <c r="F60" s="24" t="s">
        <v>459</v>
      </c>
      <c r="G60" s="41" t="s">
        <v>459</v>
      </c>
      <c r="H60" s="26"/>
      <c r="I60" s="27"/>
      <c r="J60" s="28"/>
      <c r="K60" s="29" t="s">
        <v>458</v>
      </c>
      <c r="L60" s="30" t="s">
        <v>435</v>
      </c>
      <c r="M60" s="40">
        <v>0.1</v>
      </c>
      <c r="N60" s="32" t="s">
        <v>425</v>
      </c>
      <c r="O60" s="24"/>
      <c r="P60" s="33"/>
      <c r="Q60" s="34" t="s">
        <v>178</v>
      </c>
      <c r="R60" s="35" t="s">
        <v>461</v>
      </c>
      <c r="S60" s="36"/>
      <c r="T60" s="111"/>
      <c r="U60" s="38"/>
      <c r="V60" s="22"/>
    </row>
    <row r="61" spans="1:22" ht="12.75" x14ac:dyDescent="0.25">
      <c r="A61" s="166"/>
      <c r="B61" s="147" t="s">
        <v>273</v>
      </c>
      <c r="C61" s="184"/>
      <c r="D61" s="42"/>
      <c r="E61" s="47" t="s">
        <v>193</v>
      </c>
      <c r="F61" s="24"/>
      <c r="G61" s="25"/>
      <c r="H61" s="26"/>
      <c r="I61" s="27"/>
      <c r="J61" s="28"/>
      <c r="K61" s="79"/>
      <c r="L61" s="30"/>
      <c r="M61" s="31"/>
      <c r="N61" s="32"/>
      <c r="O61" s="24"/>
      <c r="P61" s="33"/>
      <c r="Q61" s="34"/>
      <c r="R61" s="35"/>
      <c r="S61" s="36"/>
      <c r="T61" s="111"/>
      <c r="U61" s="149"/>
      <c r="V61" s="22"/>
    </row>
    <row r="62" spans="1:22" ht="12.75" x14ac:dyDescent="0.25">
      <c r="A62" s="166"/>
      <c r="B62" s="147" t="s">
        <v>274</v>
      </c>
      <c r="C62" s="184"/>
      <c r="D62" s="42"/>
      <c r="E62" s="47" t="s">
        <v>193</v>
      </c>
      <c r="F62" s="24"/>
      <c r="G62" s="25"/>
      <c r="H62" s="26"/>
      <c r="I62" s="27"/>
      <c r="J62" s="28"/>
      <c r="O62" s="24"/>
      <c r="P62" s="33"/>
      <c r="Q62" s="34" t="s">
        <v>178</v>
      </c>
      <c r="R62" s="35" t="s">
        <v>457</v>
      </c>
      <c r="S62" s="52">
        <v>0.29199999999999998</v>
      </c>
      <c r="T62" s="111"/>
      <c r="U62" s="38"/>
      <c r="V62" s="22"/>
    </row>
    <row r="63" spans="1:22" x14ac:dyDescent="0.2">
      <c r="A63" s="166"/>
      <c r="B63" s="147" t="s">
        <v>275</v>
      </c>
      <c r="C63" s="183"/>
      <c r="D63" s="49" t="s">
        <v>453</v>
      </c>
      <c r="E63" s="47" t="s">
        <v>43</v>
      </c>
      <c r="F63" s="155" t="s">
        <v>452</v>
      </c>
      <c r="G63" s="25" t="s">
        <v>452</v>
      </c>
      <c r="H63" s="26"/>
      <c r="I63" s="27"/>
      <c r="J63" s="28"/>
      <c r="K63" s="79" t="s">
        <v>454</v>
      </c>
      <c r="L63" s="30" t="s">
        <v>455</v>
      </c>
      <c r="M63" s="40">
        <v>0.2</v>
      </c>
      <c r="N63" s="32" t="s">
        <v>456</v>
      </c>
      <c r="O63" s="24"/>
      <c r="P63" s="33"/>
      <c r="Q63" s="34"/>
      <c r="R63" s="35"/>
      <c r="S63" s="52"/>
      <c r="T63" s="111"/>
      <c r="U63" s="38"/>
      <c r="V63" s="22"/>
    </row>
    <row r="64" spans="1:22" ht="12.75" x14ac:dyDescent="0.25">
      <c r="A64" s="166"/>
      <c r="B64" s="147" t="s">
        <v>276</v>
      </c>
      <c r="C64" s="180"/>
      <c r="D64" s="42" t="s">
        <v>436</v>
      </c>
      <c r="E64" s="47" t="s">
        <v>43</v>
      </c>
      <c r="F64" s="24" t="s">
        <v>437</v>
      </c>
      <c r="G64" s="41" t="s">
        <v>442</v>
      </c>
      <c r="H64" s="26"/>
      <c r="I64" s="27"/>
      <c r="J64" s="28"/>
      <c r="K64" s="77" t="s">
        <v>443</v>
      </c>
      <c r="L64" s="30" t="s">
        <v>435</v>
      </c>
      <c r="M64" s="40">
        <v>0.1</v>
      </c>
      <c r="N64" s="32" t="s">
        <v>31</v>
      </c>
      <c r="O64" s="24"/>
      <c r="P64" s="33"/>
      <c r="Q64" s="34" t="s">
        <v>438</v>
      </c>
      <c r="R64" s="35"/>
      <c r="S64" s="36"/>
      <c r="T64" s="111"/>
      <c r="U64" s="38"/>
      <c r="V64" s="22"/>
    </row>
    <row r="65" spans="1:22" x14ac:dyDescent="0.25">
      <c r="A65" s="166"/>
      <c r="B65" s="147" t="s">
        <v>277</v>
      </c>
      <c r="C65" s="182"/>
      <c r="D65" s="49" t="s">
        <v>460</v>
      </c>
      <c r="E65" s="47" t="s">
        <v>43</v>
      </c>
      <c r="F65" s="24" t="s">
        <v>459</v>
      </c>
      <c r="G65" s="41" t="s">
        <v>459</v>
      </c>
      <c r="H65" s="26"/>
      <c r="I65" s="27"/>
      <c r="J65" s="28"/>
      <c r="K65" s="29" t="s">
        <v>458</v>
      </c>
      <c r="L65" s="30" t="s">
        <v>435</v>
      </c>
      <c r="M65" s="40">
        <v>0.1</v>
      </c>
      <c r="N65" s="32" t="s">
        <v>425</v>
      </c>
      <c r="O65" s="24"/>
      <c r="P65" s="33"/>
      <c r="Q65" s="34" t="s">
        <v>178</v>
      </c>
      <c r="R65" s="35" t="s">
        <v>461</v>
      </c>
      <c r="S65" s="36"/>
      <c r="T65" s="111"/>
      <c r="U65" s="38"/>
      <c r="V65" s="22"/>
    </row>
    <row r="66" spans="1:22" x14ac:dyDescent="0.25">
      <c r="A66" s="166"/>
      <c r="B66" s="147" t="s">
        <v>278</v>
      </c>
      <c r="C66" s="182"/>
      <c r="D66" s="49" t="s">
        <v>460</v>
      </c>
      <c r="E66" s="47" t="s">
        <v>43</v>
      </c>
      <c r="F66" s="24" t="s">
        <v>459</v>
      </c>
      <c r="G66" s="41" t="s">
        <v>459</v>
      </c>
      <c r="H66" s="26"/>
      <c r="I66" s="27"/>
      <c r="J66" s="28"/>
      <c r="K66" s="29" t="s">
        <v>458</v>
      </c>
      <c r="L66" s="30" t="s">
        <v>435</v>
      </c>
      <c r="M66" s="40">
        <v>0.1</v>
      </c>
      <c r="N66" s="32" t="s">
        <v>425</v>
      </c>
      <c r="O66" s="24"/>
      <c r="P66" s="33"/>
      <c r="Q66" s="34" t="s">
        <v>178</v>
      </c>
      <c r="R66" s="35" t="s">
        <v>461</v>
      </c>
      <c r="S66" s="36"/>
      <c r="T66" s="111"/>
      <c r="U66" s="38"/>
      <c r="V66" s="22"/>
    </row>
    <row r="67" spans="1:22" x14ac:dyDescent="0.25">
      <c r="A67" s="166"/>
      <c r="B67" s="147" t="s">
        <v>279</v>
      </c>
      <c r="C67" s="33"/>
      <c r="D67" s="49" t="s">
        <v>472</v>
      </c>
      <c r="E67" s="47" t="s">
        <v>43</v>
      </c>
      <c r="F67" s="24" t="s">
        <v>468</v>
      </c>
      <c r="G67" s="25" t="s">
        <v>468</v>
      </c>
      <c r="H67" s="26"/>
      <c r="I67" s="27"/>
      <c r="J67" s="28"/>
      <c r="K67" s="29" t="s">
        <v>469</v>
      </c>
      <c r="L67" s="30" t="s">
        <v>470</v>
      </c>
      <c r="M67" s="40">
        <v>0.1</v>
      </c>
      <c r="N67" s="32" t="s">
        <v>471</v>
      </c>
      <c r="O67" s="24"/>
      <c r="P67" s="33"/>
      <c r="Q67" s="34" t="s">
        <v>178</v>
      </c>
      <c r="R67" s="35" t="s">
        <v>467</v>
      </c>
      <c r="S67" s="52">
        <v>0.375</v>
      </c>
      <c r="T67" s="111"/>
      <c r="U67" s="38"/>
      <c r="V67" s="22"/>
    </row>
    <row r="68" spans="1:22" x14ac:dyDescent="0.2">
      <c r="A68" s="166"/>
      <c r="B68" s="147" t="s">
        <v>280</v>
      </c>
      <c r="C68" s="184"/>
      <c r="D68" s="49" t="s">
        <v>482</v>
      </c>
      <c r="E68" s="47" t="s">
        <v>43</v>
      </c>
      <c r="F68" s="155" t="s">
        <v>481</v>
      </c>
      <c r="G68" s="25" t="s">
        <v>481</v>
      </c>
      <c r="H68" s="26"/>
      <c r="I68" s="27"/>
      <c r="J68" s="28"/>
      <c r="K68" s="79" t="s">
        <v>480</v>
      </c>
      <c r="L68" s="30" t="s">
        <v>44</v>
      </c>
      <c r="M68" s="40">
        <v>0.1</v>
      </c>
      <c r="N68" s="32" t="s">
        <v>425</v>
      </c>
      <c r="O68" s="24"/>
      <c r="P68" s="33"/>
      <c r="Q68" s="34" t="s">
        <v>178</v>
      </c>
      <c r="R68" s="35" t="s">
        <v>483</v>
      </c>
      <c r="S68" s="52">
        <v>0.55500000000000005</v>
      </c>
      <c r="T68" s="111"/>
      <c r="U68" s="38"/>
      <c r="V68" s="22"/>
    </row>
    <row r="69" spans="1:22" x14ac:dyDescent="0.2">
      <c r="A69" s="166"/>
      <c r="B69" s="147" t="s">
        <v>281</v>
      </c>
      <c r="C69" s="184"/>
      <c r="D69" s="49" t="s">
        <v>482</v>
      </c>
      <c r="E69" s="47" t="s">
        <v>43</v>
      </c>
      <c r="F69" s="155" t="s">
        <v>481</v>
      </c>
      <c r="G69" s="25" t="s">
        <v>481</v>
      </c>
      <c r="H69" s="26"/>
      <c r="I69" s="27"/>
      <c r="J69" s="28"/>
      <c r="K69" s="79" t="s">
        <v>480</v>
      </c>
      <c r="L69" s="30" t="s">
        <v>44</v>
      </c>
      <c r="M69" s="40">
        <v>0.1</v>
      </c>
      <c r="N69" s="32" t="s">
        <v>425</v>
      </c>
      <c r="O69" s="24"/>
      <c r="P69" s="33"/>
      <c r="Q69" s="34" t="s">
        <v>178</v>
      </c>
      <c r="R69" s="35" t="s">
        <v>483</v>
      </c>
      <c r="S69" s="52">
        <v>0.55500000000000005</v>
      </c>
      <c r="T69" s="111"/>
      <c r="U69" s="38"/>
      <c r="V69" s="22"/>
    </row>
    <row r="70" spans="1:22" ht="12.75" x14ac:dyDescent="0.25">
      <c r="A70" s="166"/>
      <c r="B70" s="147" t="s">
        <v>282</v>
      </c>
      <c r="C70" s="180"/>
      <c r="D70" s="42" t="s">
        <v>436</v>
      </c>
      <c r="E70" s="47" t="s">
        <v>43</v>
      </c>
      <c r="F70" s="24" t="s">
        <v>437</v>
      </c>
      <c r="G70" s="41" t="s">
        <v>442</v>
      </c>
      <c r="H70" s="26"/>
      <c r="I70" s="27"/>
      <c r="J70" s="28"/>
      <c r="K70" s="77" t="s">
        <v>443</v>
      </c>
      <c r="L70" s="30" t="s">
        <v>435</v>
      </c>
      <c r="M70" s="40">
        <v>0.1</v>
      </c>
      <c r="N70" s="32" t="s">
        <v>31</v>
      </c>
      <c r="O70" s="24"/>
      <c r="P70" s="33"/>
      <c r="Q70" s="34" t="s">
        <v>438</v>
      </c>
      <c r="R70" s="35"/>
      <c r="S70" s="36"/>
      <c r="T70" s="111"/>
      <c r="U70" s="38"/>
      <c r="V70" s="22"/>
    </row>
    <row r="71" spans="1:22" x14ac:dyDescent="0.25">
      <c r="A71" s="166"/>
      <c r="B71" s="147" t="s">
        <v>283</v>
      </c>
      <c r="C71" s="33"/>
      <c r="D71" s="49" t="s">
        <v>472</v>
      </c>
      <c r="E71" s="47" t="s">
        <v>43</v>
      </c>
      <c r="F71" s="24" t="s">
        <v>468</v>
      </c>
      <c r="G71" s="25" t="s">
        <v>468</v>
      </c>
      <c r="H71" s="26"/>
      <c r="I71" s="27"/>
      <c r="J71" s="28"/>
      <c r="K71" s="29" t="s">
        <v>469</v>
      </c>
      <c r="L71" s="30" t="s">
        <v>470</v>
      </c>
      <c r="M71" s="40">
        <v>0.1</v>
      </c>
      <c r="N71" s="32" t="s">
        <v>471</v>
      </c>
      <c r="O71" s="24"/>
      <c r="P71" s="33"/>
      <c r="Q71" s="34" t="s">
        <v>178</v>
      </c>
      <c r="R71" s="35" t="s">
        <v>467</v>
      </c>
      <c r="S71" s="52">
        <v>0.375</v>
      </c>
      <c r="T71" s="111"/>
      <c r="U71" s="38"/>
      <c r="V71" s="22"/>
    </row>
    <row r="72" spans="1:22" ht="12.75" x14ac:dyDescent="0.25">
      <c r="A72" s="166"/>
      <c r="B72" s="147" t="s">
        <v>284</v>
      </c>
      <c r="C72" s="180"/>
      <c r="D72" s="42" t="s">
        <v>436</v>
      </c>
      <c r="E72" s="47" t="s">
        <v>43</v>
      </c>
      <c r="F72" s="24" t="s">
        <v>437</v>
      </c>
      <c r="G72" s="41" t="s">
        <v>442</v>
      </c>
      <c r="H72" s="26"/>
      <c r="I72" s="27"/>
      <c r="J72" s="28"/>
      <c r="K72" s="77" t="s">
        <v>443</v>
      </c>
      <c r="L72" s="30" t="s">
        <v>435</v>
      </c>
      <c r="M72" s="40">
        <v>0.1</v>
      </c>
      <c r="N72" s="32" t="s">
        <v>31</v>
      </c>
      <c r="O72" s="24"/>
      <c r="P72" s="33"/>
      <c r="Q72" s="34" t="s">
        <v>438</v>
      </c>
      <c r="R72" s="35"/>
      <c r="S72" s="36"/>
      <c r="T72" s="111"/>
      <c r="U72" s="38"/>
    </row>
    <row r="73" spans="1:22" x14ac:dyDescent="0.25">
      <c r="A73" s="166"/>
      <c r="B73" s="147" t="s">
        <v>285</v>
      </c>
      <c r="C73" s="33"/>
      <c r="D73" s="49" t="s">
        <v>472</v>
      </c>
      <c r="E73" s="47" t="s">
        <v>43</v>
      </c>
      <c r="F73" s="24" t="s">
        <v>468</v>
      </c>
      <c r="G73" s="25" t="s">
        <v>468</v>
      </c>
      <c r="H73" s="26"/>
      <c r="I73" s="27"/>
      <c r="J73" s="28"/>
      <c r="K73" s="29" t="s">
        <v>469</v>
      </c>
      <c r="L73" s="30" t="s">
        <v>470</v>
      </c>
      <c r="M73" s="40">
        <v>0.1</v>
      </c>
      <c r="N73" s="32" t="s">
        <v>471</v>
      </c>
      <c r="O73" s="24"/>
      <c r="P73" s="33"/>
      <c r="Q73" s="34" t="s">
        <v>178</v>
      </c>
      <c r="R73" s="35" t="s">
        <v>467</v>
      </c>
      <c r="S73" s="52">
        <v>0.375</v>
      </c>
      <c r="T73" s="111"/>
      <c r="U73" s="38"/>
      <c r="V73" s="22"/>
    </row>
    <row r="74" spans="1:22" x14ac:dyDescent="0.2">
      <c r="A74" s="166"/>
      <c r="B74" s="147" t="s">
        <v>286</v>
      </c>
      <c r="C74" s="184"/>
      <c r="D74" s="49" t="s">
        <v>482</v>
      </c>
      <c r="E74" s="47" t="s">
        <v>43</v>
      </c>
      <c r="F74" s="155" t="s">
        <v>481</v>
      </c>
      <c r="G74" s="25" t="s">
        <v>481</v>
      </c>
      <c r="H74" s="26"/>
      <c r="I74" s="27"/>
      <c r="J74" s="28"/>
      <c r="K74" s="79" t="s">
        <v>480</v>
      </c>
      <c r="L74" s="30" t="s">
        <v>44</v>
      </c>
      <c r="M74" s="40">
        <v>0.1</v>
      </c>
      <c r="N74" s="32" t="s">
        <v>425</v>
      </c>
      <c r="O74" s="24"/>
      <c r="P74" s="33"/>
      <c r="Q74" s="34" t="s">
        <v>178</v>
      </c>
      <c r="R74" s="35" t="s">
        <v>483</v>
      </c>
      <c r="S74" s="52">
        <v>0.55500000000000005</v>
      </c>
      <c r="T74" s="111"/>
      <c r="U74" s="38"/>
      <c r="V74" s="22"/>
    </row>
    <row r="75" spans="1:22" x14ac:dyDescent="0.2">
      <c r="A75" s="166"/>
      <c r="B75" s="147" t="s">
        <v>287</v>
      </c>
      <c r="C75" s="184"/>
      <c r="D75" s="49" t="s">
        <v>482</v>
      </c>
      <c r="E75" s="47" t="s">
        <v>43</v>
      </c>
      <c r="F75" s="155" t="s">
        <v>481</v>
      </c>
      <c r="G75" s="25" t="s">
        <v>481</v>
      </c>
      <c r="H75" s="26"/>
      <c r="I75" s="27"/>
      <c r="J75" s="28"/>
      <c r="K75" s="79" t="s">
        <v>480</v>
      </c>
      <c r="L75" s="30" t="s">
        <v>44</v>
      </c>
      <c r="M75" s="40">
        <v>0.1</v>
      </c>
      <c r="N75" s="32" t="s">
        <v>425</v>
      </c>
      <c r="O75" s="24"/>
      <c r="P75" s="33"/>
      <c r="Q75" s="34" t="s">
        <v>178</v>
      </c>
      <c r="R75" s="35" t="s">
        <v>483</v>
      </c>
      <c r="S75" s="52">
        <v>0.55500000000000005</v>
      </c>
      <c r="T75" s="111"/>
      <c r="U75" s="38"/>
      <c r="V75" s="22"/>
    </row>
    <row r="76" spans="1:22" ht="12.75" x14ac:dyDescent="0.2">
      <c r="A76" s="166"/>
      <c r="B76" s="147" t="s">
        <v>288</v>
      </c>
      <c r="C76" s="184"/>
      <c r="D76" s="42"/>
      <c r="E76" s="47" t="s">
        <v>193</v>
      </c>
      <c r="F76" s="155"/>
      <c r="G76" s="25"/>
      <c r="H76" s="26"/>
      <c r="I76" s="27"/>
      <c r="J76" s="28"/>
      <c r="K76" s="79"/>
      <c r="L76" s="30"/>
      <c r="M76" s="40"/>
      <c r="N76" s="32"/>
      <c r="O76" s="24"/>
      <c r="P76" s="33"/>
      <c r="Q76" s="34"/>
      <c r="R76" s="35"/>
      <c r="S76" s="52"/>
      <c r="T76" s="111"/>
      <c r="U76" s="38"/>
      <c r="V76" s="22"/>
    </row>
    <row r="77" spans="1:22" x14ac:dyDescent="0.25">
      <c r="A77" s="166"/>
      <c r="B77" s="147" t="s">
        <v>289</v>
      </c>
      <c r="C77" s="33"/>
      <c r="D77" s="49"/>
      <c r="E77" s="47" t="s">
        <v>193</v>
      </c>
      <c r="F77" s="24"/>
      <c r="G77" s="25"/>
      <c r="H77" s="26"/>
      <c r="I77" s="27"/>
      <c r="J77" s="28"/>
      <c r="K77" s="29"/>
      <c r="L77" s="30"/>
      <c r="M77" s="144"/>
      <c r="N77" s="32"/>
      <c r="O77" s="24"/>
      <c r="P77" s="33"/>
      <c r="Q77" s="34"/>
      <c r="R77" s="35"/>
      <c r="S77" s="52"/>
      <c r="T77" s="111"/>
      <c r="U77" s="38"/>
      <c r="V77" s="22"/>
    </row>
    <row r="78" spans="1:22" x14ac:dyDescent="0.2">
      <c r="A78" s="166"/>
      <c r="B78" s="147" t="s">
        <v>290</v>
      </c>
      <c r="C78" s="33"/>
      <c r="D78" s="49"/>
      <c r="E78" s="47" t="s">
        <v>193</v>
      </c>
      <c r="F78" s="155"/>
      <c r="G78" s="25"/>
      <c r="H78" s="26"/>
      <c r="I78" s="27"/>
      <c r="J78" s="28"/>
      <c r="K78" s="29"/>
      <c r="L78" s="30"/>
      <c r="M78" s="40"/>
      <c r="N78" s="32"/>
      <c r="O78" s="24"/>
      <c r="P78" s="33"/>
      <c r="Q78" s="34"/>
      <c r="R78" s="35"/>
      <c r="S78" s="52"/>
      <c r="T78" s="111"/>
      <c r="U78" s="38"/>
      <c r="V78" s="22"/>
    </row>
    <row r="79" spans="1:22" x14ac:dyDescent="0.2">
      <c r="A79" s="166"/>
      <c r="B79" s="147" t="s">
        <v>291</v>
      </c>
      <c r="C79" s="33"/>
      <c r="D79" s="49"/>
      <c r="E79" s="47" t="s">
        <v>193</v>
      </c>
      <c r="F79" s="156"/>
      <c r="G79" s="25"/>
      <c r="H79" s="26"/>
      <c r="I79" s="27"/>
      <c r="J79" s="28"/>
      <c r="K79" s="29"/>
      <c r="L79" s="30"/>
      <c r="M79" s="40"/>
      <c r="N79" s="32"/>
      <c r="O79" s="24"/>
      <c r="P79" s="33"/>
      <c r="Q79" s="34"/>
      <c r="R79" s="35"/>
      <c r="S79" s="36"/>
      <c r="T79" s="111"/>
      <c r="U79" s="38"/>
      <c r="V79" s="22"/>
    </row>
    <row r="80" spans="1:22" ht="12.75" x14ac:dyDescent="0.25">
      <c r="A80" s="166"/>
      <c r="B80" s="151" t="s">
        <v>292</v>
      </c>
      <c r="C80" s="33"/>
      <c r="D80" s="42"/>
      <c r="E80" s="47"/>
      <c r="F80" s="24" t="s">
        <v>192</v>
      </c>
      <c r="G80" s="25" t="s">
        <v>484</v>
      </c>
      <c r="H80" s="26"/>
      <c r="I80" s="27"/>
      <c r="J80" s="28"/>
      <c r="K80" s="29" t="s">
        <v>192</v>
      </c>
      <c r="L80" s="30"/>
      <c r="M80" s="31"/>
      <c r="N80" s="32"/>
      <c r="O80" s="24"/>
      <c r="P80" s="33"/>
      <c r="Q80" s="34"/>
      <c r="R80" s="35"/>
      <c r="S80" s="52"/>
      <c r="T80" s="111"/>
      <c r="U80" s="38"/>
      <c r="V80" s="22"/>
    </row>
    <row r="81" spans="1:22" ht="12.75" x14ac:dyDescent="0.25">
      <c r="A81" s="166"/>
      <c r="B81" s="151" t="s">
        <v>293</v>
      </c>
      <c r="C81" s="33"/>
      <c r="D81" s="42"/>
      <c r="E81" s="47"/>
      <c r="F81" s="24" t="s">
        <v>192</v>
      </c>
      <c r="G81" s="25" t="s">
        <v>484</v>
      </c>
      <c r="H81" s="26"/>
      <c r="I81" s="27"/>
      <c r="J81" s="28"/>
      <c r="K81" s="29" t="s">
        <v>192</v>
      </c>
      <c r="L81" s="30"/>
      <c r="M81" s="31"/>
      <c r="N81" s="32"/>
      <c r="O81" s="24"/>
      <c r="P81" s="33"/>
      <c r="Q81" s="34"/>
      <c r="R81" s="35"/>
      <c r="S81" s="52"/>
      <c r="T81" s="111"/>
      <c r="U81" s="38"/>
      <c r="V81" s="22"/>
    </row>
    <row r="82" spans="1:22" s="141" customFormat="1" x14ac:dyDescent="0.25">
      <c r="A82" s="166"/>
      <c r="B82" s="151" t="s">
        <v>294</v>
      </c>
      <c r="C82" s="33"/>
      <c r="D82" s="49"/>
      <c r="E82" s="47"/>
      <c r="F82" s="24" t="s">
        <v>192</v>
      </c>
      <c r="G82" s="25" t="s">
        <v>484</v>
      </c>
      <c r="H82" s="26"/>
      <c r="I82" s="27"/>
      <c r="J82" s="28"/>
      <c r="K82" s="29" t="s">
        <v>192</v>
      </c>
      <c r="L82" s="30"/>
      <c r="M82" s="31"/>
      <c r="N82" s="32"/>
      <c r="O82" s="24"/>
      <c r="P82" s="33"/>
      <c r="Q82" s="34"/>
      <c r="R82" s="35"/>
      <c r="S82" s="52"/>
      <c r="T82" s="111"/>
      <c r="U82" s="38"/>
      <c r="V82" s="22"/>
    </row>
    <row r="83" spans="1:22" s="141" customFormat="1" x14ac:dyDescent="0.2">
      <c r="A83" s="166"/>
      <c r="B83" s="151" t="s">
        <v>295</v>
      </c>
      <c r="C83" s="33"/>
      <c r="D83" s="49" t="s">
        <v>486</v>
      </c>
      <c r="E83" s="47" t="s">
        <v>43</v>
      </c>
      <c r="F83" s="155" t="s">
        <v>487</v>
      </c>
      <c r="G83" s="25" t="s">
        <v>487</v>
      </c>
      <c r="H83" s="26"/>
      <c r="I83" s="27"/>
      <c r="J83" s="28"/>
      <c r="K83" s="29" t="s">
        <v>485</v>
      </c>
      <c r="L83" s="30"/>
      <c r="M83" s="31"/>
      <c r="N83" s="32"/>
      <c r="O83" s="24"/>
      <c r="P83" s="33"/>
      <c r="Q83" s="34" t="s">
        <v>178</v>
      </c>
      <c r="R83" s="35" t="s">
        <v>488</v>
      </c>
      <c r="S83" s="52"/>
      <c r="T83" s="111"/>
      <c r="U83" s="38"/>
      <c r="V83" s="22"/>
    </row>
    <row r="84" spans="1:22" s="141" customFormat="1" x14ac:dyDescent="0.2">
      <c r="A84" s="166"/>
      <c r="B84" s="151" t="s">
        <v>296</v>
      </c>
      <c r="C84" s="33"/>
      <c r="D84" s="49" t="s">
        <v>496</v>
      </c>
      <c r="E84" s="47" t="s">
        <v>43</v>
      </c>
      <c r="F84" s="155" t="s">
        <v>494</v>
      </c>
      <c r="G84" s="25" t="s">
        <v>494</v>
      </c>
      <c r="H84" s="26"/>
      <c r="I84" s="27"/>
      <c r="J84" s="28"/>
      <c r="K84" s="29" t="s">
        <v>495</v>
      </c>
      <c r="L84" s="30"/>
      <c r="M84" s="31"/>
      <c r="N84" s="32"/>
      <c r="O84" s="24"/>
      <c r="P84" s="33"/>
      <c r="Q84" s="34" t="s">
        <v>178</v>
      </c>
      <c r="R84" s="35" t="s">
        <v>497</v>
      </c>
      <c r="S84" s="52">
        <v>0.21</v>
      </c>
      <c r="T84" s="111"/>
      <c r="U84" s="38"/>
      <c r="V84" s="22"/>
    </row>
    <row r="85" spans="1:22" s="141" customFormat="1" ht="15" customHeight="1" x14ac:dyDescent="0.25">
      <c r="A85" s="166"/>
      <c r="B85" s="151" t="s">
        <v>297</v>
      </c>
      <c r="C85" s="33"/>
      <c r="D85" s="49" t="s">
        <v>501</v>
      </c>
      <c r="E85" s="47" t="s">
        <v>43</v>
      </c>
      <c r="F85" s="24" t="s">
        <v>498</v>
      </c>
      <c r="G85" s="25" t="s">
        <v>498</v>
      </c>
      <c r="H85" s="26"/>
      <c r="I85" s="27"/>
      <c r="J85" s="28"/>
      <c r="K85" s="145" t="s">
        <v>499</v>
      </c>
      <c r="L85" s="30"/>
      <c r="M85" s="40"/>
      <c r="N85" s="32"/>
      <c r="O85" s="24"/>
      <c r="P85" s="33"/>
      <c r="Q85" s="34" t="s">
        <v>178</v>
      </c>
      <c r="R85" s="35" t="s">
        <v>500</v>
      </c>
      <c r="S85" s="52">
        <v>7.4999999999999997E-2</v>
      </c>
      <c r="T85" s="111"/>
      <c r="U85" s="38"/>
      <c r="V85" s="22"/>
    </row>
    <row r="86" spans="1:22" s="141" customFormat="1" ht="13.5" customHeight="1" x14ac:dyDescent="0.25">
      <c r="A86" s="166"/>
      <c r="B86" s="151" t="s">
        <v>298</v>
      </c>
      <c r="C86" s="33"/>
      <c r="D86" s="49" t="s">
        <v>501</v>
      </c>
      <c r="E86" s="47" t="s">
        <v>43</v>
      </c>
      <c r="F86" s="24" t="s">
        <v>498</v>
      </c>
      <c r="G86" s="25" t="s">
        <v>498</v>
      </c>
      <c r="H86" s="26"/>
      <c r="I86" s="27"/>
      <c r="J86" s="28"/>
      <c r="K86" s="145" t="s">
        <v>499</v>
      </c>
      <c r="L86" s="30"/>
      <c r="M86" s="40"/>
      <c r="N86" s="32"/>
      <c r="O86" s="24"/>
      <c r="P86" s="33"/>
      <c r="Q86" s="34" t="s">
        <v>178</v>
      </c>
      <c r="R86" s="35" t="s">
        <v>500</v>
      </c>
      <c r="S86" s="52">
        <v>7.4999999999999997E-2</v>
      </c>
      <c r="T86" s="111"/>
      <c r="U86" s="38"/>
      <c r="V86" s="22"/>
    </row>
    <row r="87" spans="1:22" s="141" customFormat="1" ht="15" customHeight="1" x14ac:dyDescent="0.25">
      <c r="A87" s="166"/>
      <c r="B87" s="151" t="s">
        <v>299</v>
      </c>
      <c r="C87" s="33"/>
      <c r="D87" s="49" t="s">
        <v>501</v>
      </c>
      <c r="E87" s="47" t="s">
        <v>43</v>
      </c>
      <c r="F87" s="24" t="s">
        <v>498</v>
      </c>
      <c r="G87" s="25" t="s">
        <v>498</v>
      </c>
      <c r="H87" s="26"/>
      <c r="I87" s="27"/>
      <c r="J87" s="28"/>
      <c r="K87" s="145" t="s">
        <v>499</v>
      </c>
      <c r="L87" s="30"/>
      <c r="M87" s="40"/>
      <c r="N87" s="32"/>
      <c r="O87" s="24"/>
      <c r="P87" s="33"/>
      <c r="Q87" s="34" t="s">
        <v>178</v>
      </c>
      <c r="R87" s="35" t="s">
        <v>500</v>
      </c>
      <c r="S87" s="52">
        <v>7.4999999999999997E-2</v>
      </c>
      <c r="T87" s="111"/>
      <c r="U87" s="38"/>
      <c r="V87" s="22"/>
    </row>
    <row r="88" spans="1:22" s="141" customFormat="1" ht="13.5" customHeight="1" x14ac:dyDescent="0.25">
      <c r="A88" s="166"/>
      <c r="B88" s="151" t="s">
        <v>300</v>
      </c>
      <c r="C88" s="33"/>
      <c r="D88" s="49" t="s">
        <v>501</v>
      </c>
      <c r="E88" s="47" t="s">
        <v>43</v>
      </c>
      <c r="F88" s="24" t="s">
        <v>498</v>
      </c>
      <c r="G88" s="25" t="s">
        <v>498</v>
      </c>
      <c r="H88" s="26"/>
      <c r="I88" s="27"/>
      <c r="J88" s="28"/>
      <c r="K88" s="145" t="s">
        <v>499</v>
      </c>
      <c r="L88" s="30"/>
      <c r="M88" s="40"/>
      <c r="N88" s="32"/>
      <c r="O88" s="24"/>
      <c r="P88" s="33"/>
      <c r="Q88" s="34" t="s">
        <v>178</v>
      </c>
      <c r="R88" s="35" t="s">
        <v>500</v>
      </c>
      <c r="S88" s="52">
        <v>7.4999999999999997E-2</v>
      </c>
      <c r="T88" s="111"/>
      <c r="U88" s="38"/>
      <c r="V88" s="22"/>
    </row>
    <row r="89" spans="1:22" s="141" customFormat="1" x14ac:dyDescent="0.2">
      <c r="A89" s="166"/>
      <c r="B89" s="151" t="s">
        <v>301</v>
      </c>
      <c r="C89" s="33"/>
      <c r="D89" s="49" t="s">
        <v>496</v>
      </c>
      <c r="E89" s="47" t="s">
        <v>43</v>
      </c>
      <c r="F89" s="155" t="s">
        <v>494</v>
      </c>
      <c r="G89" s="25" t="s">
        <v>494</v>
      </c>
      <c r="H89" s="26"/>
      <c r="I89" s="27"/>
      <c r="J89" s="28"/>
      <c r="K89" s="29" t="s">
        <v>495</v>
      </c>
      <c r="L89" s="30"/>
      <c r="M89" s="31"/>
      <c r="N89" s="32"/>
      <c r="O89" s="24"/>
      <c r="P89" s="33"/>
      <c r="Q89" s="34" t="s">
        <v>178</v>
      </c>
      <c r="R89" s="35" t="s">
        <v>497</v>
      </c>
      <c r="S89" s="52">
        <v>0.21</v>
      </c>
      <c r="T89" s="111"/>
      <c r="U89" s="38"/>
      <c r="V89" s="22"/>
    </row>
    <row r="90" spans="1:22" s="141" customFormat="1" ht="16.5" customHeight="1" x14ac:dyDescent="0.25">
      <c r="A90" s="166"/>
      <c r="B90" s="151" t="s">
        <v>302</v>
      </c>
      <c r="C90" s="33"/>
      <c r="D90" s="49" t="s">
        <v>501</v>
      </c>
      <c r="E90" s="47" t="s">
        <v>43</v>
      </c>
      <c r="F90" s="24" t="s">
        <v>498</v>
      </c>
      <c r="G90" s="25" t="s">
        <v>498</v>
      </c>
      <c r="H90" s="26"/>
      <c r="I90" s="27"/>
      <c r="J90" s="28"/>
      <c r="K90" s="145" t="s">
        <v>499</v>
      </c>
      <c r="L90" s="30"/>
      <c r="M90" s="40"/>
      <c r="N90" s="32"/>
      <c r="O90" s="24"/>
      <c r="P90" s="33"/>
      <c r="Q90" s="34" t="s">
        <v>178</v>
      </c>
      <c r="R90" s="35" t="s">
        <v>500</v>
      </c>
      <c r="S90" s="52">
        <v>7.4999999999999997E-2</v>
      </c>
      <c r="T90" s="111"/>
      <c r="U90" s="38"/>
      <c r="V90" s="22"/>
    </row>
    <row r="91" spans="1:22" s="141" customFormat="1" ht="15" customHeight="1" x14ac:dyDescent="0.25">
      <c r="A91" s="166"/>
      <c r="B91" s="151" t="s">
        <v>303</v>
      </c>
      <c r="C91" s="33"/>
      <c r="D91" s="49" t="s">
        <v>501</v>
      </c>
      <c r="E91" s="47" t="s">
        <v>43</v>
      </c>
      <c r="F91" s="24" t="s">
        <v>498</v>
      </c>
      <c r="G91" s="25" t="s">
        <v>498</v>
      </c>
      <c r="H91" s="26"/>
      <c r="I91" s="27"/>
      <c r="J91" s="28"/>
      <c r="K91" s="145" t="s">
        <v>499</v>
      </c>
      <c r="L91" s="30"/>
      <c r="M91" s="40"/>
      <c r="N91" s="32"/>
      <c r="O91" s="24"/>
      <c r="P91" s="33"/>
      <c r="Q91" s="34" t="s">
        <v>178</v>
      </c>
      <c r="R91" s="35" t="s">
        <v>500</v>
      </c>
      <c r="S91" s="52">
        <v>7.4999999999999997E-2</v>
      </c>
      <c r="T91" s="111"/>
      <c r="U91" s="38"/>
      <c r="V91" s="22"/>
    </row>
    <row r="92" spans="1:22" s="141" customFormat="1" x14ac:dyDescent="0.2">
      <c r="A92" s="166"/>
      <c r="B92" s="151" t="s">
        <v>304</v>
      </c>
      <c r="C92" s="33"/>
      <c r="D92" s="49" t="s">
        <v>496</v>
      </c>
      <c r="E92" s="47" t="s">
        <v>43</v>
      </c>
      <c r="F92" s="155" t="s">
        <v>494</v>
      </c>
      <c r="G92" s="25" t="s">
        <v>494</v>
      </c>
      <c r="H92" s="26"/>
      <c r="I92" s="27"/>
      <c r="J92" s="28"/>
      <c r="K92" s="29" t="s">
        <v>495</v>
      </c>
      <c r="L92" s="30"/>
      <c r="M92" s="31"/>
      <c r="N92" s="32"/>
      <c r="O92" s="24"/>
      <c r="P92" s="33"/>
      <c r="Q92" s="34" t="s">
        <v>178</v>
      </c>
      <c r="R92" s="35" t="s">
        <v>497</v>
      </c>
      <c r="S92" s="52">
        <v>0.21</v>
      </c>
      <c r="T92" s="111"/>
      <c r="U92" s="38"/>
      <c r="V92" s="22"/>
    </row>
    <row r="93" spans="1:22" s="141" customFormat="1" x14ac:dyDescent="0.2">
      <c r="A93" s="166"/>
      <c r="B93" s="151" t="s">
        <v>305</v>
      </c>
      <c r="C93" s="33"/>
      <c r="D93" s="49" t="s">
        <v>503</v>
      </c>
      <c r="E93" s="47" t="s">
        <v>43</v>
      </c>
      <c r="F93" s="155" t="s">
        <v>502</v>
      </c>
      <c r="G93" s="25" t="s">
        <v>502</v>
      </c>
      <c r="H93" s="26"/>
      <c r="I93" s="27"/>
      <c r="J93" s="28"/>
      <c r="K93" s="29" t="s">
        <v>504</v>
      </c>
      <c r="L93" s="30"/>
      <c r="M93" s="31"/>
      <c r="N93" s="32"/>
      <c r="O93" s="24"/>
      <c r="P93" s="33"/>
      <c r="Q93" s="34" t="s">
        <v>178</v>
      </c>
      <c r="R93" s="35" t="s">
        <v>505</v>
      </c>
      <c r="S93" s="52">
        <v>0.72799999999999998</v>
      </c>
      <c r="T93" s="111"/>
      <c r="U93" s="38"/>
      <c r="V93" s="22"/>
    </row>
    <row r="94" spans="1:22" s="141" customFormat="1" x14ac:dyDescent="0.2">
      <c r="A94" s="166"/>
      <c r="B94" s="151" t="s">
        <v>306</v>
      </c>
      <c r="C94" s="33"/>
      <c r="D94" s="49" t="s">
        <v>503</v>
      </c>
      <c r="E94" s="47" t="s">
        <v>43</v>
      </c>
      <c r="F94" s="155" t="s">
        <v>502</v>
      </c>
      <c r="G94" s="25" t="s">
        <v>502</v>
      </c>
      <c r="H94" s="26"/>
      <c r="I94" s="27"/>
      <c r="J94" s="28"/>
      <c r="K94" s="29" t="s">
        <v>504</v>
      </c>
      <c r="L94" s="30"/>
      <c r="M94" s="31"/>
      <c r="N94" s="32"/>
      <c r="O94" s="24"/>
      <c r="P94" s="33"/>
      <c r="Q94" s="34" t="s">
        <v>178</v>
      </c>
      <c r="R94" s="35" t="s">
        <v>505</v>
      </c>
      <c r="S94" s="52">
        <v>0.72799999999999998</v>
      </c>
      <c r="T94" s="111"/>
      <c r="U94" s="38"/>
      <c r="V94" s="22"/>
    </row>
    <row r="95" spans="1:22" s="141" customFormat="1" ht="12.75" x14ac:dyDescent="0.25">
      <c r="A95" s="166"/>
      <c r="B95" s="151" t="s">
        <v>307</v>
      </c>
      <c r="C95" s="33"/>
      <c r="D95" s="42"/>
      <c r="E95" s="47"/>
      <c r="F95" s="24" t="s">
        <v>192</v>
      </c>
      <c r="G95" s="25" t="s">
        <v>484</v>
      </c>
      <c r="H95" s="26"/>
      <c r="I95" s="27"/>
      <c r="J95" s="28"/>
      <c r="K95" s="29" t="s">
        <v>192</v>
      </c>
      <c r="L95" s="30"/>
      <c r="M95" s="31"/>
      <c r="N95" s="32"/>
      <c r="O95" s="24"/>
      <c r="P95" s="33"/>
      <c r="Q95" s="34"/>
      <c r="R95" s="35"/>
      <c r="S95" s="52"/>
      <c r="T95" s="111"/>
      <c r="U95" s="38"/>
      <c r="V95" s="22"/>
    </row>
    <row r="96" spans="1:22" s="141" customFormat="1" x14ac:dyDescent="0.25">
      <c r="A96" s="166"/>
      <c r="B96" s="151" t="s">
        <v>308</v>
      </c>
      <c r="C96" s="33"/>
      <c r="D96" s="49" t="s">
        <v>184</v>
      </c>
      <c r="E96" s="47" t="s">
        <v>43</v>
      </c>
      <c r="F96" s="24" t="s">
        <v>182</v>
      </c>
      <c r="G96" s="25" t="s">
        <v>182</v>
      </c>
      <c r="H96" s="26"/>
      <c r="I96" s="27"/>
      <c r="J96" s="28"/>
      <c r="K96" s="29" t="s">
        <v>183</v>
      </c>
      <c r="L96" s="30"/>
      <c r="M96" s="31"/>
      <c r="N96" s="32"/>
      <c r="O96" s="24"/>
      <c r="P96" s="33"/>
      <c r="Q96" s="34" t="s">
        <v>178</v>
      </c>
      <c r="R96" s="35" t="s">
        <v>185</v>
      </c>
      <c r="S96" s="52">
        <v>0.72099999999999997</v>
      </c>
      <c r="T96" s="111"/>
      <c r="U96" s="38"/>
      <c r="V96" s="22"/>
    </row>
    <row r="97" spans="1:23" s="141" customFormat="1" x14ac:dyDescent="0.2">
      <c r="A97" s="166"/>
      <c r="B97" s="151" t="s">
        <v>309</v>
      </c>
      <c r="C97" s="33"/>
      <c r="D97" s="49" t="s">
        <v>186</v>
      </c>
      <c r="E97" s="47" t="s">
        <v>43</v>
      </c>
      <c r="F97" s="156" t="s">
        <v>506</v>
      </c>
      <c r="G97" s="25" t="s">
        <v>506</v>
      </c>
      <c r="H97" s="26"/>
      <c r="I97" s="27"/>
      <c r="J97" s="28"/>
      <c r="K97" s="29" t="s">
        <v>187</v>
      </c>
      <c r="L97" s="30"/>
      <c r="M97" s="40"/>
      <c r="N97" s="32"/>
      <c r="O97" s="24"/>
      <c r="P97" s="33"/>
      <c r="Q97" s="34" t="s">
        <v>178</v>
      </c>
      <c r="R97" s="35" t="s">
        <v>507</v>
      </c>
      <c r="S97" s="52">
        <v>2.5499999999999998</v>
      </c>
      <c r="T97" s="111"/>
      <c r="U97" s="38"/>
      <c r="V97" s="22"/>
    </row>
    <row r="98" spans="1:23" s="141" customFormat="1" x14ac:dyDescent="0.2">
      <c r="A98" s="166"/>
      <c r="B98" s="151" t="s">
        <v>310</v>
      </c>
      <c r="C98" s="33"/>
      <c r="D98" s="49" t="s">
        <v>186</v>
      </c>
      <c r="E98" s="47" t="s">
        <v>43</v>
      </c>
      <c r="F98" s="156" t="s">
        <v>506</v>
      </c>
      <c r="G98" s="25" t="s">
        <v>506</v>
      </c>
      <c r="H98" s="26"/>
      <c r="I98" s="27"/>
      <c r="J98" s="28"/>
      <c r="K98" s="29" t="s">
        <v>187</v>
      </c>
      <c r="L98" s="30"/>
      <c r="M98" s="40"/>
      <c r="N98" s="32"/>
      <c r="O98" s="24"/>
      <c r="P98" s="33"/>
      <c r="Q98" s="34" t="s">
        <v>178</v>
      </c>
      <c r="R98" s="35" t="s">
        <v>507</v>
      </c>
      <c r="S98" s="52">
        <v>2.5499999999999998</v>
      </c>
      <c r="T98" s="111"/>
      <c r="U98" s="38"/>
      <c r="V98" s="22"/>
    </row>
    <row r="99" spans="1:23" s="141" customFormat="1" x14ac:dyDescent="0.2">
      <c r="A99" s="166"/>
      <c r="B99" s="151" t="s">
        <v>311</v>
      </c>
      <c r="C99" s="33"/>
      <c r="D99" s="49" t="s">
        <v>186</v>
      </c>
      <c r="E99" s="47" t="s">
        <v>43</v>
      </c>
      <c r="F99" s="156" t="s">
        <v>506</v>
      </c>
      <c r="G99" s="25" t="s">
        <v>506</v>
      </c>
      <c r="H99" s="26"/>
      <c r="I99" s="27"/>
      <c r="J99" s="28"/>
      <c r="K99" s="29" t="s">
        <v>187</v>
      </c>
      <c r="L99" s="30"/>
      <c r="M99" s="40"/>
      <c r="N99" s="32"/>
      <c r="O99" s="24"/>
      <c r="P99" s="33"/>
      <c r="Q99" s="34" t="s">
        <v>178</v>
      </c>
      <c r="R99" s="35" t="s">
        <v>507</v>
      </c>
      <c r="S99" s="52">
        <v>2.5499999999999998</v>
      </c>
      <c r="T99" s="111"/>
      <c r="U99" s="38"/>
      <c r="V99" s="22"/>
    </row>
    <row r="100" spans="1:23" s="141" customFormat="1" x14ac:dyDescent="0.2">
      <c r="A100" s="166"/>
      <c r="B100" s="151" t="s">
        <v>312</v>
      </c>
      <c r="C100" s="33"/>
      <c r="D100" s="49" t="s">
        <v>186</v>
      </c>
      <c r="E100" s="47" t="s">
        <v>43</v>
      </c>
      <c r="F100" s="156" t="s">
        <v>506</v>
      </c>
      <c r="G100" s="25" t="s">
        <v>506</v>
      </c>
      <c r="H100" s="26"/>
      <c r="I100" s="27"/>
      <c r="J100" s="28"/>
      <c r="K100" s="29" t="s">
        <v>187</v>
      </c>
      <c r="L100" s="30"/>
      <c r="M100" s="40"/>
      <c r="N100" s="32"/>
      <c r="O100" s="24"/>
      <c r="P100" s="33"/>
      <c r="Q100" s="34" t="s">
        <v>178</v>
      </c>
      <c r="R100" s="35" t="s">
        <v>507</v>
      </c>
      <c r="S100" s="52">
        <v>2.5499999999999998</v>
      </c>
      <c r="T100" s="111"/>
      <c r="U100" s="38"/>
      <c r="V100" s="22"/>
    </row>
    <row r="101" spans="1:23" s="141" customFormat="1" x14ac:dyDescent="0.2">
      <c r="A101" s="166"/>
      <c r="B101" s="151" t="s">
        <v>600</v>
      </c>
      <c r="C101" s="33" t="s">
        <v>627</v>
      </c>
      <c r="D101" s="49" t="s">
        <v>599</v>
      </c>
      <c r="E101" s="47"/>
      <c r="F101" s="156" t="s">
        <v>601</v>
      </c>
      <c r="G101" s="25" t="s">
        <v>601</v>
      </c>
      <c r="H101" s="26"/>
      <c r="I101" s="27"/>
      <c r="J101" s="28"/>
      <c r="K101" s="29" t="s">
        <v>601</v>
      </c>
      <c r="L101" s="30"/>
      <c r="M101" s="40"/>
      <c r="N101" s="32"/>
      <c r="O101" s="24"/>
      <c r="P101" s="33"/>
      <c r="Q101" s="34" t="s">
        <v>523</v>
      </c>
      <c r="R101" s="35"/>
      <c r="S101" s="52"/>
      <c r="T101" s="111"/>
      <c r="U101" s="38"/>
      <c r="V101" s="22"/>
      <c r="W101" s="178"/>
    </row>
    <row r="102" spans="1:23" s="141" customFormat="1" x14ac:dyDescent="0.2">
      <c r="A102" s="166"/>
      <c r="B102" s="151" t="s">
        <v>602</v>
      </c>
      <c r="C102" s="33" t="s">
        <v>627</v>
      </c>
      <c r="D102" s="49" t="s">
        <v>599</v>
      </c>
      <c r="E102" s="47"/>
      <c r="F102" s="156" t="s">
        <v>601</v>
      </c>
      <c r="G102" s="25" t="s">
        <v>601</v>
      </c>
      <c r="H102" s="26"/>
      <c r="I102" s="27"/>
      <c r="J102" s="28"/>
      <c r="K102" s="29" t="s">
        <v>601</v>
      </c>
      <c r="L102" s="30"/>
      <c r="M102" s="40"/>
      <c r="N102" s="32"/>
      <c r="O102" s="24"/>
      <c r="P102" s="33"/>
      <c r="Q102" s="34" t="s">
        <v>523</v>
      </c>
      <c r="R102" s="35"/>
      <c r="S102" s="52"/>
      <c r="T102" s="111"/>
      <c r="U102" s="38"/>
      <c r="V102" s="22"/>
      <c r="W102" s="178"/>
    </row>
    <row r="103" spans="1:23" s="141" customFormat="1" x14ac:dyDescent="0.2">
      <c r="A103" s="166"/>
      <c r="B103" s="151" t="s">
        <v>603</v>
      </c>
      <c r="C103" s="33" t="s">
        <v>627</v>
      </c>
      <c r="D103" s="49" t="s">
        <v>599</v>
      </c>
      <c r="E103" s="47"/>
      <c r="F103" s="156" t="s">
        <v>601</v>
      </c>
      <c r="G103" s="25" t="s">
        <v>601</v>
      </c>
      <c r="H103" s="26"/>
      <c r="I103" s="27"/>
      <c r="J103" s="28"/>
      <c r="K103" s="29" t="s">
        <v>601</v>
      </c>
      <c r="L103" s="30"/>
      <c r="M103" s="40"/>
      <c r="N103" s="32"/>
      <c r="O103" s="24"/>
      <c r="P103" s="33"/>
      <c r="Q103" s="34" t="s">
        <v>523</v>
      </c>
      <c r="R103" s="35"/>
      <c r="S103" s="52"/>
      <c r="T103" s="111"/>
      <c r="U103" s="38"/>
      <c r="V103" s="22"/>
      <c r="W103" s="178"/>
    </row>
    <row r="104" spans="1:23" s="141" customFormat="1" x14ac:dyDescent="0.25">
      <c r="A104" s="166"/>
      <c r="B104" s="151" t="s">
        <v>314</v>
      </c>
      <c r="C104" s="33" t="s">
        <v>627</v>
      </c>
      <c r="D104" s="49" t="s">
        <v>521</v>
      </c>
      <c r="E104" s="47" t="s">
        <v>43</v>
      </c>
      <c r="F104" s="24" t="s">
        <v>520</v>
      </c>
      <c r="G104" s="25" t="s">
        <v>520</v>
      </c>
      <c r="H104" s="26"/>
      <c r="I104" s="27"/>
      <c r="J104" s="28"/>
      <c r="K104" s="29" t="s">
        <v>520</v>
      </c>
      <c r="L104" s="30"/>
      <c r="M104" s="31"/>
      <c r="N104" s="32"/>
      <c r="O104" s="24"/>
      <c r="P104" s="33"/>
      <c r="Q104" s="34" t="s">
        <v>523</v>
      </c>
      <c r="R104" s="35" t="s">
        <v>522</v>
      </c>
      <c r="S104" s="52">
        <v>1.25</v>
      </c>
      <c r="T104" s="111"/>
      <c r="U104" s="38"/>
      <c r="V104" s="22"/>
      <c r="W104" s="1"/>
    </row>
    <row r="105" spans="1:23" s="141" customFormat="1" x14ac:dyDescent="0.25">
      <c r="A105" s="166"/>
      <c r="B105" s="151" t="s">
        <v>315</v>
      </c>
      <c r="C105" s="33" t="s">
        <v>627</v>
      </c>
      <c r="D105" s="49" t="s">
        <v>521</v>
      </c>
      <c r="E105" s="47" t="s">
        <v>43</v>
      </c>
      <c r="F105" s="24" t="s">
        <v>520</v>
      </c>
      <c r="G105" s="25" t="s">
        <v>520</v>
      </c>
      <c r="H105" s="26"/>
      <c r="I105" s="27"/>
      <c r="J105" s="28"/>
      <c r="K105" s="29" t="s">
        <v>520</v>
      </c>
      <c r="L105" s="30"/>
      <c r="M105" s="31"/>
      <c r="N105" s="32"/>
      <c r="O105" s="24"/>
      <c r="P105" s="33"/>
      <c r="Q105" s="34" t="s">
        <v>523</v>
      </c>
      <c r="R105" s="35" t="s">
        <v>522</v>
      </c>
      <c r="S105" s="52">
        <v>1.25</v>
      </c>
      <c r="T105" s="111"/>
      <c r="U105" s="38"/>
      <c r="V105" s="22"/>
    </row>
    <row r="106" spans="1:23" s="141" customFormat="1" ht="16.5" customHeight="1" x14ac:dyDescent="0.25">
      <c r="A106" s="166"/>
      <c r="B106" s="151" t="s">
        <v>316</v>
      </c>
      <c r="C106" s="33"/>
      <c r="D106" s="49" t="s">
        <v>524</v>
      </c>
      <c r="E106" s="47" t="s">
        <v>43</v>
      </c>
      <c r="F106" s="146" t="s">
        <v>525</v>
      </c>
      <c r="G106" s="25" t="s">
        <v>525</v>
      </c>
      <c r="H106" s="26"/>
      <c r="I106" s="27"/>
      <c r="J106" s="28"/>
      <c r="K106" s="145" t="s">
        <v>525</v>
      </c>
      <c r="L106" s="30"/>
      <c r="M106" s="40"/>
      <c r="N106" s="32"/>
      <c r="O106" s="24"/>
      <c r="P106" s="33"/>
      <c r="Q106" s="163" t="s">
        <v>526</v>
      </c>
      <c r="R106" s="164" t="s">
        <v>527</v>
      </c>
      <c r="S106" s="52">
        <v>2.17</v>
      </c>
      <c r="T106" s="111"/>
      <c r="U106" s="38"/>
      <c r="V106" s="22"/>
    </row>
    <row r="107" spans="1:23" s="141" customFormat="1" ht="16.5" customHeight="1" x14ac:dyDescent="0.25">
      <c r="A107" s="166"/>
      <c r="B107" s="151" t="s">
        <v>317</v>
      </c>
      <c r="C107" s="33"/>
      <c r="D107" s="49" t="s">
        <v>528</v>
      </c>
      <c r="E107" s="47" t="s">
        <v>43</v>
      </c>
      <c r="F107" s="146" t="s">
        <v>529</v>
      </c>
      <c r="G107" s="165" t="s">
        <v>529</v>
      </c>
      <c r="H107" s="26"/>
      <c r="I107" s="27"/>
      <c r="J107" s="28"/>
      <c r="K107" s="145" t="s">
        <v>529</v>
      </c>
      <c r="L107" s="30"/>
      <c r="M107" s="40"/>
      <c r="N107" s="32"/>
      <c r="O107" s="24"/>
      <c r="P107" s="33"/>
      <c r="Q107" s="163" t="s">
        <v>526</v>
      </c>
      <c r="R107" s="35"/>
      <c r="S107" s="52"/>
      <c r="T107" s="111"/>
      <c r="U107" s="38"/>
      <c r="V107" s="22"/>
    </row>
    <row r="108" spans="1:23" s="141" customFormat="1" ht="16.5" customHeight="1" x14ac:dyDescent="0.25">
      <c r="A108" s="166"/>
      <c r="B108" s="151" t="s">
        <v>318</v>
      </c>
      <c r="C108" s="33"/>
      <c r="D108" s="49"/>
      <c r="E108" s="47"/>
      <c r="F108" s="146"/>
      <c r="G108" s="25"/>
      <c r="H108" s="26"/>
      <c r="I108" s="27"/>
      <c r="J108" s="28"/>
      <c r="K108" s="145"/>
      <c r="L108" s="30"/>
      <c r="M108" s="40"/>
      <c r="N108" s="32"/>
      <c r="O108" s="24"/>
      <c r="P108" s="33"/>
      <c r="Q108" s="34"/>
      <c r="R108" s="35"/>
      <c r="S108" s="52"/>
      <c r="T108" s="111"/>
      <c r="U108" s="38"/>
      <c r="V108" s="22"/>
    </row>
    <row r="109" spans="1:23" s="141" customFormat="1" ht="16.5" customHeight="1" x14ac:dyDescent="0.2">
      <c r="A109" s="166"/>
      <c r="B109" s="151" t="s">
        <v>319</v>
      </c>
      <c r="C109" s="33"/>
      <c r="D109" s="49"/>
      <c r="E109" s="47"/>
      <c r="F109" s="156"/>
      <c r="G109" s="25"/>
      <c r="H109" s="26"/>
      <c r="I109" s="27"/>
      <c r="J109" s="28"/>
      <c r="K109" s="29"/>
      <c r="L109" s="30"/>
      <c r="M109" s="40"/>
      <c r="N109" s="32"/>
      <c r="O109" s="24"/>
      <c r="P109" s="33"/>
      <c r="Q109" s="34"/>
      <c r="R109" s="35"/>
      <c r="S109" s="52"/>
      <c r="T109" s="111"/>
      <c r="U109" s="38"/>
      <c r="V109" s="22"/>
    </row>
    <row r="110" spans="1:23" s="141" customFormat="1" ht="16.5" customHeight="1" x14ac:dyDescent="0.25">
      <c r="A110" s="166"/>
      <c r="B110" s="151" t="s">
        <v>320</v>
      </c>
      <c r="C110" s="33"/>
      <c r="D110" s="49" t="s">
        <v>524</v>
      </c>
      <c r="E110" s="47" t="s">
        <v>43</v>
      </c>
      <c r="F110" s="146" t="s">
        <v>525</v>
      </c>
      <c r="G110" s="25" t="s">
        <v>525</v>
      </c>
      <c r="H110" s="26"/>
      <c r="I110" s="27"/>
      <c r="J110" s="28"/>
      <c r="K110" s="145" t="s">
        <v>525</v>
      </c>
      <c r="L110" s="30"/>
      <c r="M110" s="40"/>
      <c r="N110" s="32"/>
      <c r="O110" s="24"/>
      <c r="P110" s="33"/>
      <c r="Q110" s="163" t="s">
        <v>526</v>
      </c>
      <c r="R110" s="164" t="s">
        <v>527</v>
      </c>
      <c r="S110" s="52">
        <v>2.17</v>
      </c>
      <c r="T110" s="111"/>
      <c r="U110" s="38"/>
      <c r="V110" s="22"/>
    </row>
    <row r="111" spans="1:23" s="141" customFormat="1" ht="16.5" customHeight="1" x14ac:dyDescent="0.25">
      <c r="A111" s="166"/>
      <c r="B111" s="151" t="s">
        <v>321</v>
      </c>
      <c r="C111" s="33"/>
      <c r="D111" s="49" t="s">
        <v>530</v>
      </c>
      <c r="E111" s="47" t="s">
        <v>43</v>
      </c>
      <c r="F111" s="146" t="s">
        <v>531</v>
      </c>
      <c r="G111" s="25" t="s">
        <v>531</v>
      </c>
      <c r="H111" s="26"/>
      <c r="I111" s="27"/>
      <c r="J111" s="28"/>
      <c r="K111" s="145" t="s">
        <v>531</v>
      </c>
      <c r="L111" s="30"/>
      <c r="M111" s="40"/>
      <c r="N111" s="32"/>
      <c r="O111" s="24"/>
      <c r="P111" s="33"/>
      <c r="Q111" s="34"/>
      <c r="R111" s="35"/>
      <c r="S111" s="52"/>
      <c r="T111" s="111"/>
      <c r="U111" s="38"/>
      <c r="V111" s="22"/>
    </row>
    <row r="112" spans="1:23" s="141" customFormat="1" ht="16.5" customHeight="1" x14ac:dyDescent="0.25">
      <c r="A112" s="166"/>
      <c r="B112" s="151" t="s">
        <v>322</v>
      </c>
      <c r="C112" s="33" t="s">
        <v>627</v>
      </c>
      <c r="D112" s="49" t="s">
        <v>521</v>
      </c>
      <c r="E112" s="47" t="s">
        <v>43</v>
      </c>
      <c r="F112" s="24" t="s">
        <v>533</v>
      </c>
      <c r="G112" s="25" t="s">
        <v>533</v>
      </c>
      <c r="H112" s="26"/>
      <c r="I112" s="27"/>
      <c r="J112" s="28"/>
      <c r="K112" s="29" t="s">
        <v>533</v>
      </c>
      <c r="L112" s="30"/>
      <c r="M112" s="40"/>
      <c r="N112" s="32"/>
      <c r="O112" s="24"/>
      <c r="P112" s="33"/>
      <c r="Q112" s="34" t="s">
        <v>523</v>
      </c>
      <c r="R112" s="35" t="s">
        <v>522</v>
      </c>
      <c r="S112" s="52"/>
      <c r="T112" s="111"/>
      <c r="U112" s="38"/>
      <c r="V112" s="22"/>
    </row>
    <row r="113" spans="1:22" s="141" customFormat="1" x14ac:dyDescent="0.25">
      <c r="A113" s="166"/>
      <c r="B113" s="151" t="s">
        <v>323</v>
      </c>
      <c r="C113" s="33"/>
      <c r="D113" s="49"/>
      <c r="E113" s="47" t="s">
        <v>193</v>
      </c>
      <c r="F113" s="146"/>
      <c r="G113" s="25"/>
      <c r="H113" s="26"/>
      <c r="I113" s="27"/>
      <c r="J113" s="28"/>
      <c r="K113" s="145"/>
      <c r="L113" s="30"/>
      <c r="M113" s="31"/>
      <c r="N113" s="32"/>
      <c r="O113" s="24"/>
      <c r="P113" s="33"/>
      <c r="Q113" s="34"/>
      <c r="R113" s="35"/>
      <c r="S113" s="52"/>
      <c r="T113" s="111"/>
      <c r="U113" s="38"/>
      <c r="V113" s="22"/>
    </row>
    <row r="114" spans="1:22" s="141" customFormat="1" x14ac:dyDescent="0.25">
      <c r="A114" s="166"/>
      <c r="B114" s="151" t="s">
        <v>313</v>
      </c>
      <c r="C114" s="33" t="s">
        <v>629</v>
      </c>
      <c r="D114" s="49" t="s">
        <v>530</v>
      </c>
      <c r="E114" s="47" t="s">
        <v>43</v>
      </c>
      <c r="F114" s="146" t="s">
        <v>534</v>
      </c>
      <c r="G114" s="25" t="s">
        <v>534</v>
      </c>
      <c r="H114" s="26"/>
      <c r="I114" s="27"/>
      <c r="J114" s="28"/>
      <c r="K114" s="29" t="s">
        <v>534</v>
      </c>
      <c r="L114" s="30"/>
      <c r="M114" s="40"/>
      <c r="N114" s="32"/>
      <c r="O114" s="24"/>
      <c r="P114" s="33"/>
      <c r="Q114" s="34"/>
      <c r="R114" s="35"/>
      <c r="S114" s="52"/>
      <c r="T114" s="111"/>
      <c r="U114" s="38"/>
      <c r="V114" s="22"/>
    </row>
    <row r="115" spans="1:22" s="141" customFormat="1" ht="15.75" customHeight="1" x14ac:dyDescent="0.25">
      <c r="A115" s="166"/>
      <c r="B115" s="151" t="s">
        <v>324</v>
      </c>
      <c r="C115" s="33" t="s">
        <v>629</v>
      </c>
      <c r="D115" s="49" t="s">
        <v>530</v>
      </c>
      <c r="E115" s="47" t="s">
        <v>43</v>
      </c>
      <c r="F115" s="146" t="s">
        <v>534</v>
      </c>
      <c r="G115" s="25" t="s">
        <v>534</v>
      </c>
      <c r="H115" s="26"/>
      <c r="I115" s="27"/>
      <c r="J115" s="28"/>
      <c r="K115" s="145" t="s">
        <v>534</v>
      </c>
      <c r="L115" s="30"/>
      <c r="M115" s="40"/>
      <c r="N115" s="32"/>
      <c r="O115" s="24"/>
      <c r="P115" s="33"/>
      <c r="Q115" s="34"/>
      <c r="R115" s="35"/>
      <c r="S115" s="52"/>
      <c r="T115" s="111"/>
      <c r="U115" s="38"/>
      <c r="V115" s="22"/>
    </row>
    <row r="116" spans="1:22" s="141" customFormat="1" ht="15.75" customHeight="1" x14ac:dyDescent="0.25">
      <c r="A116" s="166"/>
      <c r="B116" s="151" t="s">
        <v>325</v>
      </c>
      <c r="C116" s="33" t="s">
        <v>627</v>
      </c>
      <c r="D116" s="49" t="s">
        <v>521</v>
      </c>
      <c r="E116" s="47" t="s">
        <v>43</v>
      </c>
      <c r="F116" s="24" t="s">
        <v>520</v>
      </c>
      <c r="G116" s="25" t="s">
        <v>520</v>
      </c>
      <c r="H116" s="26"/>
      <c r="I116" s="27"/>
      <c r="J116" s="28"/>
      <c r="K116" s="29" t="s">
        <v>520</v>
      </c>
      <c r="L116" s="30"/>
      <c r="M116" s="31"/>
      <c r="N116" s="32"/>
      <c r="O116" s="24"/>
      <c r="P116" s="33"/>
      <c r="Q116" s="34" t="s">
        <v>523</v>
      </c>
      <c r="R116" s="35" t="s">
        <v>522</v>
      </c>
      <c r="S116" s="52">
        <v>1.25</v>
      </c>
      <c r="T116" s="111"/>
      <c r="U116" s="38"/>
      <c r="V116" s="22"/>
    </row>
    <row r="117" spans="1:22" s="141" customFormat="1" ht="15.75" customHeight="1" x14ac:dyDescent="0.25">
      <c r="A117" s="166"/>
      <c r="B117" s="151" t="s">
        <v>326</v>
      </c>
      <c r="C117" s="33" t="s">
        <v>627</v>
      </c>
      <c r="D117" s="49" t="s">
        <v>521</v>
      </c>
      <c r="E117" s="47" t="s">
        <v>43</v>
      </c>
      <c r="F117" s="24" t="s">
        <v>520</v>
      </c>
      <c r="G117" s="25" t="s">
        <v>520</v>
      </c>
      <c r="H117" s="26"/>
      <c r="I117" s="27"/>
      <c r="J117" s="28"/>
      <c r="K117" s="29" t="s">
        <v>520</v>
      </c>
      <c r="L117" s="30"/>
      <c r="M117" s="31"/>
      <c r="N117" s="32"/>
      <c r="O117" s="24"/>
      <c r="P117" s="33"/>
      <c r="Q117" s="34" t="s">
        <v>523</v>
      </c>
      <c r="R117" s="35" t="s">
        <v>522</v>
      </c>
      <c r="S117" s="52">
        <v>1.25</v>
      </c>
      <c r="T117" s="111"/>
      <c r="U117" s="38"/>
      <c r="V117" s="22"/>
    </row>
    <row r="118" spans="1:22" s="141" customFormat="1" ht="14.25" customHeight="1" x14ac:dyDescent="0.25">
      <c r="A118" s="166"/>
      <c r="B118" s="151" t="s">
        <v>327</v>
      </c>
      <c r="C118" s="33" t="s">
        <v>627</v>
      </c>
      <c r="D118" s="49" t="s">
        <v>521</v>
      </c>
      <c r="E118" s="47" t="s">
        <v>43</v>
      </c>
      <c r="F118" s="24" t="s">
        <v>533</v>
      </c>
      <c r="G118" s="25" t="s">
        <v>533</v>
      </c>
      <c r="H118" s="26"/>
      <c r="I118" s="27"/>
      <c r="J118" s="28"/>
      <c r="K118" s="29" t="s">
        <v>533</v>
      </c>
      <c r="L118" s="30"/>
      <c r="M118" s="40"/>
      <c r="N118" s="32"/>
      <c r="O118" s="24"/>
      <c r="P118" s="33"/>
      <c r="Q118" s="34" t="s">
        <v>523</v>
      </c>
      <c r="R118" s="35" t="s">
        <v>522</v>
      </c>
      <c r="S118" s="52"/>
      <c r="T118" s="111"/>
      <c r="U118" s="38"/>
      <c r="V118" s="22"/>
    </row>
    <row r="119" spans="1:22" s="141" customFormat="1" x14ac:dyDescent="0.25">
      <c r="A119" s="166"/>
      <c r="B119" s="151" t="s">
        <v>328</v>
      </c>
      <c r="C119" s="33"/>
      <c r="D119" s="49"/>
      <c r="E119" s="47" t="s">
        <v>193</v>
      </c>
      <c r="F119" s="24"/>
      <c r="G119" s="25"/>
      <c r="H119" s="26"/>
      <c r="I119" s="27"/>
      <c r="J119" s="28"/>
      <c r="K119" s="29"/>
      <c r="L119" s="30"/>
      <c r="M119" s="40"/>
      <c r="N119" s="32"/>
      <c r="O119" s="24"/>
      <c r="P119" s="33"/>
      <c r="Q119" s="34"/>
      <c r="R119" s="35"/>
      <c r="S119" s="52"/>
      <c r="T119" s="111"/>
      <c r="U119" s="38"/>
      <c r="V119" s="22"/>
    </row>
    <row r="120" spans="1:22" s="141" customFormat="1" ht="19.5" customHeight="1" x14ac:dyDescent="0.25">
      <c r="A120" s="166"/>
      <c r="B120" s="151" t="s">
        <v>329</v>
      </c>
      <c r="C120" s="33" t="s">
        <v>628</v>
      </c>
      <c r="D120" s="49" t="s">
        <v>530</v>
      </c>
      <c r="E120" s="47" t="s">
        <v>43</v>
      </c>
      <c r="F120" s="146" t="s">
        <v>532</v>
      </c>
      <c r="G120" s="25" t="s">
        <v>532</v>
      </c>
      <c r="H120" s="26"/>
      <c r="I120" s="27"/>
      <c r="J120" s="28"/>
      <c r="K120" s="29" t="s">
        <v>532</v>
      </c>
      <c r="L120" s="30"/>
      <c r="M120" s="31"/>
      <c r="N120" s="32"/>
      <c r="O120" s="24"/>
      <c r="P120" s="33"/>
      <c r="Q120" s="163" t="s">
        <v>526</v>
      </c>
      <c r="R120" s="35"/>
      <c r="S120" s="52"/>
      <c r="T120" s="111"/>
      <c r="U120" s="38"/>
      <c r="V120" s="22"/>
    </row>
    <row r="121" spans="1:22" s="141" customFormat="1" x14ac:dyDescent="0.25">
      <c r="A121" s="166"/>
      <c r="B121" s="151" t="s">
        <v>330</v>
      </c>
      <c r="C121" s="33"/>
      <c r="D121" s="49"/>
      <c r="E121" s="47" t="s">
        <v>193</v>
      </c>
      <c r="F121" s="24"/>
      <c r="G121" s="25"/>
      <c r="H121" s="26"/>
      <c r="I121" s="27"/>
      <c r="J121" s="28"/>
      <c r="K121" s="29"/>
      <c r="L121" s="30"/>
      <c r="M121" s="31"/>
      <c r="N121" s="32"/>
      <c r="O121" s="24"/>
      <c r="P121" s="33"/>
      <c r="Q121" s="34"/>
      <c r="R121" s="35"/>
      <c r="S121" s="52"/>
      <c r="T121" s="111"/>
      <c r="U121" s="38"/>
      <c r="V121" s="22"/>
    </row>
    <row r="122" spans="1:22" s="141" customFormat="1" x14ac:dyDescent="0.2">
      <c r="A122" s="166"/>
      <c r="B122" s="151" t="s">
        <v>331</v>
      </c>
      <c r="C122" s="33"/>
      <c r="D122" s="49"/>
      <c r="E122" s="47" t="s">
        <v>193</v>
      </c>
      <c r="F122" s="156"/>
      <c r="G122" s="25"/>
      <c r="H122" s="26"/>
      <c r="I122" s="27"/>
      <c r="J122" s="28"/>
      <c r="K122" s="29"/>
      <c r="L122" s="30"/>
      <c r="M122" s="31"/>
      <c r="N122" s="32"/>
      <c r="O122" s="24"/>
      <c r="P122" s="33"/>
      <c r="Q122" s="34"/>
      <c r="R122" s="35"/>
      <c r="S122" s="52"/>
      <c r="T122" s="111"/>
      <c r="U122" s="38"/>
      <c r="V122" s="22"/>
    </row>
    <row r="123" spans="1:22" s="141" customFormat="1" ht="15" customHeight="1" x14ac:dyDescent="0.25">
      <c r="A123" s="166"/>
      <c r="B123" s="151" t="s">
        <v>332</v>
      </c>
      <c r="C123" s="33"/>
      <c r="D123" s="49"/>
      <c r="E123" s="47" t="s">
        <v>193</v>
      </c>
      <c r="F123" s="24"/>
      <c r="G123" s="25"/>
      <c r="H123" s="26"/>
      <c r="I123" s="27"/>
      <c r="J123" s="28"/>
      <c r="K123" s="29"/>
      <c r="L123" s="30"/>
      <c r="M123" s="31"/>
      <c r="N123" s="32"/>
      <c r="O123" s="24"/>
      <c r="P123" s="33"/>
      <c r="Q123" s="34"/>
      <c r="R123" s="35"/>
      <c r="S123" s="52"/>
      <c r="T123" s="111"/>
      <c r="U123" s="38"/>
      <c r="V123" s="22"/>
    </row>
    <row r="124" spans="1:22" s="141" customFormat="1" ht="15" customHeight="1" x14ac:dyDescent="0.2">
      <c r="A124" s="166"/>
      <c r="B124" s="151" t="s">
        <v>333</v>
      </c>
      <c r="C124" s="184"/>
      <c r="D124" s="49"/>
      <c r="E124" s="47" t="s">
        <v>193</v>
      </c>
      <c r="F124" s="155"/>
      <c r="G124" s="25"/>
      <c r="H124" s="26"/>
      <c r="I124" s="27"/>
      <c r="J124" s="28"/>
      <c r="K124" s="79"/>
      <c r="L124" s="30"/>
      <c r="M124" s="40"/>
      <c r="N124" s="32"/>
      <c r="O124" s="24"/>
      <c r="P124" s="33"/>
      <c r="Q124" s="34"/>
      <c r="R124" s="35"/>
      <c r="S124" s="52"/>
      <c r="T124" s="111"/>
      <c r="U124" s="38"/>
      <c r="V124" s="22"/>
    </row>
    <row r="125" spans="1:22" s="141" customFormat="1" ht="15" customHeight="1" x14ac:dyDescent="0.25">
      <c r="A125" s="166"/>
      <c r="B125" s="151" t="s">
        <v>334</v>
      </c>
      <c r="C125" s="33"/>
      <c r="D125" s="49"/>
      <c r="E125" s="47" t="s">
        <v>193</v>
      </c>
      <c r="F125" s="24"/>
      <c r="G125" s="41"/>
      <c r="H125" s="26"/>
      <c r="I125" s="27"/>
      <c r="J125" s="28"/>
      <c r="K125" s="29"/>
      <c r="L125" s="30"/>
      <c r="M125" s="40"/>
      <c r="N125" s="32"/>
      <c r="O125" s="24"/>
      <c r="P125" s="33"/>
      <c r="Q125" s="34"/>
      <c r="R125" s="35"/>
      <c r="S125" s="52"/>
      <c r="T125" s="111"/>
      <c r="U125" s="38"/>
      <c r="V125" s="22"/>
    </row>
    <row r="126" spans="1:22" s="141" customFormat="1" x14ac:dyDescent="0.25">
      <c r="A126" s="166"/>
      <c r="B126" s="151" t="s">
        <v>335</v>
      </c>
      <c r="C126" s="33"/>
      <c r="D126" s="49"/>
      <c r="E126" s="47" t="s">
        <v>193</v>
      </c>
      <c r="F126" s="24"/>
      <c r="G126" s="25"/>
      <c r="H126" s="26"/>
      <c r="I126" s="27"/>
      <c r="J126" s="28"/>
      <c r="K126" s="29"/>
      <c r="L126" s="30"/>
      <c r="M126" s="31"/>
      <c r="N126" s="32"/>
      <c r="O126" s="24"/>
      <c r="P126" s="33"/>
      <c r="Q126" s="34"/>
      <c r="R126" s="35"/>
      <c r="S126" s="52"/>
      <c r="T126" s="111"/>
      <c r="U126" s="38"/>
      <c r="V126" s="22"/>
    </row>
    <row r="127" spans="1:22" s="141" customFormat="1" x14ac:dyDescent="0.25">
      <c r="A127" s="166"/>
      <c r="B127" s="151" t="s">
        <v>336</v>
      </c>
      <c r="C127" s="33"/>
      <c r="D127" s="49"/>
      <c r="E127" s="47" t="s">
        <v>193</v>
      </c>
      <c r="F127" s="24"/>
      <c r="G127" s="25"/>
      <c r="H127" s="26"/>
      <c r="I127" s="27"/>
      <c r="J127" s="28"/>
      <c r="K127" s="29"/>
      <c r="L127" s="30"/>
      <c r="M127" s="31"/>
      <c r="N127" s="32"/>
      <c r="O127" s="24"/>
      <c r="P127" s="33"/>
      <c r="Q127" s="34"/>
      <c r="R127" s="35"/>
      <c r="S127" s="52"/>
      <c r="T127" s="111"/>
      <c r="U127" s="38"/>
      <c r="V127" s="22"/>
    </row>
    <row r="128" spans="1:22" s="141" customFormat="1" ht="15" customHeight="1" x14ac:dyDescent="0.25">
      <c r="A128" s="166"/>
      <c r="B128" s="151" t="s">
        <v>337</v>
      </c>
      <c r="C128" s="33"/>
      <c r="D128" s="142"/>
      <c r="E128" s="47" t="s">
        <v>193</v>
      </c>
      <c r="F128" s="24"/>
      <c r="G128" s="25"/>
      <c r="H128" s="26"/>
      <c r="I128" s="27"/>
      <c r="J128" s="28"/>
      <c r="K128" s="29"/>
      <c r="L128" s="30"/>
      <c r="M128" s="31"/>
      <c r="N128" s="32"/>
      <c r="O128" s="24"/>
      <c r="P128" s="33"/>
      <c r="Q128" s="34"/>
      <c r="R128" s="35"/>
      <c r="S128" s="36"/>
      <c r="T128" s="111"/>
      <c r="U128" s="38"/>
      <c r="V128" s="22"/>
    </row>
    <row r="129" spans="1:22" s="141" customFormat="1" ht="15" customHeight="1" x14ac:dyDescent="0.25">
      <c r="A129" s="166"/>
      <c r="B129" s="151" t="s">
        <v>338</v>
      </c>
      <c r="C129" s="33"/>
      <c r="D129" s="142"/>
      <c r="E129" s="47" t="s">
        <v>193</v>
      </c>
      <c r="F129" s="24"/>
      <c r="G129" s="25"/>
      <c r="H129" s="26"/>
      <c r="I129" s="27"/>
      <c r="J129" s="28"/>
      <c r="K129" s="29"/>
      <c r="L129" s="30"/>
      <c r="M129" s="31"/>
      <c r="N129" s="32"/>
      <c r="O129" s="24"/>
      <c r="P129" s="33"/>
      <c r="Q129" s="34"/>
      <c r="R129" s="35"/>
      <c r="S129" s="36"/>
      <c r="T129" s="111"/>
      <c r="U129" s="38"/>
      <c r="V129" s="22"/>
    </row>
    <row r="130" spans="1:22" s="141" customFormat="1" x14ac:dyDescent="0.25">
      <c r="A130" s="166"/>
      <c r="B130" s="148" t="s">
        <v>339</v>
      </c>
      <c r="C130" s="33"/>
      <c r="D130" s="49"/>
      <c r="E130" s="47"/>
      <c r="F130" s="24" t="s">
        <v>535</v>
      </c>
      <c r="G130" s="25" t="s">
        <v>535</v>
      </c>
      <c r="H130" s="26"/>
      <c r="I130" s="27"/>
      <c r="J130" s="28"/>
      <c r="K130" s="29" t="s">
        <v>536</v>
      </c>
      <c r="L130" s="30" t="s">
        <v>539</v>
      </c>
      <c r="M130" s="31"/>
      <c r="N130" s="32" t="s">
        <v>538</v>
      </c>
      <c r="O130" s="24"/>
      <c r="P130" s="33"/>
      <c r="Q130" s="34" t="s">
        <v>178</v>
      </c>
      <c r="R130" s="35" t="s">
        <v>537</v>
      </c>
      <c r="S130" s="52">
        <v>0.75900000000000001</v>
      </c>
      <c r="T130" s="111"/>
      <c r="U130" s="38"/>
      <c r="V130" s="22"/>
    </row>
    <row r="131" spans="1:22" s="141" customFormat="1" x14ac:dyDescent="0.25">
      <c r="A131" s="166"/>
      <c r="B131" s="148" t="s">
        <v>340</v>
      </c>
      <c r="C131" s="33"/>
      <c r="D131" s="142"/>
      <c r="E131" s="153"/>
      <c r="F131" s="24" t="s">
        <v>535</v>
      </c>
      <c r="G131" s="25" t="s">
        <v>535</v>
      </c>
      <c r="H131" s="26"/>
      <c r="I131" s="27"/>
      <c r="J131" s="28"/>
      <c r="K131" s="29" t="s">
        <v>536</v>
      </c>
      <c r="L131" s="30" t="s">
        <v>542</v>
      </c>
      <c r="M131" s="31"/>
      <c r="N131" s="32" t="s">
        <v>538</v>
      </c>
      <c r="O131" s="24"/>
      <c r="P131" s="33"/>
      <c r="Q131" s="34" t="s">
        <v>178</v>
      </c>
      <c r="R131" s="35" t="s">
        <v>537</v>
      </c>
      <c r="S131" s="52">
        <v>0.75900000000000001</v>
      </c>
      <c r="T131" s="111"/>
      <c r="U131" s="38"/>
      <c r="V131" s="22"/>
    </row>
    <row r="132" spans="1:22" s="141" customFormat="1" x14ac:dyDescent="0.25">
      <c r="A132" s="166"/>
      <c r="B132" s="148" t="s">
        <v>341</v>
      </c>
      <c r="C132" s="33" t="s">
        <v>628</v>
      </c>
      <c r="D132" s="142"/>
      <c r="E132" s="47"/>
      <c r="F132" s="24" t="s">
        <v>540</v>
      </c>
      <c r="G132" s="25" t="s">
        <v>540</v>
      </c>
      <c r="H132" s="26"/>
      <c r="I132" s="27"/>
      <c r="J132" s="28"/>
      <c r="K132" s="29" t="s">
        <v>541</v>
      </c>
      <c r="L132" s="30"/>
      <c r="M132" s="31"/>
      <c r="N132" s="32"/>
      <c r="O132" s="24"/>
      <c r="P132" s="33"/>
      <c r="Q132" s="34"/>
      <c r="R132" s="35"/>
      <c r="S132" s="36"/>
      <c r="T132" s="111"/>
      <c r="U132" s="38"/>
      <c r="V132" s="22"/>
    </row>
    <row r="133" spans="1:22" s="141" customFormat="1" x14ac:dyDescent="0.25">
      <c r="A133" s="166"/>
      <c r="B133" s="148" t="s">
        <v>342</v>
      </c>
      <c r="C133" s="33"/>
      <c r="D133" s="49" t="s">
        <v>478</v>
      </c>
      <c r="E133" s="47" t="s">
        <v>43</v>
      </c>
      <c r="F133" s="24" t="s">
        <v>180</v>
      </c>
      <c r="G133" s="25" t="s">
        <v>180</v>
      </c>
      <c r="H133" s="26"/>
      <c r="I133" s="27"/>
      <c r="J133" s="28"/>
      <c r="K133" s="29" t="s">
        <v>179</v>
      </c>
      <c r="L133" s="30"/>
      <c r="M133" s="31"/>
      <c r="N133" s="32" t="s">
        <v>479</v>
      </c>
      <c r="O133" s="24"/>
      <c r="P133" s="33"/>
      <c r="Q133" s="34" t="s">
        <v>178</v>
      </c>
      <c r="R133" s="35" t="s">
        <v>181</v>
      </c>
      <c r="S133" s="36"/>
      <c r="T133" s="111"/>
      <c r="U133" s="38"/>
      <c r="V133" s="22"/>
    </row>
    <row r="134" spans="1:22" s="141" customFormat="1" x14ac:dyDescent="0.25">
      <c r="A134" s="166"/>
      <c r="B134" s="148" t="s">
        <v>343</v>
      </c>
      <c r="C134" s="33" t="s">
        <v>627</v>
      </c>
      <c r="D134" s="142" t="s">
        <v>473</v>
      </c>
      <c r="E134" s="47" t="s">
        <v>43</v>
      </c>
      <c r="F134" s="24" t="s">
        <v>475</v>
      </c>
      <c r="G134" s="25"/>
      <c r="H134" s="26"/>
      <c r="I134" s="27"/>
      <c r="J134" s="28"/>
      <c r="K134" s="29" t="s">
        <v>475</v>
      </c>
      <c r="L134" s="30" t="s">
        <v>474</v>
      </c>
      <c r="M134" s="31"/>
      <c r="N134" s="32" t="s">
        <v>476</v>
      </c>
      <c r="O134" s="24"/>
      <c r="P134" s="33"/>
      <c r="Q134" s="34" t="s">
        <v>477</v>
      </c>
      <c r="R134" s="35"/>
      <c r="S134" s="36"/>
      <c r="T134" s="111"/>
      <c r="U134" s="38"/>
      <c r="V134" s="22"/>
    </row>
    <row r="135" spans="1:22" s="141" customFormat="1" x14ac:dyDescent="0.25">
      <c r="A135" s="166"/>
      <c r="B135" s="148" t="s">
        <v>344</v>
      </c>
      <c r="C135" s="33" t="s">
        <v>627</v>
      </c>
      <c r="D135" s="142" t="s">
        <v>473</v>
      </c>
      <c r="E135" s="47" t="s">
        <v>43</v>
      </c>
      <c r="F135" s="24" t="s">
        <v>475</v>
      </c>
      <c r="G135" s="25"/>
      <c r="H135" s="26"/>
      <c r="I135" s="27"/>
      <c r="J135" s="28"/>
      <c r="K135" s="29" t="s">
        <v>475</v>
      </c>
      <c r="L135" s="30" t="s">
        <v>474</v>
      </c>
      <c r="M135" s="31"/>
      <c r="N135" s="32" t="s">
        <v>476</v>
      </c>
      <c r="O135" s="24"/>
      <c r="P135" s="33"/>
      <c r="Q135" s="34" t="s">
        <v>477</v>
      </c>
      <c r="R135" s="35"/>
      <c r="S135" s="36"/>
      <c r="T135" s="111"/>
      <c r="U135" s="38"/>
      <c r="V135" s="22"/>
    </row>
    <row r="136" spans="1:22" s="141" customFormat="1" x14ac:dyDescent="0.25">
      <c r="A136" s="166"/>
      <c r="B136" s="148" t="s">
        <v>345</v>
      </c>
      <c r="C136" s="33" t="s">
        <v>627</v>
      </c>
      <c r="D136" s="142" t="s">
        <v>473</v>
      </c>
      <c r="E136" s="47" t="s">
        <v>43</v>
      </c>
      <c r="F136" s="24" t="s">
        <v>475</v>
      </c>
      <c r="G136" s="25"/>
      <c r="H136" s="26"/>
      <c r="I136" s="27"/>
      <c r="J136" s="28"/>
      <c r="K136" s="29" t="s">
        <v>475</v>
      </c>
      <c r="L136" s="30" t="s">
        <v>474</v>
      </c>
      <c r="M136" s="31"/>
      <c r="N136" s="32" t="s">
        <v>476</v>
      </c>
      <c r="O136" s="24"/>
      <c r="P136" s="33"/>
      <c r="Q136" s="34" t="s">
        <v>477</v>
      </c>
      <c r="R136" s="35"/>
      <c r="S136" s="36"/>
      <c r="T136" s="111"/>
      <c r="U136" s="38"/>
      <c r="V136" s="22"/>
    </row>
    <row r="137" spans="1:22" s="141" customFormat="1" x14ac:dyDescent="0.25">
      <c r="A137" s="166"/>
      <c r="B137" s="148" t="s">
        <v>346</v>
      </c>
      <c r="C137" s="33" t="s">
        <v>628</v>
      </c>
      <c r="D137" s="142"/>
      <c r="E137" s="47"/>
      <c r="F137" s="24" t="s">
        <v>543</v>
      </c>
      <c r="G137" s="25" t="s">
        <v>543</v>
      </c>
      <c r="H137" s="26"/>
      <c r="I137" s="27"/>
      <c r="J137" s="28"/>
      <c r="K137" s="29" t="s">
        <v>543</v>
      </c>
      <c r="L137" s="30"/>
      <c r="M137" s="31"/>
      <c r="N137" s="32"/>
      <c r="O137" s="24"/>
      <c r="P137" s="33"/>
      <c r="Q137" s="34"/>
      <c r="R137" s="35"/>
      <c r="S137" s="36"/>
      <c r="T137" s="111"/>
      <c r="U137" s="38"/>
      <c r="V137" s="22"/>
    </row>
    <row r="138" spans="1:22" s="141" customFormat="1" x14ac:dyDescent="0.25">
      <c r="A138" s="166"/>
      <c r="B138" s="148" t="s">
        <v>347</v>
      </c>
      <c r="C138" s="33" t="s">
        <v>628</v>
      </c>
      <c r="D138" s="142"/>
      <c r="E138" s="47"/>
      <c r="F138" s="24" t="s">
        <v>543</v>
      </c>
      <c r="G138" s="25" t="s">
        <v>543</v>
      </c>
      <c r="H138" s="26"/>
      <c r="I138" s="27"/>
      <c r="J138" s="28"/>
      <c r="K138" s="29" t="s">
        <v>543</v>
      </c>
      <c r="L138" s="30"/>
      <c r="M138" s="31"/>
      <c r="N138" s="32"/>
      <c r="O138" s="24"/>
      <c r="P138" s="33"/>
      <c r="Q138" s="34"/>
      <c r="R138" s="35"/>
      <c r="S138" s="36"/>
      <c r="T138" s="111"/>
      <c r="U138" s="38"/>
      <c r="V138" s="22"/>
    </row>
    <row r="139" spans="1:22" s="141" customFormat="1" x14ac:dyDescent="0.25">
      <c r="A139" s="166"/>
      <c r="B139" s="148" t="s">
        <v>348</v>
      </c>
      <c r="C139" s="33" t="s">
        <v>628</v>
      </c>
      <c r="D139" s="142"/>
      <c r="E139" s="47"/>
      <c r="F139" s="24" t="s">
        <v>543</v>
      </c>
      <c r="G139" s="25" t="s">
        <v>543</v>
      </c>
      <c r="H139" s="26"/>
      <c r="I139" s="27"/>
      <c r="J139" s="28"/>
      <c r="K139" s="29" t="s">
        <v>543</v>
      </c>
      <c r="L139" s="30"/>
      <c r="M139" s="31"/>
      <c r="N139" s="32"/>
      <c r="O139" s="24"/>
      <c r="P139" s="33"/>
      <c r="Q139" s="34"/>
      <c r="R139" s="35"/>
      <c r="S139" s="36"/>
      <c r="T139" s="111"/>
      <c r="U139" s="38"/>
      <c r="V139" s="22"/>
    </row>
    <row r="140" spans="1:22" s="141" customFormat="1" x14ac:dyDescent="0.25">
      <c r="A140" s="166"/>
      <c r="B140" s="148" t="s">
        <v>349</v>
      </c>
      <c r="C140" s="33" t="s">
        <v>628</v>
      </c>
      <c r="D140" s="142"/>
      <c r="E140" s="47"/>
      <c r="F140" s="24" t="s">
        <v>543</v>
      </c>
      <c r="G140" s="25" t="s">
        <v>543</v>
      </c>
      <c r="H140" s="26"/>
      <c r="I140" s="27"/>
      <c r="J140" s="28"/>
      <c r="K140" s="29" t="s">
        <v>543</v>
      </c>
      <c r="L140" s="30"/>
      <c r="M140" s="31"/>
      <c r="N140" s="32"/>
      <c r="O140" s="24"/>
      <c r="P140" s="33"/>
      <c r="Q140" s="34"/>
      <c r="R140" s="35"/>
      <c r="S140" s="36"/>
      <c r="T140" s="111"/>
      <c r="U140" s="38"/>
      <c r="V140" s="22"/>
    </row>
    <row r="141" spans="1:22" s="141" customFormat="1" x14ac:dyDescent="0.25">
      <c r="A141" s="166"/>
      <c r="B141" s="148" t="s">
        <v>350</v>
      </c>
      <c r="C141" s="33" t="s">
        <v>628</v>
      </c>
      <c r="D141" s="142"/>
      <c r="E141" s="47"/>
      <c r="F141" s="24" t="s">
        <v>543</v>
      </c>
      <c r="G141" s="25" t="s">
        <v>543</v>
      </c>
      <c r="H141" s="26"/>
      <c r="I141" s="27"/>
      <c r="J141" s="28"/>
      <c r="K141" s="29" t="s">
        <v>543</v>
      </c>
      <c r="L141" s="30"/>
      <c r="M141" s="31"/>
      <c r="N141" s="32"/>
      <c r="O141" s="24"/>
      <c r="P141" s="33"/>
      <c r="Q141" s="34"/>
      <c r="R141" s="35"/>
      <c r="S141" s="36"/>
      <c r="T141" s="111"/>
      <c r="U141" s="38"/>
      <c r="V141" s="22"/>
    </row>
    <row r="142" spans="1:22" s="141" customFormat="1" x14ac:dyDescent="0.25">
      <c r="A142" s="166"/>
      <c r="B142" s="148" t="s">
        <v>351</v>
      </c>
      <c r="C142" s="33" t="s">
        <v>628</v>
      </c>
      <c r="D142" s="142"/>
      <c r="E142" s="47"/>
      <c r="F142" s="24" t="s">
        <v>544</v>
      </c>
      <c r="G142" s="25" t="s">
        <v>544</v>
      </c>
      <c r="H142" s="26"/>
      <c r="I142" s="27"/>
      <c r="J142" s="28"/>
      <c r="K142" s="29" t="s">
        <v>544</v>
      </c>
      <c r="L142" s="30"/>
      <c r="M142" s="31"/>
      <c r="N142" s="32"/>
      <c r="O142" s="24"/>
      <c r="P142" s="33"/>
      <c r="Q142" s="34"/>
      <c r="R142" s="35"/>
      <c r="S142" s="36"/>
      <c r="T142" s="111"/>
      <c r="U142" s="38"/>
      <c r="V142" s="22"/>
    </row>
    <row r="143" spans="1:22" s="141" customFormat="1" x14ac:dyDescent="0.25">
      <c r="A143" s="166"/>
      <c r="B143" s="148" t="s">
        <v>352</v>
      </c>
      <c r="C143" s="33" t="s">
        <v>628</v>
      </c>
      <c r="D143" s="142"/>
      <c r="E143" s="47"/>
      <c r="F143" s="24" t="s">
        <v>544</v>
      </c>
      <c r="G143" s="25" t="s">
        <v>544</v>
      </c>
      <c r="H143" s="26"/>
      <c r="I143" s="27"/>
      <c r="J143" s="28"/>
      <c r="K143" s="29" t="s">
        <v>544</v>
      </c>
      <c r="L143" s="30"/>
      <c r="M143" s="31"/>
      <c r="N143" s="32"/>
      <c r="O143" s="24"/>
      <c r="P143" s="33"/>
      <c r="Q143" s="34"/>
      <c r="R143" s="35"/>
      <c r="S143" s="36"/>
      <c r="T143" s="111"/>
      <c r="U143" s="38"/>
      <c r="V143" s="22"/>
    </row>
    <row r="144" spans="1:22" s="141" customFormat="1" x14ac:dyDescent="0.25">
      <c r="A144" s="166"/>
      <c r="B144" s="148" t="s">
        <v>353</v>
      </c>
      <c r="C144" s="33" t="s">
        <v>628</v>
      </c>
      <c r="D144" s="142"/>
      <c r="E144" s="47"/>
      <c r="F144" s="24" t="s">
        <v>544</v>
      </c>
      <c r="G144" s="25" t="s">
        <v>544</v>
      </c>
      <c r="H144" s="26"/>
      <c r="I144" s="27"/>
      <c r="J144" s="28"/>
      <c r="K144" s="29" t="s">
        <v>544</v>
      </c>
      <c r="L144" s="30"/>
      <c r="M144" s="31"/>
      <c r="N144" s="32"/>
      <c r="O144" s="24"/>
      <c r="P144" s="33"/>
      <c r="Q144" s="34"/>
      <c r="R144" s="35"/>
      <c r="S144" s="36"/>
      <c r="T144" s="111"/>
      <c r="U144" s="38"/>
      <c r="V144" s="22"/>
    </row>
    <row r="145" spans="1:22" s="141" customFormat="1" x14ac:dyDescent="0.25">
      <c r="A145" s="166"/>
      <c r="B145" s="148" t="s">
        <v>354</v>
      </c>
      <c r="C145" s="33" t="s">
        <v>628</v>
      </c>
      <c r="D145" s="142"/>
      <c r="E145" s="47"/>
      <c r="F145" s="24" t="s">
        <v>544</v>
      </c>
      <c r="G145" s="25" t="s">
        <v>544</v>
      </c>
      <c r="H145" s="26"/>
      <c r="I145" s="27"/>
      <c r="J145" s="28"/>
      <c r="K145" s="29" t="s">
        <v>544</v>
      </c>
      <c r="L145" s="30"/>
      <c r="M145" s="31"/>
      <c r="N145" s="32"/>
      <c r="O145" s="24"/>
      <c r="P145" s="33"/>
      <c r="Q145" s="34"/>
      <c r="R145" s="35"/>
      <c r="S145" s="36"/>
      <c r="T145" s="111"/>
      <c r="U145" s="38"/>
      <c r="V145" s="22"/>
    </row>
    <row r="146" spans="1:22" s="141" customFormat="1" x14ac:dyDescent="0.25">
      <c r="A146" s="166"/>
      <c r="B146" s="148" t="s">
        <v>355</v>
      </c>
      <c r="C146" s="33" t="s">
        <v>628</v>
      </c>
      <c r="D146" s="142"/>
      <c r="E146" s="47"/>
      <c r="F146" s="24" t="s">
        <v>544</v>
      </c>
      <c r="G146" s="25" t="s">
        <v>544</v>
      </c>
      <c r="H146" s="26"/>
      <c r="I146" s="27"/>
      <c r="J146" s="28"/>
      <c r="K146" s="29" t="s">
        <v>544</v>
      </c>
      <c r="L146" s="30"/>
      <c r="M146" s="31"/>
      <c r="N146" s="32"/>
      <c r="O146" s="24"/>
      <c r="P146" s="33"/>
      <c r="Q146" s="34"/>
      <c r="R146" s="35"/>
      <c r="S146" s="36"/>
      <c r="T146" s="111"/>
      <c r="U146" s="38"/>
      <c r="V146" s="22"/>
    </row>
    <row r="147" spans="1:22" s="141" customFormat="1" x14ac:dyDescent="0.25">
      <c r="A147" s="166"/>
      <c r="B147" s="148" t="s">
        <v>356</v>
      </c>
      <c r="C147" s="33" t="s">
        <v>629</v>
      </c>
      <c r="D147" s="49" t="s">
        <v>428</v>
      </c>
      <c r="E147" s="47" t="s">
        <v>43</v>
      </c>
      <c r="F147" s="24" t="s">
        <v>427</v>
      </c>
      <c r="G147" s="25" t="s">
        <v>427</v>
      </c>
      <c r="H147" s="26"/>
      <c r="I147" s="27">
        <v>1</v>
      </c>
      <c r="J147" s="28" t="s">
        <v>429</v>
      </c>
      <c r="K147" s="29" t="s">
        <v>430</v>
      </c>
      <c r="L147" s="30" t="s">
        <v>432</v>
      </c>
      <c r="M147" s="40">
        <v>0.05</v>
      </c>
      <c r="N147" s="32"/>
      <c r="O147" s="24" t="s">
        <v>431</v>
      </c>
      <c r="P147" s="33"/>
      <c r="Q147" s="34" t="s">
        <v>433</v>
      </c>
      <c r="R147" s="35" t="s">
        <v>427</v>
      </c>
      <c r="S147" s="36" t="s">
        <v>434</v>
      </c>
      <c r="T147" s="111"/>
      <c r="U147" s="38"/>
      <c r="V147" s="22"/>
    </row>
    <row r="148" spans="1:22" s="141" customFormat="1" ht="13.5" customHeight="1" x14ac:dyDescent="0.25">
      <c r="A148" s="166"/>
      <c r="B148" s="148" t="s">
        <v>357</v>
      </c>
      <c r="C148" s="33"/>
      <c r="D148" s="49" t="s">
        <v>545</v>
      </c>
      <c r="E148" s="47" t="s">
        <v>43</v>
      </c>
      <c r="F148" s="146" t="s">
        <v>546</v>
      </c>
      <c r="G148" s="25" t="s">
        <v>547</v>
      </c>
      <c r="H148" s="26"/>
      <c r="I148" s="27"/>
      <c r="J148" s="28">
        <v>0</v>
      </c>
      <c r="K148" s="145" t="s">
        <v>546</v>
      </c>
      <c r="L148" s="30" t="s">
        <v>564</v>
      </c>
      <c r="M148" s="40"/>
      <c r="N148" s="32"/>
      <c r="O148" s="24"/>
      <c r="P148" s="33"/>
      <c r="Q148" s="34" t="s">
        <v>178</v>
      </c>
      <c r="R148" s="35" t="s">
        <v>548</v>
      </c>
      <c r="S148" s="52">
        <v>0.09</v>
      </c>
      <c r="T148" s="111">
        <f t="shared" ref="T148" si="0">S148*I148</f>
        <v>0</v>
      </c>
      <c r="U148" s="38"/>
      <c r="V148" s="22"/>
    </row>
    <row r="149" spans="1:22" s="141" customFormat="1" x14ac:dyDescent="0.25">
      <c r="A149" s="166"/>
      <c r="B149" s="148" t="s">
        <v>358</v>
      </c>
      <c r="C149" s="33"/>
      <c r="D149" s="142"/>
      <c r="E149" s="47"/>
      <c r="F149" s="24" t="s">
        <v>550</v>
      </c>
      <c r="G149" s="25" t="s">
        <v>550</v>
      </c>
      <c r="H149" s="26"/>
      <c r="I149" s="27"/>
      <c r="J149" s="28"/>
      <c r="K149" s="29" t="s">
        <v>549</v>
      </c>
      <c r="L149" s="30" t="s">
        <v>565</v>
      </c>
      <c r="M149" s="40">
        <v>0.01</v>
      </c>
      <c r="N149" s="32"/>
      <c r="O149" s="24" t="s">
        <v>26</v>
      </c>
      <c r="P149" s="33"/>
      <c r="Q149" s="34" t="s">
        <v>477</v>
      </c>
      <c r="R149" s="35"/>
      <c r="S149" s="36"/>
      <c r="T149" s="111"/>
      <c r="U149" s="38"/>
      <c r="V149" s="22"/>
    </row>
    <row r="150" spans="1:22" s="141" customFormat="1" x14ac:dyDescent="0.25">
      <c r="A150" s="166"/>
      <c r="B150" s="148" t="s">
        <v>359</v>
      </c>
      <c r="C150" s="33"/>
      <c r="D150" s="142"/>
      <c r="E150" s="47"/>
      <c r="F150" s="24" t="s">
        <v>550</v>
      </c>
      <c r="G150" s="25" t="s">
        <v>550</v>
      </c>
      <c r="H150" s="26"/>
      <c r="I150" s="27"/>
      <c r="J150" s="28"/>
      <c r="K150" s="29" t="s">
        <v>551</v>
      </c>
      <c r="L150" s="30" t="s">
        <v>561</v>
      </c>
      <c r="M150" s="40">
        <v>0.01</v>
      </c>
      <c r="N150" s="32"/>
      <c r="O150" s="24" t="s">
        <v>26</v>
      </c>
      <c r="P150" s="33"/>
      <c r="Q150" s="34" t="s">
        <v>477</v>
      </c>
      <c r="R150" s="35"/>
      <c r="S150" s="36"/>
      <c r="T150" s="111"/>
      <c r="U150" s="38"/>
      <c r="V150" s="22"/>
    </row>
    <row r="151" spans="1:22" s="141" customFormat="1" x14ac:dyDescent="0.25">
      <c r="A151" s="166"/>
      <c r="B151" s="148" t="s">
        <v>360</v>
      </c>
      <c r="C151" s="33"/>
      <c r="D151" s="142"/>
      <c r="E151" s="47"/>
      <c r="F151" s="24" t="s">
        <v>550</v>
      </c>
      <c r="G151" s="25" t="s">
        <v>550</v>
      </c>
      <c r="H151" s="26"/>
      <c r="I151" s="27"/>
      <c r="J151" s="28"/>
      <c r="K151" s="29" t="s">
        <v>551</v>
      </c>
      <c r="L151" s="30" t="s">
        <v>561</v>
      </c>
      <c r="M151" s="40">
        <v>0.01</v>
      </c>
      <c r="N151" s="32"/>
      <c r="O151" s="24" t="s">
        <v>26</v>
      </c>
      <c r="P151" s="33"/>
      <c r="Q151" s="34" t="s">
        <v>477</v>
      </c>
      <c r="R151" s="35"/>
      <c r="S151" s="36"/>
      <c r="T151" s="111"/>
      <c r="U151" s="38"/>
      <c r="V151" s="22"/>
    </row>
    <row r="152" spans="1:22" s="141" customFormat="1" x14ac:dyDescent="0.25">
      <c r="A152" s="166"/>
      <c r="B152" s="148" t="s">
        <v>361</v>
      </c>
      <c r="C152" s="33"/>
      <c r="D152" s="142"/>
      <c r="E152" s="47"/>
      <c r="F152" s="24" t="s">
        <v>550</v>
      </c>
      <c r="G152" s="25" t="s">
        <v>550</v>
      </c>
      <c r="H152" s="26"/>
      <c r="I152" s="27"/>
      <c r="J152" s="28"/>
      <c r="K152" s="29" t="s">
        <v>552</v>
      </c>
      <c r="L152" s="30" t="s">
        <v>560</v>
      </c>
      <c r="M152" s="40">
        <v>0.01</v>
      </c>
      <c r="N152" s="32"/>
      <c r="O152" s="24" t="s">
        <v>26</v>
      </c>
      <c r="P152" s="33"/>
      <c r="Q152" s="34" t="s">
        <v>477</v>
      </c>
      <c r="R152" s="35"/>
      <c r="S152" s="36"/>
      <c r="T152" s="111"/>
      <c r="U152" s="38"/>
      <c r="V152" s="22"/>
    </row>
    <row r="153" spans="1:22" s="141" customFormat="1" ht="17.25" customHeight="1" x14ac:dyDescent="0.25">
      <c r="A153" s="166"/>
      <c r="B153" s="148" t="s">
        <v>362</v>
      </c>
      <c r="C153" s="33"/>
      <c r="D153" s="49" t="s">
        <v>545</v>
      </c>
      <c r="E153" s="47" t="s">
        <v>43</v>
      </c>
      <c r="F153" s="146" t="s">
        <v>546</v>
      </c>
      <c r="G153" s="25" t="s">
        <v>547</v>
      </c>
      <c r="H153" s="26"/>
      <c r="I153" s="27"/>
      <c r="J153" s="28">
        <v>0</v>
      </c>
      <c r="K153" s="145" t="s">
        <v>546</v>
      </c>
      <c r="L153" s="30" t="s">
        <v>564</v>
      </c>
      <c r="M153" s="40"/>
      <c r="N153" s="32"/>
      <c r="O153" s="24"/>
      <c r="P153" s="33"/>
      <c r="Q153" s="34" t="s">
        <v>178</v>
      </c>
      <c r="R153" s="35" t="s">
        <v>548</v>
      </c>
      <c r="S153" s="52">
        <v>0.09</v>
      </c>
      <c r="T153" s="111">
        <f t="shared" ref="T153" si="1">S153*I153</f>
        <v>0</v>
      </c>
      <c r="U153" s="38"/>
      <c r="V153" s="22"/>
    </row>
    <row r="154" spans="1:22" s="141" customFormat="1" x14ac:dyDescent="0.25">
      <c r="A154" s="166"/>
      <c r="B154" s="148" t="s">
        <v>363</v>
      </c>
      <c r="C154" s="33"/>
      <c r="D154" s="142"/>
      <c r="E154" s="47" t="s">
        <v>43</v>
      </c>
      <c r="F154" s="24" t="s">
        <v>550</v>
      </c>
      <c r="G154" s="25" t="s">
        <v>550</v>
      </c>
      <c r="H154" s="26"/>
      <c r="I154" s="27"/>
      <c r="J154" s="28"/>
      <c r="K154" s="29" t="s">
        <v>553</v>
      </c>
      <c r="L154" s="30" t="s">
        <v>563</v>
      </c>
      <c r="M154" s="40">
        <v>0.01</v>
      </c>
      <c r="N154" s="32"/>
      <c r="O154" s="24" t="s">
        <v>26</v>
      </c>
      <c r="P154" s="33"/>
      <c r="Q154" s="34" t="s">
        <v>477</v>
      </c>
      <c r="R154" s="35"/>
      <c r="S154" s="36"/>
      <c r="T154" s="111"/>
      <c r="U154" s="38"/>
      <c r="V154" s="22"/>
    </row>
    <row r="155" spans="1:22" s="141" customFormat="1" x14ac:dyDescent="0.25">
      <c r="A155" s="166"/>
      <c r="B155" s="148" t="s">
        <v>364</v>
      </c>
      <c r="C155" s="33"/>
      <c r="D155" s="142"/>
      <c r="E155" s="47" t="s">
        <v>193</v>
      </c>
      <c r="F155" s="24"/>
      <c r="G155" s="25"/>
      <c r="H155" s="26"/>
      <c r="I155" s="27"/>
      <c r="J155" s="28"/>
      <c r="K155" s="29"/>
      <c r="L155" s="30"/>
      <c r="M155" s="31"/>
      <c r="N155" s="32"/>
      <c r="O155" s="24"/>
      <c r="P155" s="33"/>
      <c r="Q155" s="34"/>
      <c r="R155" s="35"/>
      <c r="S155" s="36"/>
      <c r="T155" s="111"/>
      <c r="U155" s="38"/>
      <c r="V155" s="22"/>
    </row>
    <row r="156" spans="1:22" s="141" customFormat="1" x14ac:dyDescent="0.25">
      <c r="A156" s="166"/>
      <c r="B156" s="148" t="s">
        <v>365</v>
      </c>
      <c r="C156" s="33"/>
      <c r="D156" s="142"/>
      <c r="E156" s="47" t="s">
        <v>193</v>
      </c>
      <c r="F156" s="24"/>
      <c r="G156" s="25"/>
      <c r="H156" s="26"/>
      <c r="I156" s="27"/>
      <c r="J156" s="28"/>
      <c r="K156" s="29"/>
      <c r="L156" s="30"/>
      <c r="M156" s="31"/>
      <c r="N156" s="32"/>
      <c r="O156" s="24"/>
      <c r="P156" s="33"/>
      <c r="Q156" s="34"/>
      <c r="R156" s="35"/>
      <c r="S156" s="36"/>
      <c r="T156" s="111"/>
      <c r="U156" s="38"/>
      <c r="V156" s="22"/>
    </row>
    <row r="157" spans="1:22" s="141" customFormat="1" x14ac:dyDescent="0.25">
      <c r="A157" s="166"/>
      <c r="B157" s="148" t="s">
        <v>366</v>
      </c>
      <c r="C157" s="33"/>
      <c r="D157" s="142"/>
      <c r="E157" s="47"/>
      <c r="F157" s="24" t="s">
        <v>550</v>
      </c>
      <c r="G157" s="25" t="s">
        <v>550</v>
      </c>
      <c r="H157" s="26"/>
      <c r="I157" s="27"/>
      <c r="J157" s="28"/>
      <c r="K157" s="29" t="s">
        <v>551</v>
      </c>
      <c r="L157" s="30" t="s">
        <v>561</v>
      </c>
      <c r="M157" s="40">
        <v>0.01</v>
      </c>
      <c r="N157" s="32"/>
      <c r="O157" s="24" t="s">
        <v>26</v>
      </c>
      <c r="P157" s="33"/>
      <c r="Q157" s="34" t="s">
        <v>477</v>
      </c>
      <c r="R157" s="35"/>
      <c r="S157" s="36"/>
      <c r="T157" s="111"/>
      <c r="U157" s="38"/>
      <c r="V157" s="22"/>
    </row>
    <row r="158" spans="1:22" s="141" customFormat="1" x14ac:dyDescent="0.25">
      <c r="A158" s="166"/>
      <c r="B158" s="148" t="s">
        <v>367</v>
      </c>
      <c r="C158" s="33"/>
      <c r="D158" s="142"/>
      <c r="E158" s="47" t="s">
        <v>43</v>
      </c>
      <c r="F158" s="24" t="s">
        <v>550</v>
      </c>
      <c r="G158" s="25" t="s">
        <v>550</v>
      </c>
      <c r="H158" s="26"/>
      <c r="I158" s="27"/>
      <c r="J158" s="28"/>
      <c r="K158" s="29" t="s">
        <v>553</v>
      </c>
      <c r="L158" s="30" t="s">
        <v>560</v>
      </c>
      <c r="M158" s="40">
        <v>0.01</v>
      </c>
      <c r="N158" s="32"/>
      <c r="O158" s="24" t="s">
        <v>26</v>
      </c>
      <c r="P158" s="33"/>
      <c r="Q158" s="34" t="s">
        <v>477</v>
      </c>
      <c r="R158" s="35"/>
      <c r="S158" s="36"/>
      <c r="T158" s="111"/>
      <c r="U158" s="38"/>
      <c r="V158" s="22"/>
    </row>
    <row r="159" spans="1:22" s="141" customFormat="1" x14ac:dyDescent="0.25">
      <c r="A159" s="166"/>
      <c r="B159" s="148" t="s">
        <v>368</v>
      </c>
      <c r="C159" s="33"/>
      <c r="D159" s="142"/>
      <c r="E159" s="47"/>
      <c r="F159" s="24" t="s">
        <v>550</v>
      </c>
      <c r="G159" s="25" t="s">
        <v>550</v>
      </c>
      <c r="H159" s="26"/>
      <c r="I159" s="27"/>
      <c r="J159" s="28"/>
      <c r="K159" s="29" t="s">
        <v>554</v>
      </c>
      <c r="L159" s="30" t="s">
        <v>562</v>
      </c>
      <c r="M159" s="40">
        <v>0.01</v>
      </c>
      <c r="N159" s="32"/>
      <c r="O159" s="24" t="s">
        <v>26</v>
      </c>
      <c r="P159" s="33"/>
      <c r="Q159" s="34" t="s">
        <v>477</v>
      </c>
      <c r="R159" s="35"/>
      <c r="S159" s="36"/>
      <c r="T159" s="111"/>
      <c r="U159" s="38"/>
      <c r="V159" s="22"/>
    </row>
    <row r="160" spans="1:22" s="141" customFormat="1" x14ac:dyDescent="0.25">
      <c r="A160" s="166"/>
      <c r="B160" s="148" t="s">
        <v>369</v>
      </c>
      <c r="C160" s="33"/>
      <c r="D160" s="142"/>
      <c r="E160" s="47"/>
      <c r="F160" s="24" t="s">
        <v>550</v>
      </c>
      <c r="G160" s="25" t="s">
        <v>550</v>
      </c>
      <c r="H160" s="26"/>
      <c r="I160" s="27"/>
      <c r="J160" s="28"/>
      <c r="K160" s="29" t="s">
        <v>551</v>
      </c>
      <c r="L160" s="30" t="s">
        <v>561</v>
      </c>
      <c r="M160" s="40">
        <v>0.01</v>
      </c>
      <c r="N160" s="32"/>
      <c r="O160" s="24" t="s">
        <v>26</v>
      </c>
      <c r="P160" s="33"/>
      <c r="Q160" s="34" t="s">
        <v>477</v>
      </c>
      <c r="R160" s="35"/>
      <c r="S160" s="36"/>
      <c r="T160" s="111"/>
      <c r="U160" s="38"/>
      <c r="V160" s="22"/>
    </row>
    <row r="161" spans="1:22" s="141" customFormat="1" x14ac:dyDescent="0.25">
      <c r="A161" s="166"/>
      <c r="B161" s="148" t="s">
        <v>370</v>
      </c>
      <c r="C161" s="33"/>
      <c r="D161" s="142"/>
      <c r="E161" s="47" t="s">
        <v>43</v>
      </c>
      <c r="F161" s="24" t="s">
        <v>550</v>
      </c>
      <c r="G161" s="25" t="s">
        <v>550</v>
      </c>
      <c r="H161" s="26"/>
      <c r="I161" s="27"/>
      <c r="J161" s="28"/>
      <c r="K161" s="29" t="s">
        <v>553</v>
      </c>
      <c r="L161" s="30" t="s">
        <v>560</v>
      </c>
      <c r="M161" s="40">
        <v>0.01</v>
      </c>
      <c r="N161" s="32"/>
      <c r="O161" s="24" t="s">
        <v>26</v>
      </c>
      <c r="P161" s="33"/>
      <c r="Q161" s="34" t="s">
        <v>477</v>
      </c>
      <c r="R161" s="35"/>
      <c r="S161" s="36"/>
      <c r="T161" s="111"/>
      <c r="U161" s="38"/>
      <c r="V161" s="22"/>
    </row>
    <row r="162" spans="1:22" s="141" customFormat="1" x14ac:dyDescent="0.25">
      <c r="A162" s="166"/>
      <c r="B162" s="148" t="s">
        <v>371</v>
      </c>
      <c r="C162" s="33"/>
      <c r="D162" s="142"/>
      <c r="E162" s="47"/>
      <c r="F162" s="24" t="s">
        <v>558</v>
      </c>
      <c r="G162" s="25" t="s">
        <v>558</v>
      </c>
      <c r="H162" s="26"/>
      <c r="I162" s="27"/>
      <c r="J162" s="28"/>
      <c r="K162" s="29" t="s">
        <v>557</v>
      </c>
      <c r="L162" s="30" t="s">
        <v>559</v>
      </c>
      <c r="M162" s="40">
        <v>0.01</v>
      </c>
      <c r="N162" s="32"/>
      <c r="O162" s="24" t="s">
        <v>566</v>
      </c>
      <c r="P162" s="33"/>
      <c r="Q162" s="34" t="s">
        <v>178</v>
      </c>
      <c r="R162" s="35" t="s">
        <v>567</v>
      </c>
      <c r="S162" s="52">
        <v>1.61</v>
      </c>
      <c r="T162" s="37"/>
      <c r="U162" s="38"/>
      <c r="V162" s="22"/>
    </row>
    <row r="163" spans="1:22" s="141" customFormat="1" x14ac:dyDescent="0.25">
      <c r="A163" s="166"/>
      <c r="B163" s="148" t="s">
        <v>372</v>
      </c>
      <c r="C163" s="33"/>
      <c r="D163" s="142"/>
      <c r="E163" s="47"/>
      <c r="F163" s="24" t="s">
        <v>550</v>
      </c>
      <c r="G163" s="25" t="s">
        <v>550</v>
      </c>
      <c r="H163" s="26"/>
      <c r="I163" s="27"/>
      <c r="J163" s="28"/>
      <c r="K163" s="29" t="s">
        <v>568</v>
      </c>
      <c r="L163" s="30" t="s">
        <v>569</v>
      </c>
      <c r="M163" s="40">
        <v>0.01</v>
      </c>
      <c r="N163" s="32"/>
      <c r="O163" s="24" t="s">
        <v>26</v>
      </c>
      <c r="P163" s="33"/>
      <c r="Q163" s="34" t="s">
        <v>477</v>
      </c>
      <c r="R163" s="35"/>
      <c r="S163" s="36"/>
      <c r="T163" s="37"/>
      <c r="U163" s="38"/>
      <c r="V163" s="22"/>
    </row>
    <row r="164" spans="1:22" s="141" customFormat="1" x14ac:dyDescent="0.25">
      <c r="A164" s="166"/>
      <c r="B164" s="148" t="s">
        <v>373</v>
      </c>
      <c r="C164" s="33"/>
      <c r="D164" s="142"/>
      <c r="E164" s="47"/>
      <c r="F164" s="24" t="s">
        <v>550</v>
      </c>
      <c r="G164" s="25" t="s">
        <v>550</v>
      </c>
      <c r="H164" s="26"/>
      <c r="I164" s="27"/>
      <c r="J164" s="28"/>
      <c r="K164" s="29" t="s">
        <v>570</v>
      </c>
      <c r="L164" s="30" t="s">
        <v>571</v>
      </c>
      <c r="M164" s="40">
        <v>0.01</v>
      </c>
      <c r="N164" s="32"/>
      <c r="O164" s="24" t="s">
        <v>26</v>
      </c>
      <c r="P164" s="33"/>
      <c r="Q164" s="34" t="s">
        <v>477</v>
      </c>
      <c r="R164" s="35"/>
      <c r="S164" s="36"/>
      <c r="T164" s="37"/>
      <c r="U164" s="38"/>
      <c r="V164" s="22"/>
    </row>
    <row r="165" spans="1:22" s="141" customFormat="1" x14ac:dyDescent="0.25">
      <c r="A165" s="166"/>
      <c r="B165" s="148" t="s">
        <v>374</v>
      </c>
      <c r="C165" s="33"/>
      <c r="D165" s="142"/>
      <c r="E165" s="47"/>
      <c r="F165" s="24" t="s">
        <v>550</v>
      </c>
      <c r="G165" s="25" t="s">
        <v>550</v>
      </c>
      <c r="H165" s="26"/>
      <c r="I165" s="27"/>
      <c r="J165" s="28"/>
      <c r="K165" s="29" t="s">
        <v>551</v>
      </c>
      <c r="L165" s="30" t="s">
        <v>561</v>
      </c>
      <c r="M165" s="40">
        <v>0.01</v>
      </c>
      <c r="N165" s="32"/>
      <c r="O165" s="24" t="s">
        <v>26</v>
      </c>
      <c r="P165" s="33"/>
      <c r="Q165" s="34" t="s">
        <v>477</v>
      </c>
      <c r="R165" s="35"/>
      <c r="S165" s="36"/>
      <c r="T165" s="37"/>
      <c r="U165" s="38"/>
      <c r="V165" s="22"/>
    </row>
    <row r="166" spans="1:22" s="141" customFormat="1" x14ac:dyDescent="0.25">
      <c r="A166" s="166"/>
      <c r="B166" s="148" t="s">
        <v>375</v>
      </c>
      <c r="C166" s="33"/>
      <c r="D166" s="142"/>
      <c r="E166" s="47"/>
      <c r="F166" s="24" t="s">
        <v>550</v>
      </c>
      <c r="G166" s="25" t="s">
        <v>550</v>
      </c>
      <c r="H166" s="26"/>
      <c r="I166" s="27"/>
      <c r="J166" s="28"/>
      <c r="K166" s="29" t="s">
        <v>552</v>
      </c>
      <c r="L166" s="30" t="s">
        <v>560</v>
      </c>
      <c r="M166" s="40">
        <v>0.01</v>
      </c>
      <c r="N166" s="32"/>
      <c r="O166" s="24" t="s">
        <v>26</v>
      </c>
      <c r="P166" s="33"/>
      <c r="Q166" s="34" t="s">
        <v>477</v>
      </c>
      <c r="R166" s="35"/>
      <c r="S166" s="36"/>
      <c r="T166" s="37"/>
      <c r="U166" s="38"/>
      <c r="V166" s="22"/>
    </row>
    <row r="167" spans="1:22" s="141" customFormat="1" x14ac:dyDescent="0.25">
      <c r="A167" s="166"/>
      <c r="B167" s="148" t="s">
        <v>376</v>
      </c>
      <c r="C167" s="33"/>
      <c r="D167" s="142"/>
      <c r="E167" s="47"/>
      <c r="F167" s="24" t="s">
        <v>550</v>
      </c>
      <c r="G167" s="25" t="s">
        <v>550</v>
      </c>
      <c r="H167" s="26"/>
      <c r="I167" s="27"/>
      <c r="J167" s="28"/>
      <c r="K167" s="29" t="s">
        <v>572</v>
      </c>
      <c r="L167" s="30" t="s">
        <v>573</v>
      </c>
      <c r="M167" s="40">
        <v>0.01</v>
      </c>
      <c r="N167" s="32"/>
      <c r="O167" s="24" t="s">
        <v>26</v>
      </c>
      <c r="P167" s="33"/>
      <c r="Q167" s="34" t="s">
        <v>477</v>
      </c>
      <c r="R167" s="35"/>
      <c r="S167" s="36"/>
      <c r="T167" s="37"/>
      <c r="U167" s="38"/>
      <c r="V167" s="22"/>
    </row>
    <row r="168" spans="1:22" s="141" customFormat="1" x14ac:dyDescent="0.25">
      <c r="A168" s="166"/>
      <c r="B168" s="148" t="s">
        <v>377</v>
      </c>
      <c r="C168" s="33"/>
      <c r="D168" s="142"/>
      <c r="E168" s="47"/>
      <c r="F168" s="24" t="s">
        <v>550</v>
      </c>
      <c r="G168" s="25" t="s">
        <v>550</v>
      </c>
      <c r="H168" s="26"/>
      <c r="I168" s="27"/>
      <c r="J168" s="28"/>
      <c r="K168" s="29" t="s">
        <v>572</v>
      </c>
      <c r="L168" s="30" t="s">
        <v>573</v>
      </c>
      <c r="M168" s="40">
        <v>0.01</v>
      </c>
      <c r="N168" s="32"/>
      <c r="O168" s="24" t="s">
        <v>26</v>
      </c>
      <c r="P168" s="33"/>
      <c r="Q168" s="34" t="s">
        <v>477</v>
      </c>
      <c r="R168" s="35"/>
      <c r="S168" s="36"/>
      <c r="T168" s="37"/>
      <c r="U168" s="38"/>
      <c r="V168" s="22"/>
    </row>
    <row r="169" spans="1:22" s="141" customFormat="1" x14ac:dyDescent="0.25">
      <c r="A169" s="166"/>
      <c r="B169" s="148" t="s">
        <v>378</v>
      </c>
      <c r="C169" s="33"/>
      <c r="D169" s="142"/>
      <c r="E169" s="47"/>
      <c r="F169" s="24" t="s">
        <v>550</v>
      </c>
      <c r="G169" s="25" t="s">
        <v>550</v>
      </c>
      <c r="H169" s="26"/>
      <c r="I169" s="27"/>
      <c r="J169" s="28"/>
      <c r="K169" s="29" t="s">
        <v>551</v>
      </c>
      <c r="L169" s="30" t="s">
        <v>561</v>
      </c>
      <c r="M169" s="40">
        <v>0.01</v>
      </c>
      <c r="N169" s="32"/>
      <c r="O169" s="24" t="s">
        <v>26</v>
      </c>
      <c r="P169" s="33"/>
      <c r="Q169" s="34" t="s">
        <v>477</v>
      </c>
      <c r="R169" s="35"/>
      <c r="S169" s="36"/>
      <c r="T169" s="37"/>
      <c r="U169" s="38"/>
      <c r="V169" s="22"/>
    </row>
    <row r="170" spans="1:22" s="141" customFormat="1" x14ac:dyDescent="0.25">
      <c r="A170" s="166"/>
      <c r="B170" s="148" t="s">
        <v>379</v>
      </c>
      <c r="C170" s="33"/>
      <c r="D170" s="142"/>
      <c r="E170" s="47"/>
      <c r="F170" s="24" t="s">
        <v>550</v>
      </c>
      <c r="G170" s="25" t="s">
        <v>550</v>
      </c>
      <c r="H170" s="26"/>
      <c r="I170" s="27"/>
      <c r="J170" s="28"/>
      <c r="K170" s="29" t="s">
        <v>551</v>
      </c>
      <c r="L170" s="30" t="s">
        <v>561</v>
      </c>
      <c r="M170" s="40">
        <v>0.01</v>
      </c>
      <c r="N170" s="32"/>
      <c r="O170" s="24" t="s">
        <v>26</v>
      </c>
      <c r="P170" s="33"/>
      <c r="Q170" s="34" t="s">
        <v>477</v>
      </c>
      <c r="R170" s="35"/>
      <c r="S170" s="36"/>
      <c r="T170" s="37"/>
      <c r="U170" s="38"/>
      <c r="V170" s="22"/>
    </row>
    <row r="171" spans="1:22" s="141" customFormat="1" x14ac:dyDescent="0.25">
      <c r="A171" s="166"/>
      <c r="B171" s="148" t="s">
        <v>380</v>
      </c>
      <c r="C171" s="33"/>
      <c r="D171" s="142"/>
      <c r="E171" s="47" t="s">
        <v>193</v>
      </c>
      <c r="F171" s="24"/>
      <c r="G171" s="25"/>
      <c r="H171" s="26"/>
      <c r="I171" s="27"/>
      <c r="J171" s="28"/>
      <c r="K171" s="29"/>
      <c r="L171" s="30"/>
      <c r="M171" s="31"/>
      <c r="N171" s="32"/>
      <c r="O171" s="24"/>
      <c r="P171" s="33"/>
      <c r="Q171" s="34"/>
      <c r="R171" s="35"/>
      <c r="S171" s="36"/>
      <c r="T171" s="37"/>
      <c r="U171" s="38"/>
      <c r="V171" s="22"/>
    </row>
    <row r="172" spans="1:22" s="141" customFormat="1" x14ac:dyDescent="0.25">
      <c r="A172" s="166"/>
      <c r="B172" s="148" t="s">
        <v>381</v>
      </c>
      <c r="C172" s="33"/>
      <c r="D172" s="142"/>
      <c r="E172" s="47" t="s">
        <v>193</v>
      </c>
      <c r="F172" s="24"/>
      <c r="G172" s="25"/>
      <c r="H172" s="26"/>
      <c r="I172" s="27"/>
      <c r="J172" s="28"/>
      <c r="K172" s="29"/>
      <c r="L172" s="30"/>
      <c r="M172" s="31"/>
      <c r="N172" s="32"/>
      <c r="O172" s="24"/>
      <c r="P172" s="33"/>
      <c r="Q172" s="34"/>
      <c r="R172" s="35"/>
      <c r="S172" s="36"/>
      <c r="T172" s="37"/>
      <c r="U172" s="38"/>
      <c r="V172" s="22"/>
    </row>
    <row r="173" spans="1:22" s="141" customFormat="1" x14ac:dyDescent="0.25">
      <c r="A173" s="166"/>
      <c r="B173" s="148" t="s">
        <v>382</v>
      </c>
      <c r="C173" s="33"/>
      <c r="D173" s="142"/>
      <c r="E173" s="47"/>
      <c r="F173" s="24" t="s">
        <v>550</v>
      </c>
      <c r="G173" s="25" t="s">
        <v>550</v>
      </c>
      <c r="H173" s="26"/>
      <c r="I173" s="27"/>
      <c r="J173" s="28"/>
      <c r="K173" s="29" t="s">
        <v>556</v>
      </c>
      <c r="L173" s="30" t="s">
        <v>555</v>
      </c>
      <c r="M173" s="40">
        <v>0.01</v>
      </c>
      <c r="N173" s="32"/>
      <c r="O173" s="24" t="s">
        <v>26</v>
      </c>
      <c r="P173" s="33"/>
      <c r="Q173" s="34" t="s">
        <v>477</v>
      </c>
      <c r="R173" s="35"/>
      <c r="S173" s="36"/>
      <c r="T173" s="37"/>
      <c r="U173" s="38"/>
      <c r="V173" s="22"/>
    </row>
    <row r="174" spans="1:22" x14ac:dyDescent="0.25">
      <c r="A174" s="166"/>
      <c r="B174" s="148" t="s">
        <v>383</v>
      </c>
      <c r="C174" s="33"/>
      <c r="D174" s="142"/>
      <c r="E174" s="47"/>
      <c r="F174" s="24" t="s">
        <v>550</v>
      </c>
      <c r="G174" s="25" t="s">
        <v>550</v>
      </c>
      <c r="H174" s="26"/>
      <c r="I174" s="27"/>
      <c r="J174" s="28"/>
      <c r="K174" s="29" t="s">
        <v>551</v>
      </c>
      <c r="L174" s="30" t="s">
        <v>561</v>
      </c>
      <c r="M174" s="40">
        <v>0.01</v>
      </c>
      <c r="N174" s="32"/>
      <c r="O174" s="24" t="s">
        <v>26</v>
      </c>
      <c r="P174" s="33"/>
      <c r="Q174" s="34" t="s">
        <v>477</v>
      </c>
      <c r="R174" s="35"/>
      <c r="S174" s="36"/>
      <c r="T174" s="37"/>
      <c r="U174" s="38"/>
      <c r="V174" s="22"/>
    </row>
    <row r="175" spans="1:22" x14ac:dyDescent="0.25">
      <c r="A175" s="166"/>
      <c r="B175" s="148" t="s">
        <v>384</v>
      </c>
      <c r="C175" s="33"/>
      <c r="D175" s="142"/>
      <c r="E175" s="47"/>
      <c r="F175" s="24" t="s">
        <v>550</v>
      </c>
      <c r="G175" s="25" t="s">
        <v>550</v>
      </c>
      <c r="H175" s="26"/>
      <c r="I175" s="27"/>
      <c r="J175" s="28"/>
      <c r="K175" s="29" t="s">
        <v>553</v>
      </c>
      <c r="L175" s="30" t="s">
        <v>563</v>
      </c>
      <c r="M175" s="40">
        <v>0.01</v>
      </c>
      <c r="N175" s="32"/>
      <c r="O175" s="24" t="s">
        <v>26</v>
      </c>
      <c r="P175" s="33"/>
      <c r="Q175" s="34" t="s">
        <v>477</v>
      </c>
      <c r="R175" s="35"/>
      <c r="S175" s="36"/>
      <c r="T175" s="37"/>
      <c r="U175" s="38"/>
      <c r="V175" s="22"/>
    </row>
    <row r="176" spans="1:22" x14ac:dyDescent="0.25">
      <c r="A176" s="166"/>
      <c r="B176" s="148" t="s">
        <v>385</v>
      </c>
      <c r="C176" s="33"/>
      <c r="D176" s="142"/>
      <c r="E176" s="47"/>
      <c r="F176" s="24" t="s">
        <v>550</v>
      </c>
      <c r="G176" s="25" t="s">
        <v>550</v>
      </c>
      <c r="H176" s="26"/>
      <c r="I176" s="27"/>
      <c r="J176" s="28"/>
      <c r="K176" s="29" t="s">
        <v>572</v>
      </c>
      <c r="L176" s="30" t="s">
        <v>573</v>
      </c>
      <c r="M176" s="40">
        <v>0.01</v>
      </c>
      <c r="N176" s="32"/>
      <c r="O176" s="24" t="s">
        <v>26</v>
      </c>
      <c r="P176" s="33"/>
      <c r="Q176" s="34" t="s">
        <v>477</v>
      </c>
      <c r="R176" s="35"/>
      <c r="S176" s="36"/>
      <c r="T176" s="37"/>
      <c r="U176" s="38"/>
      <c r="V176" s="22"/>
    </row>
    <row r="177" spans="1:22" x14ac:dyDescent="0.25">
      <c r="A177" s="166"/>
      <c r="B177" s="148" t="s">
        <v>386</v>
      </c>
      <c r="C177" s="33"/>
      <c r="D177" s="142"/>
      <c r="E177" s="47"/>
      <c r="F177" s="24" t="s">
        <v>550</v>
      </c>
      <c r="G177" s="25" t="s">
        <v>550</v>
      </c>
      <c r="H177" s="26"/>
      <c r="I177" s="27"/>
      <c r="J177" s="28"/>
      <c r="K177" s="29" t="s">
        <v>572</v>
      </c>
      <c r="L177" s="30" t="s">
        <v>573</v>
      </c>
      <c r="M177" s="40">
        <v>0.01</v>
      </c>
      <c r="N177" s="32"/>
      <c r="O177" s="24" t="s">
        <v>26</v>
      </c>
      <c r="P177" s="33"/>
      <c r="Q177" s="34" t="s">
        <v>477</v>
      </c>
      <c r="R177" s="35"/>
      <c r="S177" s="36"/>
      <c r="T177" s="37"/>
      <c r="U177" s="38"/>
      <c r="V177" s="22"/>
    </row>
    <row r="178" spans="1:22" x14ac:dyDescent="0.25">
      <c r="A178" s="166"/>
      <c r="B178" s="148" t="s">
        <v>387</v>
      </c>
      <c r="C178" s="33"/>
      <c r="D178" s="142"/>
      <c r="E178" s="47" t="s">
        <v>193</v>
      </c>
      <c r="F178" s="24"/>
      <c r="G178" s="25"/>
      <c r="H178" s="26"/>
      <c r="I178" s="27"/>
      <c r="J178" s="28"/>
      <c r="K178" s="29"/>
      <c r="L178" s="30"/>
      <c r="M178" s="31"/>
      <c r="N178" s="32"/>
      <c r="O178" s="24"/>
      <c r="P178" s="33"/>
      <c r="Q178" s="34"/>
      <c r="R178" s="35"/>
      <c r="S178" s="36"/>
      <c r="T178" s="37"/>
      <c r="U178" s="38"/>
      <c r="V178" s="22"/>
    </row>
    <row r="179" spans="1:22" x14ac:dyDescent="0.25">
      <c r="A179" s="166"/>
      <c r="B179" s="148" t="s">
        <v>388</v>
      </c>
      <c r="C179" s="33"/>
      <c r="D179" s="142"/>
      <c r="E179" s="47" t="s">
        <v>193</v>
      </c>
      <c r="F179" s="24"/>
      <c r="G179" s="25"/>
      <c r="H179" s="26"/>
      <c r="I179" s="27"/>
      <c r="J179" s="28"/>
      <c r="K179" s="29"/>
      <c r="L179" s="30"/>
      <c r="M179" s="31"/>
      <c r="N179" s="32"/>
      <c r="O179" s="24"/>
      <c r="P179" s="33"/>
      <c r="Q179" s="34"/>
      <c r="R179" s="35"/>
      <c r="S179" s="36"/>
      <c r="T179" s="37"/>
      <c r="U179" s="38"/>
      <c r="V179" s="22"/>
    </row>
    <row r="180" spans="1:22" x14ac:dyDescent="0.25">
      <c r="A180" s="166"/>
      <c r="B180" s="148" t="s">
        <v>389</v>
      </c>
      <c r="C180" s="33"/>
      <c r="D180" s="142"/>
      <c r="E180" s="47"/>
      <c r="F180" s="24" t="s">
        <v>550</v>
      </c>
      <c r="G180" s="25" t="s">
        <v>550</v>
      </c>
      <c r="H180" s="26"/>
      <c r="I180" s="27"/>
      <c r="J180" s="28"/>
      <c r="K180" s="29" t="s">
        <v>551</v>
      </c>
      <c r="L180" s="30" t="s">
        <v>561</v>
      </c>
      <c r="M180" s="40">
        <v>0.01</v>
      </c>
      <c r="N180" s="32"/>
      <c r="O180" s="24" t="s">
        <v>26</v>
      </c>
      <c r="P180" s="33"/>
      <c r="Q180" s="34" t="s">
        <v>477</v>
      </c>
      <c r="R180" s="35"/>
      <c r="S180" s="36"/>
      <c r="T180" s="37"/>
      <c r="U180" s="38"/>
      <c r="V180" s="22"/>
    </row>
    <row r="181" spans="1:22" x14ac:dyDescent="0.25">
      <c r="A181" s="166"/>
      <c r="B181" s="148" t="s">
        <v>390</v>
      </c>
      <c r="C181" s="33"/>
      <c r="D181" s="142"/>
      <c r="E181" s="47"/>
      <c r="F181" s="24" t="s">
        <v>550</v>
      </c>
      <c r="G181" s="25" t="s">
        <v>550</v>
      </c>
      <c r="H181" s="26"/>
      <c r="I181" s="27"/>
      <c r="J181" s="28"/>
      <c r="K181" s="29" t="s">
        <v>551</v>
      </c>
      <c r="L181" s="30" t="s">
        <v>561</v>
      </c>
      <c r="M181" s="40">
        <v>0.01</v>
      </c>
      <c r="N181" s="32"/>
      <c r="O181" s="24" t="s">
        <v>26</v>
      </c>
      <c r="P181" s="33"/>
      <c r="Q181" s="34" t="s">
        <v>477</v>
      </c>
      <c r="R181" s="35"/>
      <c r="S181" s="36"/>
      <c r="T181" s="37"/>
      <c r="U181" s="38"/>
      <c r="V181" s="22"/>
    </row>
    <row r="182" spans="1:22" x14ac:dyDescent="0.25">
      <c r="A182" s="166"/>
      <c r="B182" s="148" t="s">
        <v>391</v>
      </c>
      <c r="C182" s="33"/>
      <c r="D182" s="142"/>
      <c r="E182" s="47"/>
      <c r="F182" s="24" t="s">
        <v>579</v>
      </c>
      <c r="G182" s="25" t="s">
        <v>579</v>
      </c>
      <c r="H182" s="26"/>
      <c r="I182" s="27"/>
      <c r="J182" s="28"/>
      <c r="K182" s="29" t="s">
        <v>578</v>
      </c>
      <c r="L182" s="30" t="s">
        <v>576</v>
      </c>
      <c r="M182" s="40">
        <v>0.1</v>
      </c>
      <c r="N182" s="32"/>
      <c r="O182" s="24" t="s">
        <v>577</v>
      </c>
      <c r="P182" s="33"/>
      <c r="Q182" s="34" t="s">
        <v>477</v>
      </c>
      <c r="R182" s="35"/>
      <c r="S182" s="36"/>
      <c r="T182" s="37"/>
      <c r="U182" s="38"/>
      <c r="V182" s="22"/>
    </row>
    <row r="183" spans="1:22" x14ac:dyDescent="0.25">
      <c r="A183" s="166"/>
      <c r="B183" s="148" t="s">
        <v>392</v>
      </c>
      <c r="C183" s="33"/>
      <c r="D183" s="142"/>
      <c r="E183" s="47"/>
      <c r="F183" s="24" t="s">
        <v>579</v>
      </c>
      <c r="G183" s="25" t="s">
        <v>579</v>
      </c>
      <c r="H183" s="26"/>
      <c r="I183" s="27"/>
      <c r="J183" s="28"/>
      <c r="K183" s="29" t="s">
        <v>580</v>
      </c>
      <c r="L183" s="30" t="s">
        <v>563</v>
      </c>
      <c r="M183" s="40">
        <v>0.1</v>
      </c>
      <c r="N183" s="32"/>
      <c r="O183" s="24" t="s">
        <v>577</v>
      </c>
      <c r="P183" s="33"/>
      <c r="Q183" s="34" t="s">
        <v>477</v>
      </c>
      <c r="R183" s="35"/>
      <c r="S183" s="36"/>
      <c r="T183" s="37"/>
      <c r="U183" s="38"/>
      <c r="V183" s="22"/>
    </row>
    <row r="184" spans="1:22" x14ac:dyDescent="0.25">
      <c r="A184" s="166"/>
      <c r="B184" s="148" t="s">
        <v>393</v>
      </c>
      <c r="C184" s="33" t="s">
        <v>627</v>
      </c>
      <c r="D184" s="142" t="s">
        <v>581</v>
      </c>
      <c r="E184" s="47"/>
      <c r="F184" s="24" t="s">
        <v>582</v>
      </c>
      <c r="G184" s="25" t="s">
        <v>579</v>
      </c>
      <c r="H184" s="26"/>
      <c r="I184" s="27"/>
      <c r="J184" s="28"/>
      <c r="K184" s="29" t="s">
        <v>583</v>
      </c>
      <c r="L184" s="30" t="s">
        <v>584</v>
      </c>
      <c r="M184" s="40">
        <v>0.1</v>
      </c>
      <c r="N184" s="32"/>
      <c r="O184" s="24" t="s">
        <v>577</v>
      </c>
      <c r="P184" s="33"/>
      <c r="Q184" s="34" t="s">
        <v>477</v>
      </c>
      <c r="R184" s="35"/>
      <c r="S184" s="36"/>
      <c r="T184" s="37"/>
      <c r="U184" s="38"/>
      <c r="V184" s="22"/>
    </row>
    <row r="185" spans="1:22" x14ac:dyDescent="0.25">
      <c r="A185" s="166"/>
      <c r="B185" s="148" t="s">
        <v>574</v>
      </c>
      <c r="C185" s="33"/>
      <c r="D185" s="142"/>
      <c r="E185" s="47"/>
      <c r="F185" s="24" t="s">
        <v>579</v>
      </c>
      <c r="G185" s="25" t="s">
        <v>579</v>
      </c>
      <c r="H185" s="26"/>
      <c r="I185" s="27"/>
      <c r="J185" s="28"/>
      <c r="K185" s="29" t="s">
        <v>580</v>
      </c>
      <c r="L185" s="30" t="s">
        <v>563</v>
      </c>
      <c r="M185" s="40">
        <v>0.1</v>
      </c>
      <c r="N185" s="32"/>
      <c r="O185" s="24" t="s">
        <v>577</v>
      </c>
      <c r="P185" s="33"/>
      <c r="Q185" s="34" t="s">
        <v>477</v>
      </c>
      <c r="R185" s="35"/>
      <c r="S185" s="36"/>
      <c r="T185" s="37"/>
      <c r="U185" s="38"/>
      <c r="V185" s="22"/>
    </row>
    <row r="186" spans="1:22" x14ac:dyDescent="0.25">
      <c r="A186" s="166"/>
      <c r="B186" s="148" t="s">
        <v>575</v>
      </c>
      <c r="C186" s="33"/>
      <c r="D186" s="142"/>
      <c r="E186" s="47"/>
      <c r="F186" s="24" t="s">
        <v>579</v>
      </c>
      <c r="G186" s="25" t="s">
        <v>579</v>
      </c>
      <c r="H186" s="26"/>
      <c r="I186" s="27"/>
      <c r="J186" s="28"/>
      <c r="K186" s="29" t="s">
        <v>578</v>
      </c>
      <c r="L186" s="30" t="s">
        <v>576</v>
      </c>
      <c r="M186" s="40">
        <v>0.1</v>
      </c>
      <c r="N186" s="32"/>
      <c r="O186" s="24" t="s">
        <v>577</v>
      </c>
      <c r="P186" s="33"/>
      <c r="Q186" s="34" t="s">
        <v>477</v>
      </c>
      <c r="R186" s="35"/>
      <c r="S186" s="36"/>
      <c r="T186" s="37"/>
      <c r="U186" s="38"/>
      <c r="V186" s="22"/>
    </row>
    <row r="187" spans="1:22" x14ac:dyDescent="0.25">
      <c r="A187" s="166"/>
      <c r="B187" s="148" t="s">
        <v>394</v>
      </c>
      <c r="C187" s="33"/>
      <c r="D187" s="49" t="s">
        <v>587</v>
      </c>
      <c r="E187" s="47"/>
      <c r="F187" s="24" t="s">
        <v>585</v>
      </c>
      <c r="G187" s="25" t="s">
        <v>585</v>
      </c>
      <c r="H187" s="26"/>
      <c r="I187" s="27"/>
      <c r="J187" s="28"/>
      <c r="K187" s="29" t="s">
        <v>585</v>
      </c>
      <c r="L187" s="30"/>
      <c r="M187" s="31"/>
      <c r="N187" s="32"/>
      <c r="O187" s="24"/>
      <c r="P187" s="33"/>
      <c r="Q187" s="34" t="s">
        <v>178</v>
      </c>
      <c r="R187" s="35" t="s">
        <v>586</v>
      </c>
      <c r="S187" s="52">
        <v>0.45800000000000002</v>
      </c>
      <c r="T187" s="37"/>
      <c r="U187" s="38"/>
      <c r="V187" s="22"/>
    </row>
    <row r="188" spans="1:22" x14ac:dyDescent="0.25">
      <c r="A188" s="166"/>
      <c r="B188" s="148" t="s">
        <v>395</v>
      </c>
      <c r="C188" s="33"/>
      <c r="D188" s="49" t="s">
        <v>587</v>
      </c>
      <c r="E188" s="47"/>
      <c r="F188" s="24" t="s">
        <v>585</v>
      </c>
      <c r="G188" s="25" t="s">
        <v>585</v>
      </c>
      <c r="H188" s="26"/>
      <c r="I188" s="27"/>
      <c r="J188" s="28"/>
      <c r="K188" s="29" t="s">
        <v>585</v>
      </c>
      <c r="L188" s="30"/>
      <c r="M188" s="31"/>
      <c r="N188" s="32"/>
      <c r="O188" s="24"/>
      <c r="P188" s="33"/>
      <c r="Q188" s="34" t="s">
        <v>178</v>
      </c>
      <c r="R188" s="35" t="s">
        <v>586</v>
      </c>
      <c r="S188" s="52">
        <v>0.45800000000000002</v>
      </c>
      <c r="T188" s="37"/>
      <c r="U188" s="38"/>
      <c r="V188" s="22"/>
    </row>
    <row r="189" spans="1:22" x14ac:dyDescent="0.25">
      <c r="A189" s="166"/>
      <c r="B189" s="148" t="s">
        <v>396</v>
      </c>
      <c r="C189" s="33"/>
      <c r="D189" s="49" t="s">
        <v>591</v>
      </c>
      <c r="E189" s="47"/>
      <c r="F189" s="24" t="s">
        <v>588</v>
      </c>
      <c r="G189" s="25" t="s">
        <v>588</v>
      </c>
      <c r="H189" s="26"/>
      <c r="I189" s="27"/>
      <c r="J189" s="28"/>
      <c r="K189" s="29" t="s">
        <v>589</v>
      </c>
      <c r="L189" s="30"/>
      <c r="M189" s="31"/>
      <c r="N189" s="32"/>
      <c r="O189" s="24"/>
      <c r="P189" s="33"/>
      <c r="Q189" s="34" t="s">
        <v>590</v>
      </c>
      <c r="R189" s="35" t="s">
        <v>588</v>
      </c>
      <c r="S189" s="36"/>
      <c r="T189" s="37"/>
      <c r="U189" s="38"/>
      <c r="V189" s="22"/>
    </row>
    <row r="190" spans="1:22" x14ac:dyDescent="0.25">
      <c r="A190" s="166"/>
      <c r="B190" s="148" t="s">
        <v>397</v>
      </c>
      <c r="C190" s="33" t="s">
        <v>629</v>
      </c>
      <c r="D190" s="142"/>
      <c r="E190" s="47"/>
      <c r="F190" s="24" t="s">
        <v>592</v>
      </c>
      <c r="G190" s="25" t="s">
        <v>592</v>
      </c>
      <c r="H190" s="26"/>
      <c r="I190" s="27"/>
      <c r="J190" s="28"/>
      <c r="K190" s="29" t="s">
        <v>592</v>
      </c>
      <c r="L190" s="30"/>
      <c r="M190" s="31"/>
      <c r="N190" s="32"/>
      <c r="O190" s="24"/>
      <c r="P190" s="33"/>
      <c r="Q190" s="34" t="s">
        <v>477</v>
      </c>
      <c r="R190" s="35"/>
      <c r="S190" s="36"/>
      <c r="T190" s="37"/>
      <c r="U190" s="38"/>
      <c r="V190" s="22"/>
    </row>
    <row r="191" spans="1:22" x14ac:dyDescent="0.25">
      <c r="A191" s="166"/>
      <c r="B191" s="148" t="s">
        <v>398</v>
      </c>
      <c r="C191" s="33" t="s">
        <v>628</v>
      </c>
      <c r="D191" s="49" t="s">
        <v>593</v>
      </c>
      <c r="E191" s="47"/>
      <c r="F191" s="24" t="s">
        <v>594</v>
      </c>
      <c r="G191" s="25" t="s">
        <v>594</v>
      </c>
      <c r="H191" s="26"/>
      <c r="I191" s="27"/>
      <c r="J191" s="28"/>
      <c r="K191" s="29" t="s">
        <v>595</v>
      </c>
      <c r="L191" s="30"/>
      <c r="M191" s="31"/>
      <c r="N191" s="32"/>
      <c r="O191" s="24"/>
      <c r="P191" s="33"/>
      <c r="Q191" s="34" t="s">
        <v>477</v>
      </c>
      <c r="R191" s="35"/>
      <c r="S191" s="36"/>
      <c r="T191" s="37"/>
      <c r="U191" s="38"/>
      <c r="V191" s="22"/>
    </row>
    <row r="192" spans="1:22" x14ac:dyDescent="0.25">
      <c r="A192" s="166"/>
      <c r="B192" s="148" t="s">
        <v>399</v>
      </c>
      <c r="C192" s="33" t="s">
        <v>627</v>
      </c>
      <c r="D192" s="142" t="s">
        <v>596</v>
      </c>
      <c r="E192" s="47"/>
      <c r="F192" s="24" t="s">
        <v>597</v>
      </c>
      <c r="G192" s="25" t="s">
        <v>597</v>
      </c>
      <c r="H192" s="26"/>
      <c r="I192" s="27"/>
      <c r="J192" s="28"/>
      <c r="K192" s="29" t="s">
        <v>598</v>
      </c>
      <c r="L192" s="30"/>
      <c r="M192" s="31"/>
      <c r="N192" s="32"/>
      <c r="O192" s="24"/>
      <c r="P192" s="33"/>
      <c r="Q192" s="34" t="s">
        <v>477</v>
      </c>
      <c r="R192" s="35"/>
      <c r="S192" s="36"/>
      <c r="T192" s="37"/>
      <c r="U192" s="38"/>
      <c r="V192" s="22"/>
    </row>
    <row r="193" spans="1:22" x14ac:dyDescent="0.25">
      <c r="A193" s="166"/>
      <c r="B193" s="148" t="s">
        <v>400</v>
      </c>
      <c r="C193" s="33"/>
      <c r="D193" s="49" t="s">
        <v>604</v>
      </c>
      <c r="E193" s="47"/>
      <c r="F193" s="24" t="s">
        <v>605</v>
      </c>
      <c r="G193" s="25" t="s">
        <v>605</v>
      </c>
      <c r="H193" s="26"/>
      <c r="I193" s="27"/>
      <c r="J193" s="28"/>
      <c r="K193" s="29" t="s">
        <v>606</v>
      </c>
      <c r="L193" s="30"/>
      <c r="M193" s="31" t="s">
        <v>609</v>
      </c>
      <c r="N193" s="32" t="s">
        <v>608</v>
      </c>
      <c r="O193" s="24"/>
      <c r="P193" s="33"/>
      <c r="Q193" s="34" t="s">
        <v>178</v>
      </c>
      <c r="R193" s="35" t="s">
        <v>607</v>
      </c>
      <c r="S193" s="52">
        <v>1.42</v>
      </c>
      <c r="T193" s="37"/>
      <c r="U193" s="38"/>
      <c r="V193" s="22"/>
    </row>
    <row r="194" spans="1:22" x14ac:dyDescent="0.25">
      <c r="A194" s="166"/>
      <c r="B194" s="148" t="s">
        <v>401</v>
      </c>
      <c r="C194" s="33"/>
      <c r="D194" s="49" t="s">
        <v>610</v>
      </c>
      <c r="E194" s="47"/>
      <c r="F194" s="24" t="s">
        <v>611</v>
      </c>
      <c r="G194" s="25" t="s">
        <v>611</v>
      </c>
      <c r="H194" s="26"/>
      <c r="I194" s="27"/>
      <c r="J194" s="28"/>
      <c r="K194" s="29" t="s">
        <v>611</v>
      </c>
      <c r="L194" s="30"/>
      <c r="M194" s="31"/>
      <c r="N194" s="32"/>
      <c r="O194" s="24"/>
      <c r="P194" s="33"/>
      <c r="Q194" s="34" t="s">
        <v>178</v>
      </c>
      <c r="R194" s="35" t="s">
        <v>612</v>
      </c>
      <c r="S194" s="52">
        <v>16.75</v>
      </c>
      <c r="T194" s="37"/>
      <c r="U194" s="38"/>
      <c r="V194" s="22"/>
    </row>
    <row r="195" spans="1:22" x14ac:dyDescent="0.25">
      <c r="A195" s="166"/>
      <c r="B195" s="148" t="s">
        <v>402</v>
      </c>
      <c r="C195" s="33" t="s">
        <v>627</v>
      </c>
      <c r="D195" s="142" t="s">
        <v>596</v>
      </c>
      <c r="E195" s="47"/>
      <c r="F195" s="24" t="s">
        <v>597</v>
      </c>
      <c r="G195" s="25" t="s">
        <v>597</v>
      </c>
      <c r="H195" s="26"/>
      <c r="I195" s="27"/>
      <c r="J195" s="28"/>
      <c r="K195" s="29" t="s">
        <v>598</v>
      </c>
      <c r="L195" s="30"/>
      <c r="M195" s="31"/>
      <c r="N195" s="32"/>
      <c r="O195" s="24"/>
      <c r="P195" s="33"/>
      <c r="Q195" s="34" t="s">
        <v>477</v>
      </c>
      <c r="R195" s="35"/>
      <c r="S195" s="36"/>
      <c r="T195" s="37"/>
      <c r="U195" s="38"/>
      <c r="V195" s="22"/>
    </row>
    <row r="196" spans="1:22" x14ac:dyDescent="0.25">
      <c r="A196" s="166"/>
      <c r="B196" s="148" t="s">
        <v>403</v>
      </c>
      <c r="C196" s="33"/>
      <c r="D196" s="49" t="s">
        <v>604</v>
      </c>
      <c r="E196" s="47"/>
      <c r="F196" s="24" t="s">
        <v>605</v>
      </c>
      <c r="G196" s="25" t="s">
        <v>605</v>
      </c>
      <c r="H196" s="26"/>
      <c r="I196" s="27"/>
      <c r="J196" s="28"/>
      <c r="K196" s="29" t="s">
        <v>606</v>
      </c>
      <c r="L196" s="30"/>
      <c r="M196" s="31" t="s">
        <v>609</v>
      </c>
      <c r="N196" s="32" t="s">
        <v>608</v>
      </c>
      <c r="O196" s="24"/>
      <c r="P196" s="33"/>
      <c r="Q196" s="34" t="s">
        <v>178</v>
      </c>
      <c r="R196" s="35" t="s">
        <v>607</v>
      </c>
      <c r="S196" s="52">
        <v>1.42</v>
      </c>
      <c r="T196" s="37"/>
      <c r="U196" s="38"/>
      <c r="V196" s="22"/>
    </row>
    <row r="197" spans="1:22" x14ac:dyDescent="0.25">
      <c r="A197" s="166"/>
      <c r="B197" s="148" t="s">
        <v>404</v>
      </c>
      <c r="C197" s="33" t="s">
        <v>628</v>
      </c>
      <c r="D197" s="49" t="s">
        <v>615</v>
      </c>
      <c r="E197" s="47"/>
      <c r="F197" s="24" t="s">
        <v>613</v>
      </c>
      <c r="G197" s="25" t="s">
        <v>613</v>
      </c>
      <c r="H197" s="26"/>
      <c r="I197" s="27"/>
      <c r="J197" s="28"/>
      <c r="K197" s="29" t="s">
        <v>614</v>
      </c>
      <c r="L197" s="30"/>
      <c r="M197" s="31"/>
      <c r="N197" s="32"/>
      <c r="O197" s="24"/>
      <c r="P197" s="33"/>
      <c r="Q197" s="34" t="s">
        <v>477</v>
      </c>
      <c r="R197" s="35"/>
      <c r="S197" s="36" t="s">
        <v>616</v>
      </c>
      <c r="T197" s="37"/>
      <c r="U197" s="38"/>
      <c r="V197" s="22"/>
    </row>
    <row r="198" spans="1:22" x14ac:dyDescent="0.25">
      <c r="A198" s="166"/>
      <c r="B198" s="148" t="s">
        <v>405</v>
      </c>
      <c r="C198" s="33" t="s">
        <v>628</v>
      </c>
      <c r="D198" s="49" t="s">
        <v>615</v>
      </c>
      <c r="E198" s="47"/>
      <c r="F198" s="24" t="s">
        <v>613</v>
      </c>
      <c r="G198" s="25" t="s">
        <v>613</v>
      </c>
      <c r="H198" s="26"/>
      <c r="I198" s="27"/>
      <c r="J198" s="28"/>
      <c r="K198" s="29" t="s">
        <v>614</v>
      </c>
      <c r="L198" s="30"/>
      <c r="M198" s="31"/>
      <c r="N198" s="32"/>
      <c r="O198" s="24"/>
      <c r="P198" s="33"/>
      <c r="Q198" s="34" t="s">
        <v>477</v>
      </c>
      <c r="R198" s="35"/>
      <c r="S198" s="36" t="s">
        <v>616</v>
      </c>
      <c r="T198" s="37"/>
      <c r="U198" s="38"/>
      <c r="V198" s="22"/>
    </row>
    <row r="199" spans="1:22" x14ac:dyDescent="0.25">
      <c r="A199" s="166"/>
      <c r="B199" s="148" t="s">
        <v>406</v>
      </c>
      <c r="C199" s="33" t="s">
        <v>628</v>
      </c>
      <c r="D199" s="49" t="s">
        <v>615</v>
      </c>
      <c r="E199" s="47"/>
      <c r="F199" s="24" t="s">
        <v>613</v>
      </c>
      <c r="G199" s="25" t="s">
        <v>613</v>
      </c>
      <c r="H199" s="26"/>
      <c r="I199" s="27"/>
      <c r="J199" s="28"/>
      <c r="K199" s="29" t="s">
        <v>614</v>
      </c>
      <c r="L199" s="30"/>
      <c r="M199" s="31"/>
      <c r="N199" s="32"/>
      <c r="O199" s="24"/>
      <c r="P199" s="33"/>
      <c r="Q199" s="34" t="s">
        <v>477</v>
      </c>
      <c r="R199" s="35"/>
      <c r="S199" s="36" t="s">
        <v>616</v>
      </c>
      <c r="T199" s="37"/>
      <c r="U199" s="38"/>
      <c r="V199" s="22"/>
    </row>
    <row r="200" spans="1:22" x14ac:dyDescent="0.25">
      <c r="A200" s="166"/>
      <c r="B200" s="148" t="s">
        <v>407</v>
      </c>
      <c r="C200" s="33" t="s">
        <v>628</v>
      </c>
      <c r="D200" s="49" t="s">
        <v>615</v>
      </c>
      <c r="E200" s="47"/>
      <c r="F200" s="24" t="s">
        <v>613</v>
      </c>
      <c r="G200" s="25" t="s">
        <v>613</v>
      </c>
      <c r="H200" s="26"/>
      <c r="I200" s="27"/>
      <c r="J200" s="28"/>
      <c r="K200" s="29" t="s">
        <v>614</v>
      </c>
      <c r="L200" s="30"/>
      <c r="M200" s="31"/>
      <c r="N200" s="32"/>
      <c r="O200" s="24"/>
      <c r="P200" s="33"/>
      <c r="Q200" s="34" t="s">
        <v>477</v>
      </c>
      <c r="R200" s="35"/>
      <c r="S200" s="36" t="s">
        <v>616</v>
      </c>
      <c r="T200" s="37"/>
      <c r="U200" s="38"/>
      <c r="V200" s="22"/>
    </row>
    <row r="201" spans="1:22" x14ac:dyDescent="0.25">
      <c r="A201" s="166"/>
      <c r="B201" s="148" t="s">
        <v>408</v>
      </c>
      <c r="C201" s="33"/>
      <c r="D201" s="49" t="s">
        <v>610</v>
      </c>
      <c r="E201" s="47"/>
      <c r="F201" s="24" t="s">
        <v>611</v>
      </c>
      <c r="G201" s="25" t="s">
        <v>611</v>
      </c>
      <c r="H201" s="26"/>
      <c r="I201" s="27"/>
      <c r="J201" s="28"/>
      <c r="K201" s="29" t="s">
        <v>611</v>
      </c>
      <c r="L201" s="30"/>
      <c r="M201" s="31"/>
      <c r="N201" s="32"/>
      <c r="O201" s="24"/>
      <c r="P201" s="33"/>
      <c r="Q201" s="34" t="s">
        <v>178</v>
      </c>
      <c r="R201" s="35" t="s">
        <v>612</v>
      </c>
      <c r="S201" s="52">
        <v>16.75</v>
      </c>
      <c r="T201" s="37"/>
      <c r="U201" s="38"/>
      <c r="V201" s="22"/>
    </row>
    <row r="202" spans="1:22" x14ac:dyDescent="0.25">
      <c r="A202" s="166"/>
      <c r="B202" s="148" t="s">
        <v>409</v>
      </c>
      <c r="C202" s="33" t="s">
        <v>628</v>
      </c>
      <c r="D202" s="49" t="s">
        <v>615</v>
      </c>
      <c r="E202" s="47"/>
      <c r="F202" s="24" t="s">
        <v>613</v>
      </c>
      <c r="G202" s="25" t="s">
        <v>613</v>
      </c>
      <c r="H202" s="26"/>
      <c r="I202" s="27"/>
      <c r="J202" s="28"/>
      <c r="K202" s="29" t="s">
        <v>614</v>
      </c>
      <c r="L202" s="30"/>
      <c r="M202" s="31"/>
      <c r="N202" s="32"/>
      <c r="O202" s="24"/>
      <c r="P202" s="33"/>
      <c r="Q202" s="34" t="s">
        <v>477</v>
      </c>
      <c r="R202" s="35"/>
      <c r="S202" s="36" t="s">
        <v>616</v>
      </c>
      <c r="T202" s="37"/>
      <c r="U202" s="38"/>
      <c r="V202" s="22"/>
    </row>
    <row r="203" spans="1:22" x14ac:dyDescent="0.25">
      <c r="A203" s="166"/>
      <c r="B203" s="148" t="s">
        <v>410</v>
      </c>
      <c r="C203" s="33" t="s">
        <v>628</v>
      </c>
      <c r="D203" s="49" t="s">
        <v>615</v>
      </c>
      <c r="E203" s="47"/>
      <c r="F203" s="24" t="s">
        <v>613</v>
      </c>
      <c r="G203" s="25" t="s">
        <v>613</v>
      </c>
      <c r="H203" s="26"/>
      <c r="I203" s="27"/>
      <c r="J203" s="28"/>
      <c r="K203" s="29" t="s">
        <v>614</v>
      </c>
      <c r="L203" s="30"/>
      <c r="M203" s="31"/>
      <c r="N203" s="32"/>
      <c r="O203" s="24"/>
      <c r="P203" s="33"/>
      <c r="Q203" s="34" t="s">
        <v>477</v>
      </c>
      <c r="R203" s="35"/>
      <c r="S203" s="36" t="s">
        <v>616</v>
      </c>
      <c r="T203" s="37"/>
      <c r="U203" s="38"/>
      <c r="V203" s="22"/>
    </row>
    <row r="204" spans="1:22" x14ac:dyDescent="0.25">
      <c r="A204" s="166"/>
      <c r="B204" s="148" t="s">
        <v>411</v>
      </c>
      <c r="C204" s="33" t="s">
        <v>628</v>
      </c>
      <c r="D204" s="49" t="s">
        <v>615</v>
      </c>
      <c r="E204" s="47"/>
      <c r="F204" s="24" t="s">
        <v>613</v>
      </c>
      <c r="G204" s="25" t="s">
        <v>613</v>
      </c>
      <c r="H204" s="26"/>
      <c r="I204" s="27"/>
      <c r="J204" s="28"/>
      <c r="K204" s="29" t="s">
        <v>614</v>
      </c>
      <c r="L204" s="30"/>
      <c r="M204" s="31"/>
      <c r="N204" s="32"/>
      <c r="O204" s="24"/>
      <c r="P204" s="33"/>
      <c r="Q204" s="34" t="s">
        <v>477</v>
      </c>
      <c r="R204" s="35"/>
      <c r="S204" s="36" t="s">
        <v>616</v>
      </c>
      <c r="T204" s="37"/>
      <c r="U204" s="38"/>
      <c r="V204" s="22"/>
    </row>
    <row r="205" spans="1:22" x14ac:dyDescent="0.25">
      <c r="A205" s="166"/>
      <c r="B205" s="148" t="s">
        <v>412</v>
      </c>
      <c r="C205" s="33" t="s">
        <v>628</v>
      </c>
      <c r="D205" s="49" t="s">
        <v>615</v>
      </c>
      <c r="E205" s="47"/>
      <c r="F205" s="24" t="s">
        <v>613</v>
      </c>
      <c r="G205" s="25" t="s">
        <v>613</v>
      </c>
      <c r="H205" s="26"/>
      <c r="I205" s="27"/>
      <c r="J205" s="28"/>
      <c r="K205" s="29" t="s">
        <v>614</v>
      </c>
      <c r="L205" s="30"/>
      <c r="M205" s="31"/>
      <c r="N205" s="32"/>
      <c r="O205" s="24"/>
      <c r="P205" s="33"/>
      <c r="Q205" s="34" t="s">
        <v>477</v>
      </c>
      <c r="R205" s="35"/>
      <c r="S205" s="36" t="s">
        <v>616</v>
      </c>
      <c r="T205" s="37"/>
      <c r="U205" s="38"/>
      <c r="V205" s="22"/>
    </row>
    <row r="206" spans="1:22" x14ac:dyDescent="0.25">
      <c r="A206" s="166"/>
      <c r="B206" s="148" t="s">
        <v>413</v>
      </c>
      <c r="C206" s="33" t="s">
        <v>628</v>
      </c>
      <c r="D206" s="142"/>
      <c r="E206" s="47"/>
      <c r="F206" s="24" t="s">
        <v>617</v>
      </c>
      <c r="G206" s="25" t="s">
        <v>617</v>
      </c>
      <c r="H206" s="26"/>
      <c r="I206" s="27"/>
      <c r="J206" s="28"/>
      <c r="K206" s="29" t="s">
        <v>617</v>
      </c>
      <c r="L206" s="30"/>
      <c r="M206" s="31"/>
      <c r="N206" s="32"/>
      <c r="O206" s="24"/>
      <c r="P206" s="33"/>
      <c r="Q206" s="34" t="s">
        <v>477</v>
      </c>
      <c r="R206" s="35"/>
      <c r="S206" s="36"/>
      <c r="T206" s="37"/>
      <c r="U206" s="38"/>
      <c r="V206" s="22"/>
    </row>
    <row r="207" spans="1:22" x14ac:dyDescent="0.25">
      <c r="A207" s="166"/>
      <c r="B207" s="148" t="s">
        <v>414</v>
      </c>
      <c r="C207" s="33"/>
      <c r="D207" s="49" t="s">
        <v>604</v>
      </c>
      <c r="E207" s="47"/>
      <c r="F207" s="24" t="s">
        <v>605</v>
      </c>
      <c r="G207" s="25" t="s">
        <v>605</v>
      </c>
      <c r="H207" s="26"/>
      <c r="I207" s="27"/>
      <c r="J207" s="28"/>
      <c r="K207" s="29" t="s">
        <v>606</v>
      </c>
      <c r="L207" s="30"/>
      <c r="M207" s="31" t="s">
        <v>609</v>
      </c>
      <c r="N207" s="32" t="s">
        <v>608</v>
      </c>
      <c r="O207" s="24"/>
      <c r="P207" s="33"/>
      <c r="Q207" s="34" t="s">
        <v>178</v>
      </c>
      <c r="R207" s="35" t="s">
        <v>607</v>
      </c>
      <c r="S207" s="52">
        <v>1.42</v>
      </c>
      <c r="T207" s="37"/>
      <c r="U207" s="38"/>
      <c r="V207" s="22"/>
    </row>
    <row r="208" spans="1:22" x14ac:dyDescent="0.25">
      <c r="A208" s="166"/>
      <c r="B208" s="148" t="s">
        <v>415</v>
      </c>
      <c r="C208" s="33" t="s">
        <v>627</v>
      </c>
      <c r="D208" s="142" t="s">
        <v>596</v>
      </c>
      <c r="E208" s="47"/>
      <c r="F208" s="24" t="s">
        <v>597</v>
      </c>
      <c r="G208" s="25" t="s">
        <v>597</v>
      </c>
      <c r="H208" s="26"/>
      <c r="I208" s="27"/>
      <c r="J208" s="28"/>
      <c r="K208" s="29" t="s">
        <v>598</v>
      </c>
      <c r="L208" s="30"/>
      <c r="M208" s="31"/>
      <c r="N208" s="32"/>
      <c r="O208" s="24"/>
      <c r="P208" s="33"/>
      <c r="Q208" s="34" t="s">
        <v>477</v>
      </c>
      <c r="R208" s="35"/>
      <c r="S208" s="36"/>
      <c r="T208" s="37"/>
      <c r="U208" s="38"/>
      <c r="V208" s="22"/>
    </row>
    <row r="209" spans="1:22" x14ac:dyDescent="0.25">
      <c r="A209" s="166"/>
      <c r="B209" s="148" t="s">
        <v>416</v>
      </c>
      <c r="C209" s="33"/>
      <c r="D209" s="49" t="s">
        <v>610</v>
      </c>
      <c r="E209" s="47"/>
      <c r="F209" s="24" t="s">
        <v>611</v>
      </c>
      <c r="G209" s="25" t="s">
        <v>611</v>
      </c>
      <c r="H209" s="26"/>
      <c r="I209" s="27"/>
      <c r="J209" s="28"/>
      <c r="K209" s="29" t="s">
        <v>611</v>
      </c>
      <c r="L209" s="30"/>
      <c r="M209" s="31"/>
      <c r="N209" s="32"/>
      <c r="O209" s="24"/>
      <c r="P209" s="33"/>
      <c r="Q209" s="34" t="s">
        <v>178</v>
      </c>
      <c r="R209" s="35" t="s">
        <v>612</v>
      </c>
      <c r="S209" s="52">
        <v>16.75</v>
      </c>
      <c r="T209" s="37"/>
      <c r="U209" s="38"/>
      <c r="V209" s="22"/>
    </row>
    <row r="210" spans="1:22" x14ac:dyDescent="0.2">
      <c r="A210" s="166"/>
      <c r="B210" s="148" t="s">
        <v>417</v>
      </c>
      <c r="C210" s="185"/>
      <c r="D210" s="49" t="s">
        <v>618</v>
      </c>
      <c r="E210" s="47" t="s">
        <v>43</v>
      </c>
      <c r="F210" s="155" t="s">
        <v>619</v>
      </c>
      <c r="G210" s="25" t="s">
        <v>620</v>
      </c>
      <c r="H210" s="26"/>
      <c r="I210" s="27">
        <v>1</v>
      </c>
      <c r="J210" s="28"/>
      <c r="K210" s="29" t="s">
        <v>619</v>
      </c>
      <c r="L210" s="30"/>
      <c r="M210" s="31"/>
      <c r="N210" s="32"/>
      <c r="O210" s="24"/>
      <c r="P210" s="33"/>
      <c r="Q210" s="34" t="s">
        <v>178</v>
      </c>
      <c r="R210" s="35" t="s">
        <v>621</v>
      </c>
      <c r="S210" s="52">
        <v>6.86</v>
      </c>
      <c r="T210" s="111">
        <f t="shared" ref="T210:T211" si="2">S210*I210</f>
        <v>6.86</v>
      </c>
      <c r="U210" s="38"/>
      <c r="V210" s="22"/>
    </row>
    <row r="211" spans="1:22" x14ac:dyDescent="0.2">
      <c r="A211" s="166"/>
      <c r="B211" s="148" t="s">
        <v>418</v>
      </c>
      <c r="C211" s="185"/>
      <c r="D211" s="49" t="s">
        <v>618</v>
      </c>
      <c r="E211" s="47" t="s">
        <v>43</v>
      </c>
      <c r="F211" s="155" t="s">
        <v>619</v>
      </c>
      <c r="G211" s="25" t="s">
        <v>620</v>
      </c>
      <c r="H211" s="26"/>
      <c r="I211" s="27">
        <v>1</v>
      </c>
      <c r="J211" s="28"/>
      <c r="K211" s="29" t="s">
        <v>619</v>
      </c>
      <c r="L211" s="30"/>
      <c r="M211" s="31"/>
      <c r="N211" s="32"/>
      <c r="O211" s="24"/>
      <c r="P211" s="33"/>
      <c r="Q211" s="34" t="s">
        <v>178</v>
      </c>
      <c r="R211" s="35" t="s">
        <v>621</v>
      </c>
      <c r="S211" s="52">
        <v>6.86</v>
      </c>
      <c r="T211" s="111">
        <f t="shared" si="2"/>
        <v>6.86</v>
      </c>
      <c r="U211" s="38"/>
      <c r="V211" s="22"/>
    </row>
    <row r="212" spans="1:22" x14ac:dyDescent="0.25">
      <c r="A212" s="166"/>
      <c r="B212" s="148" t="s">
        <v>419</v>
      </c>
      <c r="C212" s="33"/>
      <c r="D212" s="49" t="s">
        <v>625</v>
      </c>
      <c r="E212" s="47"/>
      <c r="F212" s="24" t="s">
        <v>622</v>
      </c>
      <c r="G212" s="25" t="s">
        <v>622</v>
      </c>
      <c r="H212" s="26"/>
      <c r="I212" s="27"/>
      <c r="J212" s="28"/>
      <c r="K212" s="29" t="s">
        <v>623</v>
      </c>
      <c r="L212" s="30"/>
      <c r="M212" s="31"/>
      <c r="N212" s="32"/>
      <c r="O212" s="24"/>
      <c r="P212" s="33"/>
      <c r="Q212" s="34" t="s">
        <v>178</v>
      </c>
      <c r="R212" s="35" t="s">
        <v>624</v>
      </c>
      <c r="S212" s="36"/>
      <c r="T212" s="37"/>
      <c r="U212" s="38"/>
      <c r="V212" s="22"/>
    </row>
    <row r="213" spans="1:22" x14ac:dyDescent="0.25">
      <c r="A213" s="166"/>
      <c r="B213" s="148" t="s">
        <v>420</v>
      </c>
      <c r="C213" s="33"/>
      <c r="D213" s="49" t="s">
        <v>625</v>
      </c>
      <c r="E213" s="47"/>
      <c r="F213" s="24" t="s">
        <v>622</v>
      </c>
      <c r="G213" s="25" t="s">
        <v>622</v>
      </c>
      <c r="H213" s="26"/>
      <c r="I213" s="27"/>
      <c r="J213" s="28"/>
      <c r="K213" s="29" t="s">
        <v>623</v>
      </c>
      <c r="L213" s="30"/>
      <c r="M213" s="31"/>
      <c r="N213" s="32"/>
      <c r="O213" s="24"/>
      <c r="P213" s="33"/>
      <c r="Q213" s="34" t="s">
        <v>178</v>
      </c>
      <c r="R213" s="35" t="s">
        <v>624</v>
      </c>
      <c r="S213" s="36"/>
      <c r="T213" s="37"/>
      <c r="U213" s="38"/>
      <c r="V213" s="22"/>
    </row>
    <row r="214" spans="1:22" x14ac:dyDescent="0.25">
      <c r="A214" s="166"/>
      <c r="B214" s="148" t="s">
        <v>421</v>
      </c>
      <c r="C214" s="33" t="s">
        <v>629</v>
      </c>
      <c r="D214" s="142"/>
      <c r="E214" s="47"/>
      <c r="F214" s="24" t="s">
        <v>592</v>
      </c>
      <c r="G214" s="25" t="s">
        <v>592</v>
      </c>
      <c r="H214" s="26"/>
      <c r="I214" s="27"/>
      <c r="J214" s="28"/>
      <c r="K214" s="29" t="s">
        <v>592</v>
      </c>
      <c r="L214" s="30"/>
      <c r="M214" s="31"/>
      <c r="N214" s="32"/>
      <c r="O214" s="24"/>
      <c r="P214" s="33"/>
      <c r="Q214" s="34" t="s">
        <v>477</v>
      </c>
      <c r="R214" s="35"/>
      <c r="S214" s="36"/>
      <c r="T214" s="37"/>
      <c r="U214" s="38"/>
      <c r="V214" s="22"/>
    </row>
    <row r="215" spans="1:22" x14ac:dyDescent="0.2">
      <c r="A215" s="166"/>
      <c r="B215" s="148" t="s">
        <v>422</v>
      </c>
      <c r="C215" s="185"/>
      <c r="D215" s="49" t="s">
        <v>618</v>
      </c>
      <c r="E215" s="47" t="s">
        <v>43</v>
      </c>
      <c r="F215" s="155" t="s">
        <v>619</v>
      </c>
      <c r="G215" s="25" t="s">
        <v>620</v>
      </c>
      <c r="H215" s="26"/>
      <c r="I215" s="27">
        <v>1</v>
      </c>
      <c r="J215" s="28"/>
      <c r="K215" s="29" t="s">
        <v>619</v>
      </c>
      <c r="L215" s="30"/>
      <c r="M215" s="31"/>
      <c r="N215" s="32"/>
      <c r="O215" s="24"/>
      <c r="P215" s="33"/>
      <c r="Q215" s="34" t="s">
        <v>178</v>
      </c>
      <c r="R215" s="35" t="s">
        <v>621</v>
      </c>
      <c r="S215" s="52">
        <v>6.86</v>
      </c>
      <c r="T215" s="111">
        <f t="shared" ref="T215:T216" si="3">S215*I215</f>
        <v>6.86</v>
      </c>
      <c r="U215" s="38"/>
      <c r="V215" s="22"/>
    </row>
    <row r="216" spans="1:22" x14ac:dyDescent="0.2">
      <c r="A216" s="166"/>
      <c r="B216" s="148" t="s">
        <v>423</v>
      </c>
      <c r="C216" s="185"/>
      <c r="D216" s="49" t="s">
        <v>618</v>
      </c>
      <c r="E216" s="47" t="s">
        <v>43</v>
      </c>
      <c r="F216" s="155" t="s">
        <v>619</v>
      </c>
      <c r="G216" s="25" t="s">
        <v>620</v>
      </c>
      <c r="H216" s="26"/>
      <c r="I216" s="27">
        <v>1</v>
      </c>
      <c r="J216" s="28"/>
      <c r="K216" s="29" t="s">
        <v>619</v>
      </c>
      <c r="L216" s="30"/>
      <c r="M216" s="31"/>
      <c r="N216" s="32"/>
      <c r="O216" s="24"/>
      <c r="P216" s="33"/>
      <c r="Q216" s="34" t="s">
        <v>178</v>
      </c>
      <c r="R216" s="35" t="s">
        <v>621</v>
      </c>
      <c r="S216" s="52">
        <v>6.86</v>
      </c>
      <c r="T216" s="111">
        <f t="shared" si="3"/>
        <v>6.86</v>
      </c>
      <c r="U216" s="38"/>
      <c r="V216" s="22"/>
    </row>
    <row r="217" spans="1:22" x14ac:dyDescent="0.25">
      <c r="C217" s="33"/>
      <c r="D217" s="142"/>
      <c r="E217" s="47"/>
      <c r="F217" s="24"/>
      <c r="G217" s="25"/>
      <c r="H217" s="26"/>
      <c r="I217" s="27"/>
      <c r="J217" s="28"/>
      <c r="K217" s="29"/>
      <c r="L217" s="30"/>
      <c r="M217" s="31"/>
      <c r="N217" s="32"/>
      <c r="O217" s="24"/>
      <c r="P217" s="33"/>
      <c r="Q217" s="34"/>
      <c r="R217" s="35"/>
      <c r="S217" s="36"/>
      <c r="T217" s="37"/>
      <c r="U217" s="38"/>
      <c r="V217" s="22"/>
    </row>
    <row r="218" spans="1:22" x14ac:dyDescent="0.25">
      <c r="C218" s="33"/>
      <c r="D218" s="142"/>
      <c r="E218" s="47"/>
      <c r="F218" s="24"/>
      <c r="G218" s="25"/>
      <c r="H218" s="26"/>
      <c r="I218" s="27"/>
      <c r="J218" s="28"/>
      <c r="K218" s="29"/>
      <c r="L218" s="30"/>
      <c r="M218" s="31"/>
      <c r="N218" s="32"/>
      <c r="O218" s="24"/>
      <c r="P218" s="33"/>
      <c r="Q218" s="34"/>
      <c r="R218" s="35"/>
      <c r="S218" s="36"/>
      <c r="T218" s="37"/>
      <c r="U218" s="38"/>
      <c r="V218" s="22"/>
    </row>
    <row r="219" spans="1:22" x14ac:dyDescent="0.25">
      <c r="C219" s="33"/>
      <c r="D219" s="142"/>
      <c r="E219" s="47"/>
      <c r="F219" s="24"/>
      <c r="G219" s="25"/>
      <c r="H219" s="26"/>
      <c r="I219" s="27"/>
      <c r="J219" s="28"/>
      <c r="K219" s="29"/>
      <c r="L219" s="30"/>
      <c r="M219" s="31"/>
      <c r="N219" s="32"/>
      <c r="O219" s="24"/>
      <c r="P219" s="33"/>
      <c r="Q219" s="34"/>
      <c r="R219" s="35"/>
      <c r="S219" s="36"/>
      <c r="T219" s="37"/>
      <c r="U219" s="38"/>
      <c r="V219" s="22"/>
    </row>
    <row r="220" spans="1:22" x14ac:dyDescent="0.25">
      <c r="C220" s="33"/>
      <c r="D220" s="142"/>
      <c r="E220" s="47"/>
      <c r="F220" s="24"/>
      <c r="G220" s="25"/>
      <c r="H220" s="26"/>
      <c r="I220" s="27"/>
      <c r="J220" s="28"/>
      <c r="K220" s="29"/>
      <c r="L220" s="30"/>
      <c r="M220" s="31"/>
      <c r="N220" s="32"/>
      <c r="O220" s="24"/>
      <c r="P220" s="33"/>
      <c r="Q220" s="34"/>
      <c r="R220" s="35"/>
      <c r="S220" s="36"/>
      <c r="T220" s="37"/>
      <c r="U220" s="38"/>
      <c r="V220" s="22"/>
    </row>
    <row r="221" spans="1:22" x14ac:dyDescent="0.25">
      <c r="C221" s="33"/>
      <c r="D221" s="142"/>
      <c r="E221" s="47"/>
      <c r="F221" s="24"/>
      <c r="G221" s="25"/>
      <c r="H221" s="26"/>
      <c r="I221" s="27"/>
      <c r="J221" s="28"/>
      <c r="K221" s="29"/>
      <c r="L221" s="30"/>
      <c r="M221" s="31"/>
      <c r="N221" s="32"/>
      <c r="O221" s="24"/>
      <c r="P221" s="33"/>
      <c r="Q221" s="34"/>
      <c r="R221" s="35"/>
      <c r="S221" s="36"/>
      <c r="T221" s="37"/>
      <c r="U221" s="38"/>
      <c r="V221" s="22"/>
    </row>
    <row r="222" spans="1:22" x14ac:dyDescent="0.25">
      <c r="C222" s="33"/>
      <c r="D222" s="142"/>
      <c r="E222" s="47"/>
      <c r="F222" s="24"/>
      <c r="G222" s="25"/>
      <c r="H222" s="26"/>
      <c r="I222" s="27"/>
      <c r="J222" s="28"/>
      <c r="K222" s="29"/>
      <c r="L222" s="30"/>
      <c r="M222" s="31"/>
      <c r="N222" s="32"/>
      <c r="O222" s="24"/>
      <c r="P222" s="33"/>
      <c r="Q222" s="34"/>
      <c r="R222" s="35"/>
      <c r="S222" s="36"/>
      <c r="T222" s="37"/>
      <c r="U222" s="38"/>
      <c r="V222" s="22"/>
    </row>
    <row r="223" spans="1:22" x14ac:dyDescent="0.25">
      <c r="C223" s="33"/>
      <c r="D223" s="142"/>
      <c r="E223" s="47"/>
      <c r="F223" s="24"/>
      <c r="G223" s="25"/>
      <c r="H223" s="26"/>
      <c r="I223" s="27"/>
      <c r="J223" s="28"/>
      <c r="K223" s="29"/>
      <c r="L223" s="30"/>
      <c r="M223" s="31"/>
      <c r="N223" s="32"/>
      <c r="O223" s="24"/>
      <c r="P223" s="33"/>
      <c r="Q223" s="34"/>
      <c r="R223" s="35"/>
      <c r="S223" s="36"/>
      <c r="T223" s="37"/>
      <c r="U223" s="38"/>
      <c r="V223" s="22"/>
    </row>
    <row r="224" spans="1:22" x14ac:dyDescent="0.25">
      <c r="C224" s="33"/>
      <c r="D224" s="142"/>
      <c r="E224" s="47"/>
      <c r="F224" s="24"/>
      <c r="G224" s="25"/>
      <c r="H224" s="26"/>
      <c r="I224" s="27"/>
      <c r="J224" s="28"/>
      <c r="K224" s="29"/>
      <c r="L224" s="30"/>
      <c r="M224" s="31"/>
      <c r="N224" s="32"/>
      <c r="O224" s="24"/>
      <c r="P224" s="33"/>
      <c r="Q224" s="34"/>
      <c r="R224" s="35"/>
      <c r="S224" s="36"/>
      <c r="T224" s="37"/>
      <c r="U224" s="38"/>
      <c r="V224" s="22"/>
    </row>
    <row r="225" spans="3:22" x14ac:dyDescent="0.25">
      <c r="C225" s="33"/>
      <c r="D225" s="142"/>
      <c r="E225" s="47"/>
      <c r="F225" s="24"/>
      <c r="G225" s="25"/>
      <c r="H225" s="26"/>
      <c r="I225" s="27"/>
      <c r="J225" s="28"/>
      <c r="K225" s="29"/>
      <c r="L225" s="30"/>
      <c r="M225" s="31"/>
      <c r="N225" s="32"/>
      <c r="O225" s="24"/>
      <c r="P225" s="33"/>
      <c r="Q225" s="34"/>
      <c r="R225" s="35"/>
      <c r="S225" s="36"/>
      <c r="T225" s="37"/>
      <c r="U225" s="38"/>
      <c r="V225" s="22"/>
    </row>
    <row r="226" spans="3:22" x14ac:dyDescent="0.25">
      <c r="C226" s="33"/>
      <c r="D226" s="142"/>
      <c r="E226" s="47"/>
      <c r="F226" s="24"/>
      <c r="G226" s="25"/>
      <c r="H226" s="26"/>
      <c r="I226" s="27"/>
      <c r="J226" s="28"/>
      <c r="K226" s="29"/>
      <c r="L226" s="30"/>
      <c r="M226" s="31"/>
      <c r="N226" s="32"/>
      <c r="O226" s="24"/>
      <c r="P226" s="33"/>
      <c r="Q226" s="34"/>
      <c r="R226" s="35"/>
      <c r="S226" s="36"/>
      <c r="T226" s="37"/>
      <c r="U226" s="38"/>
      <c r="V226" s="22"/>
    </row>
    <row r="227" spans="3:22" x14ac:dyDescent="0.25">
      <c r="C227" s="33"/>
      <c r="D227" s="142"/>
      <c r="E227" s="47"/>
      <c r="F227" s="24"/>
      <c r="G227" s="25"/>
      <c r="H227" s="26"/>
      <c r="I227" s="27"/>
      <c r="J227" s="28"/>
      <c r="K227" s="29"/>
      <c r="L227" s="30"/>
      <c r="M227" s="31"/>
      <c r="N227" s="32"/>
      <c r="O227" s="24"/>
      <c r="P227" s="33"/>
      <c r="Q227" s="34"/>
      <c r="R227" s="35"/>
      <c r="S227" s="36"/>
      <c r="T227" s="37"/>
      <c r="U227" s="38"/>
      <c r="V227" s="22"/>
    </row>
    <row r="228" spans="3:22" x14ac:dyDescent="0.25">
      <c r="C228" s="33"/>
      <c r="D228" s="142"/>
      <c r="E228" s="47"/>
      <c r="F228" s="24"/>
      <c r="G228" s="25"/>
      <c r="H228" s="26"/>
      <c r="I228" s="27"/>
      <c r="J228" s="28"/>
      <c r="K228" s="29"/>
      <c r="L228" s="30"/>
      <c r="M228" s="31"/>
      <c r="N228" s="32"/>
      <c r="O228" s="24"/>
      <c r="P228" s="33"/>
      <c r="Q228" s="34"/>
      <c r="R228" s="35"/>
      <c r="S228" s="36"/>
      <c r="T228" s="37"/>
      <c r="U228" s="38"/>
      <c r="V228" s="22"/>
    </row>
    <row r="229" spans="3:22" x14ac:dyDescent="0.25">
      <c r="C229" s="33"/>
      <c r="D229" s="142"/>
      <c r="E229" s="47"/>
      <c r="F229" s="24"/>
      <c r="G229" s="25"/>
      <c r="H229" s="26"/>
      <c r="I229" s="27"/>
      <c r="J229" s="28"/>
      <c r="K229" s="29"/>
      <c r="L229" s="30"/>
      <c r="M229" s="31"/>
      <c r="N229" s="32"/>
      <c r="O229" s="24"/>
      <c r="P229" s="33"/>
      <c r="Q229" s="34"/>
      <c r="R229" s="35"/>
      <c r="S229" s="36"/>
      <c r="T229" s="37"/>
      <c r="U229" s="38"/>
      <c r="V229" s="22"/>
    </row>
    <row r="230" spans="3:22" x14ac:dyDescent="0.25">
      <c r="C230" s="33"/>
      <c r="D230" s="142"/>
      <c r="E230" s="47"/>
      <c r="F230" s="24"/>
      <c r="G230" s="25"/>
      <c r="H230" s="26"/>
      <c r="I230" s="27"/>
      <c r="J230" s="28"/>
      <c r="K230" s="29"/>
      <c r="L230" s="30"/>
      <c r="M230" s="31"/>
      <c r="N230" s="32"/>
      <c r="O230" s="24"/>
      <c r="P230" s="33"/>
      <c r="Q230" s="34"/>
      <c r="R230" s="35"/>
      <c r="S230" s="36"/>
      <c r="T230" s="37"/>
      <c r="U230" s="38"/>
      <c r="V230" s="22"/>
    </row>
    <row r="231" spans="3:22" x14ac:dyDescent="0.25">
      <c r="C231" s="33"/>
      <c r="D231" s="142"/>
      <c r="E231" s="47"/>
      <c r="F231" s="24"/>
      <c r="G231" s="25"/>
      <c r="H231" s="26"/>
      <c r="I231" s="27"/>
      <c r="J231" s="28"/>
      <c r="K231" s="29"/>
      <c r="L231" s="30"/>
      <c r="M231" s="31"/>
      <c r="N231" s="32"/>
      <c r="O231" s="24"/>
      <c r="P231" s="33"/>
      <c r="Q231" s="34"/>
      <c r="R231" s="35"/>
      <c r="S231" s="36"/>
      <c r="T231" s="37"/>
      <c r="U231" s="38"/>
      <c r="V231" s="22"/>
    </row>
    <row r="232" spans="3:22" x14ac:dyDescent="0.25">
      <c r="C232" s="33"/>
      <c r="D232" s="142"/>
      <c r="E232" s="47"/>
      <c r="F232" s="24"/>
      <c r="G232" s="25"/>
      <c r="H232" s="26"/>
      <c r="I232" s="27"/>
      <c r="J232" s="28"/>
      <c r="K232" s="29"/>
      <c r="L232" s="30"/>
      <c r="M232" s="31"/>
      <c r="N232" s="32"/>
      <c r="O232" s="24"/>
      <c r="P232" s="33"/>
      <c r="Q232" s="34"/>
      <c r="R232" s="35"/>
      <c r="S232" s="36"/>
      <c r="T232" s="37"/>
      <c r="U232" s="38"/>
      <c r="V232" s="22"/>
    </row>
    <row r="233" spans="3:22" x14ac:dyDescent="0.25">
      <c r="C233" s="33"/>
      <c r="D233" s="142"/>
      <c r="E233" s="47"/>
      <c r="F233" s="24"/>
      <c r="G233" s="25"/>
      <c r="H233" s="26"/>
      <c r="I233" s="27"/>
      <c r="J233" s="28"/>
      <c r="K233" s="29"/>
      <c r="L233" s="30"/>
      <c r="M233" s="31"/>
      <c r="N233" s="32"/>
      <c r="O233" s="24"/>
      <c r="P233" s="33"/>
      <c r="Q233" s="34"/>
      <c r="R233" s="35"/>
      <c r="S233" s="36"/>
      <c r="T233" s="37"/>
      <c r="U233" s="38"/>
      <c r="V233" s="22"/>
    </row>
    <row r="234" spans="3:22" x14ac:dyDescent="0.25">
      <c r="C234" s="33"/>
      <c r="D234" s="142"/>
      <c r="E234" s="47"/>
      <c r="F234" s="24"/>
      <c r="G234" s="25"/>
      <c r="H234" s="26"/>
      <c r="I234" s="27"/>
      <c r="J234" s="28"/>
      <c r="K234" s="29"/>
      <c r="L234" s="30"/>
      <c r="M234" s="31"/>
      <c r="N234" s="32"/>
      <c r="O234" s="24"/>
      <c r="P234" s="33"/>
      <c r="Q234" s="34"/>
      <c r="R234" s="35"/>
      <c r="S234" s="36"/>
      <c r="T234" s="37"/>
      <c r="U234" s="38"/>
      <c r="V234" s="22"/>
    </row>
    <row r="235" spans="3:22" x14ac:dyDescent="0.25">
      <c r="C235" s="33"/>
      <c r="D235" s="142"/>
      <c r="E235" s="47"/>
      <c r="F235" s="24"/>
      <c r="G235" s="25"/>
      <c r="H235" s="26"/>
      <c r="I235" s="27"/>
      <c r="J235" s="28"/>
      <c r="K235" s="29"/>
      <c r="L235" s="30"/>
      <c r="M235" s="31"/>
      <c r="N235" s="32"/>
      <c r="O235" s="24"/>
      <c r="P235" s="33"/>
      <c r="Q235" s="34"/>
      <c r="R235" s="35"/>
      <c r="S235" s="36"/>
      <c r="T235" s="37"/>
      <c r="U235" s="38"/>
      <c r="V235" s="22"/>
    </row>
    <row r="236" spans="3:22" x14ac:dyDescent="0.25">
      <c r="C236" s="33"/>
      <c r="D236" s="142"/>
      <c r="E236" s="47"/>
      <c r="F236" s="24"/>
      <c r="G236" s="25"/>
      <c r="H236" s="26"/>
      <c r="I236" s="27"/>
      <c r="J236" s="28"/>
      <c r="K236" s="29"/>
      <c r="L236" s="30"/>
      <c r="M236" s="31"/>
      <c r="N236" s="32"/>
      <c r="O236" s="24"/>
      <c r="P236" s="33"/>
      <c r="Q236" s="34"/>
      <c r="R236" s="35"/>
      <c r="S236" s="36"/>
      <c r="T236" s="37"/>
      <c r="U236" s="38"/>
      <c r="V236" s="22"/>
    </row>
    <row r="237" spans="3:22" x14ac:dyDescent="0.25">
      <c r="C237" s="33"/>
      <c r="D237" s="142"/>
      <c r="E237" s="47"/>
      <c r="F237" s="24"/>
      <c r="G237" s="25"/>
      <c r="H237" s="26"/>
      <c r="I237" s="27"/>
      <c r="J237" s="28"/>
      <c r="K237" s="29"/>
      <c r="L237" s="30"/>
      <c r="M237" s="31"/>
      <c r="N237" s="32"/>
      <c r="O237" s="24"/>
      <c r="P237" s="33"/>
      <c r="Q237" s="34"/>
      <c r="R237" s="35"/>
      <c r="S237" s="36"/>
      <c r="T237" s="37"/>
      <c r="U237" s="38"/>
      <c r="V237" s="22"/>
    </row>
    <row r="238" spans="3:22" x14ac:dyDescent="0.25">
      <c r="C238" s="33"/>
      <c r="D238" s="142"/>
      <c r="E238" s="47"/>
      <c r="F238" s="24"/>
      <c r="G238" s="25"/>
      <c r="H238" s="26"/>
      <c r="I238" s="27"/>
      <c r="J238" s="28"/>
      <c r="K238" s="29"/>
      <c r="L238" s="30"/>
      <c r="M238" s="31"/>
      <c r="N238" s="32"/>
      <c r="O238" s="24"/>
      <c r="P238" s="33"/>
      <c r="Q238" s="34"/>
      <c r="R238" s="35"/>
      <c r="S238" s="36"/>
      <c r="T238" s="37"/>
      <c r="U238" s="38"/>
      <c r="V238" s="22"/>
    </row>
    <row r="239" spans="3:22" x14ac:dyDescent="0.25">
      <c r="C239" s="33"/>
      <c r="D239" s="142"/>
      <c r="E239" s="47"/>
      <c r="F239" s="24"/>
      <c r="G239" s="25"/>
      <c r="H239" s="26"/>
      <c r="I239" s="27"/>
      <c r="J239" s="28"/>
      <c r="K239" s="29"/>
      <c r="L239" s="30"/>
      <c r="M239" s="31"/>
      <c r="N239" s="32"/>
      <c r="O239" s="24"/>
      <c r="P239" s="33"/>
      <c r="Q239" s="34"/>
      <c r="R239" s="35"/>
      <c r="S239" s="36"/>
      <c r="T239" s="37"/>
      <c r="U239" s="38"/>
      <c r="V239" s="22"/>
    </row>
    <row r="240" spans="3:22" x14ac:dyDescent="0.25">
      <c r="C240" s="33"/>
      <c r="D240" s="142"/>
      <c r="E240" s="47"/>
      <c r="F240" s="24"/>
      <c r="G240" s="25"/>
      <c r="H240" s="26"/>
      <c r="I240" s="27"/>
      <c r="J240" s="28"/>
      <c r="K240" s="29"/>
      <c r="L240" s="30"/>
      <c r="M240" s="31"/>
      <c r="N240" s="32"/>
      <c r="O240" s="24"/>
      <c r="P240" s="33"/>
      <c r="Q240" s="34"/>
      <c r="R240" s="35"/>
      <c r="S240" s="36"/>
      <c r="T240" s="37"/>
      <c r="U240" s="38"/>
      <c r="V240" s="22"/>
    </row>
    <row r="241" spans="3:22" x14ac:dyDescent="0.25">
      <c r="C241" s="33"/>
      <c r="D241" s="142"/>
      <c r="E241" s="47"/>
      <c r="F241" s="24"/>
      <c r="G241" s="25"/>
      <c r="H241" s="26"/>
      <c r="I241" s="27"/>
      <c r="J241" s="28"/>
      <c r="K241" s="29"/>
      <c r="L241" s="30"/>
      <c r="M241" s="31"/>
      <c r="N241" s="32"/>
      <c r="O241" s="24"/>
      <c r="P241" s="33"/>
      <c r="Q241" s="34"/>
      <c r="R241" s="35"/>
      <c r="S241" s="36"/>
      <c r="T241" s="37"/>
      <c r="U241" s="38"/>
      <c r="V241" s="22"/>
    </row>
    <row r="242" spans="3:22" x14ac:dyDescent="0.25">
      <c r="C242" s="33"/>
      <c r="D242" s="142"/>
      <c r="E242" s="47"/>
      <c r="F242" s="24"/>
      <c r="G242" s="25"/>
      <c r="H242" s="26"/>
      <c r="I242" s="27"/>
      <c r="J242" s="28"/>
      <c r="K242" s="29"/>
      <c r="L242" s="30"/>
      <c r="M242" s="31"/>
      <c r="N242" s="32"/>
      <c r="O242" s="24"/>
      <c r="P242" s="33"/>
      <c r="Q242" s="34"/>
      <c r="R242" s="35"/>
      <c r="S242" s="36"/>
      <c r="T242" s="37"/>
      <c r="U242" s="38"/>
      <c r="V242" s="22"/>
    </row>
    <row r="243" spans="3:22" x14ac:dyDescent="0.25">
      <c r="C243" s="33"/>
      <c r="D243" s="142"/>
      <c r="E243" s="45"/>
      <c r="F243" s="24"/>
      <c r="G243" s="25"/>
      <c r="H243" s="26"/>
      <c r="I243" s="27"/>
      <c r="J243" s="28"/>
      <c r="K243" s="29"/>
      <c r="L243" s="30"/>
      <c r="M243" s="31"/>
      <c r="N243" s="32"/>
      <c r="O243" s="24"/>
      <c r="P243" s="33"/>
      <c r="Q243" s="34"/>
      <c r="R243" s="35"/>
      <c r="S243" s="36"/>
      <c r="T243" s="37"/>
      <c r="U243" s="38"/>
      <c r="V243" s="22"/>
    </row>
    <row r="244" spans="3:22" x14ac:dyDescent="0.25">
      <c r="C244" s="33"/>
      <c r="D244" s="142"/>
      <c r="E244" s="45"/>
      <c r="F244" s="24"/>
      <c r="G244" s="25"/>
      <c r="H244" s="26"/>
      <c r="I244" s="27"/>
      <c r="J244" s="28"/>
      <c r="K244" s="29"/>
      <c r="L244" s="30"/>
      <c r="M244" s="31"/>
      <c r="N244" s="32"/>
      <c r="O244" s="24"/>
      <c r="P244" s="33"/>
      <c r="Q244" s="34"/>
      <c r="R244" s="35"/>
      <c r="S244" s="36"/>
      <c r="T244" s="37"/>
      <c r="U244" s="38"/>
      <c r="V244" s="22"/>
    </row>
    <row r="245" spans="3:22" x14ac:dyDescent="0.25">
      <c r="C245" s="33"/>
      <c r="D245" s="142"/>
      <c r="E245" s="45"/>
      <c r="F245" s="24"/>
      <c r="G245" s="25"/>
      <c r="H245" s="26"/>
      <c r="I245" s="27"/>
      <c r="J245" s="28"/>
      <c r="K245" s="29"/>
      <c r="L245" s="30"/>
      <c r="M245" s="31"/>
      <c r="N245" s="32"/>
      <c r="O245" s="24"/>
      <c r="P245" s="33"/>
      <c r="Q245" s="34"/>
      <c r="R245" s="35"/>
      <c r="S245" s="36"/>
      <c r="T245" s="37"/>
      <c r="U245" s="38"/>
      <c r="V245" s="22"/>
    </row>
    <row r="246" spans="3:22" x14ac:dyDescent="0.25">
      <c r="C246" s="33"/>
      <c r="D246" s="142"/>
      <c r="E246" s="45"/>
      <c r="F246" s="24"/>
      <c r="G246" s="25"/>
      <c r="H246" s="26"/>
      <c r="I246" s="27"/>
      <c r="J246" s="28"/>
      <c r="K246" s="29"/>
      <c r="L246" s="30"/>
      <c r="M246" s="31"/>
      <c r="N246" s="32"/>
      <c r="O246" s="24"/>
      <c r="P246" s="33"/>
      <c r="Q246" s="34"/>
      <c r="R246" s="35"/>
      <c r="S246" s="36"/>
      <c r="T246" s="37"/>
      <c r="U246" s="38"/>
      <c r="V246" s="22"/>
    </row>
    <row r="247" spans="3:22" x14ac:dyDescent="0.25">
      <c r="C247" s="33"/>
      <c r="D247" s="142"/>
      <c r="E247" s="45"/>
      <c r="F247" s="24"/>
      <c r="G247" s="25"/>
      <c r="H247" s="26"/>
      <c r="I247" s="27"/>
      <c r="J247" s="28"/>
      <c r="K247" s="29"/>
      <c r="L247" s="30"/>
      <c r="M247" s="31"/>
      <c r="N247" s="32"/>
      <c r="O247" s="24"/>
      <c r="P247" s="33"/>
      <c r="Q247" s="34"/>
      <c r="R247" s="35"/>
      <c r="S247" s="36"/>
      <c r="T247" s="37"/>
      <c r="U247" s="38"/>
      <c r="V247" s="22"/>
    </row>
    <row r="248" spans="3:22" x14ac:dyDescent="0.25">
      <c r="C248" s="33"/>
      <c r="D248" s="142"/>
      <c r="E248" s="45"/>
      <c r="F248" s="24"/>
      <c r="G248" s="25"/>
      <c r="H248" s="26"/>
      <c r="I248" s="27"/>
      <c r="J248" s="28"/>
      <c r="K248" s="29"/>
      <c r="L248" s="30"/>
      <c r="M248" s="31"/>
      <c r="N248" s="32"/>
      <c r="O248" s="24"/>
      <c r="P248" s="33"/>
      <c r="Q248" s="34"/>
      <c r="R248" s="35"/>
      <c r="S248" s="36"/>
      <c r="T248" s="37"/>
      <c r="U248" s="38"/>
      <c r="V248" s="22"/>
    </row>
    <row r="249" spans="3:22" x14ac:dyDescent="0.25">
      <c r="C249" s="33"/>
      <c r="D249" s="142"/>
      <c r="E249" s="45"/>
      <c r="F249" s="24"/>
      <c r="G249" s="25"/>
      <c r="H249" s="26"/>
      <c r="I249" s="27"/>
      <c r="J249" s="28"/>
      <c r="K249" s="29"/>
      <c r="L249" s="30"/>
      <c r="M249" s="31"/>
      <c r="N249" s="32"/>
      <c r="O249" s="24"/>
      <c r="P249" s="33"/>
      <c r="Q249" s="34"/>
      <c r="R249" s="35"/>
      <c r="S249" s="36"/>
      <c r="T249" s="37"/>
      <c r="U249" s="38"/>
      <c r="V249" s="22"/>
    </row>
    <row r="250" spans="3:22" x14ac:dyDescent="0.25">
      <c r="C250" s="33"/>
      <c r="D250" s="142"/>
      <c r="E250" s="45"/>
      <c r="F250" s="24"/>
      <c r="G250" s="25"/>
      <c r="H250" s="26"/>
      <c r="I250" s="27"/>
      <c r="J250" s="28"/>
      <c r="K250" s="29"/>
      <c r="L250" s="30"/>
      <c r="M250" s="31"/>
      <c r="N250" s="32"/>
      <c r="O250" s="24"/>
      <c r="P250" s="33"/>
      <c r="Q250" s="34"/>
      <c r="R250" s="35"/>
      <c r="S250" s="36"/>
      <c r="T250" s="37"/>
      <c r="U250" s="38"/>
      <c r="V250" s="22"/>
    </row>
    <row r="251" spans="3:22" x14ac:dyDescent="0.25">
      <c r="C251" s="33"/>
      <c r="D251" s="142"/>
      <c r="E251" s="45"/>
      <c r="F251" s="24"/>
      <c r="G251" s="25"/>
      <c r="H251" s="26"/>
      <c r="I251" s="27"/>
      <c r="J251" s="28"/>
      <c r="K251" s="29"/>
      <c r="L251" s="30"/>
      <c r="M251" s="31"/>
      <c r="N251" s="32"/>
      <c r="O251" s="24"/>
      <c r="P251" s="33"/>
      <c r="Q251" s="34"/>
      <c r="R251" s="35"/>
      <c r="S251" s="36"/>
      <c r="T251" s="37"/>
      <c r="U251" s="38"/>
      <c r="V251" s="22"/>
    </row>
    <row r="252" spans="3:22" x14ac:dyDescent="0.25">
      <c r="C252" s="33"/>
      <c r="D252" s="142"/>
      <c r="E252" s="45"/>
      <c r="F252" s="24"/>
      <c r="G252" s="25"/>
      <c r="H252" s="26"/>
      <c r="I252" s="27"/>
      <c r="J252" s="28"/>
      <c r="K252" s="29"/>
      <c r="L252" s="30"/>
      <c r="M252" s="31"/>
      <c r="N252" s="32"/>
      <c r="O252" s="24"/>
      <c r="P252" s="33"/>
      <c r="Q252" s="34"/>
      <c r="R252" s="35"/>
      <c r="S252" s="36"/>
      <c r="T252" s="37"/>
      <c r="U252" s="38"/>
      <c r="V252" s="22"/>
    </row>
    <row r="253" spans="3:22" x14ac:dyDescent="0.25">
      <c r="C253" s="33"/>
      <c r="D253" s="142"/>
      <c r="E253" s="45"/>
      <c r="F253" s="24"/>
      <c r="G253" s="25"/>
      <c r="H253" s="26"/>
      <c r="I253" s="27"/>
      <c r="J253" s="28"/>
      <c r="K253" s="29"/>
      <c r="L253" s="30"/>
      <c r="M253" s="31"/>
      <c r="N253" s="32"/>
      <c r="O253" s="24"/>
      <c r="P253" s="33"/>
      <c r="Q253" s="34"/>
      <c r="R253" s="35"/>
      <c r="S253" s="36"/>
      <c r="T253" s="37"/>
      <c r="U253" s="38"/>
      <c r="V253" s="22"/>
    </row>
    <row r="254" spans="3:22" x14ac:dyDescent="0.25">
      <c r="C254" s="33"/>
      <c r="D254" s="142"/>
      <c r="E254" s="45"/>
      <c r="F254" s="24"/>
      <c r="G254" s="25"/>
      <c r="H254" s="26"/>
      <c r="I254" s="27"/>
      <c r="J254" s="28"/>
      <c r="K254" s="29"/>
      <c r="L254" s="30"/>
      <c r="M254" s="31"/>
      <c r="N254" s="32"/>
      <c r="O254" s="24"/>
      <c r="P254" s="33"/>
      <c r="Q254" s="34"/>
      <c r="R254" s="35"/>
      <c r="S254" s="36"/>
      <c r="T254" s="37"/>
      <c r="U254" s="38"/>
      <c r="V254" s="22"/>
    </row>
    <row r="255" spans="3:22" x14ac:dyDescent="0.25">
      <c r="C255" s="33"/>
      <c r="D255" s="142"/>
      <c r="E255" s="45"/>
      <c r="F255" s="24"/>
      <c r="G255" s="25"/>
      <c r="H255" s="26"/>
      <c r="I255" s="27"/>
      <c r="J255" s="28"/>
      <c r="K255" s="29"/>
      <c r="L255" s="30"/>
      <c r="M255" s="31"/>
      <c r="N255" s="32"/>
      <c r="O255" s="24"/>
      <c r="P255" s="33"/>
      <c r="Q255" s="34"/>
      <c r="R255" s="35"/>
      <c r="S255" s="36"/>
      <c r="T255" s="37"/>
      <c r="U255" s="38"/>
      <c r="V255" s="22"/>
    </row>
    <row r="256" spans="3:22" x14ac:dyDescent="0.25">
      <c r="C256" s="33"/>
      <c r="D256" s="142"/>
      <c r="E256" s="45"/>
      <c r="F256" s="24"/>
      <c r="G256" s="25"/>
      <c r="H256" s="26"/>
      <c r="I256" s="27"/>
      <c r="J256" s="28"/>
      <c r="K256" s="29"/>
      <c r="L256" s="30"/>
      <c r="M256" s="31"/>
      <c r="N256" s="32"/>
      <c r="O256" s="24"/>
      <c r="P256" s="33"/>
      <c r="Q256" s="34"/>
      <c r="R256" s="35"/>
      <c r="S256" s="36"/>
      <c r="T256" s="37"/>
      <c r="U256" s="38"/>
      <c r="V256" s="22"/>
    </row>
    <row r="257" spans="3:22" x14ac:dyDescent="0.25">
      <c r="C257" s="33"/>
      <c r="D257" s="142"/>
      <c r="E257" s="45"/>
      <c r="F257" s="24"/>
      <c r="G257" s="25"/>
      <c r="H257" s="26"/>
      <c r="I257" s="27"/>
      <c r="J257" s="28"/>
      <c r="K257" s="29"/>
      <c r="L257" s="30"/>
      <c r="M257" s="31"/>
      <c r="N257" s="32"/>
      <c r="O257" s="24"/>
      <c r="P257" s="33"/>
      <c r="Q257" s="34"/>
      <c r="R257" s="35"/>
      <c r="S257" s="36"/>
      <c r="T257" s="37"/>
      <c r="U257" s="38"/>
      <c r="V257" s="22"/>
    </row>
    <row r="258" spans="3:22" x14ac:dyDescent="0.25">
      <c r="C258" s="33"/>
      <c r="D258" s="142"/>
      <c r="E258" s="45"/>
      <c r="F258" s="24"/>
      <c r="G258" s="25"/>
      <c r="H258" s="26"/>
      <c r="I258" s="27"/>
      <c r="J258" s="28"/>
      <c r="K258" s="29"/>
      <c r="L258" s="30"/>
      <c r="M258" s="31"/>
      <c r="N258" s="32"/>
      <c r="O258" s="24"/>
      <c r="P258" s="33"/>
      <c r="Q258" s="34"/>
      <c r="R258" s="35"/>
      <c r="S258" s="36"/>
      <c r="T258" s="37"/>
      <c r="U258" s="38"/>
      <c r="V258" s="22"/>
    </row>
    <row r="259" spans="3:22" x14ac:dyDescent="0.25">
      <c r="C259" s="33"/>
      <c r="D259" s="142"/>
      <c r="E259" s="45"/>
      <c r="F259" s="24"/>
      <c r="G259" s="25"/>
      <c r="H259" s="26"/>
      <c r="I259" s="27"/>
      <c r="J259" s="28"/>
      <c r="K259" s="29"/>
      <c r="L259" s="30"/>
      <c r="M259" s="31"/>
      <c r="N259" s="32"/>
      <c r="O259" s="24"/>
      <c r="P259" s="33"/>
      <c r="Q259" s="34"/>
      <c r="R259" s="35"/>
      <c r="S259" s="36"/>
      <c r="T259" s="37"/>
      <c r="U259" s="38"/>
      <c r="V259" s="22"/>
    </row>
    <row r="260" spans="3:22" x14ac:dyDescent="0.25">
      <c r="C260" s="33"/>
      <c r="D260" s="142"/>
      <c r="E260" s="45"/>
      <c r="F260" s="24"/>
      <c r="G260" s="25"/>
      <c r="H260" s="26"/>
      <c r="I260" s="27"/>
      <c r="J260" s="28"/>
      <c r="K260" s="29"/>
      <c r="L260" s="30"/>
      <c r="M260" s="31"/>
      <c r="N260" s="32"/>
      <c r="O260" s="24"/>
      <c r="P260" s="33"/>
      <c r="Q260" s="34"/>
      <c r="R260" s="35"/>
      <c r="S260" s="36"/>
      <c r="T260" s="37"/>
      <c r="U260" s="38"/>
      <c r="V260" s="22"/>
    </row>
    <row r="261" spans="3:22" x14ac:dyDescent="0.25">
      <c r="C261" s="33"/>
      <c r="D261" s="142"/>
      <c r="E261" s="45"/>
      <c r="F261" s="24"/>
      <c r="G261" s="25"/>
      <c r="H261" s="26"/>
      <c r="I261" s="27"/>
      <c r="J261" s="28"/>
      <c r="K261" s="29"/>
      <c r="L261" s="30"/>
      <c r="M261" s="31"/>
      <c r="N261" s="32"/>
      <c r="O261" s="24"/>
      <c r="P261" s="33"/>
      <c r="Q261" s="34"/>
      <c r="R261" s="35"/>
      <c r="S261" s="36"/>
      <c r="T261" s="37"/>
      <c r="U261" s="38"/>
      <c r="V261" s="22"/>
    </row>
    <row r="262" spans="3:22" x14ac:dyDescent="0.25">
      <c r="C262" s="33"/>
      <c r="D262" s="142"/>
      <c r="E262" s="45"/>
      <c r="F262" s="24"/>
      <c r="G262" s="25"/>
      <c r="H262" s="26"/>
      <c r="I262" s="27"/>
      <c r="J262" s="28"/>
      <c r="K262" s="29"/>
      <c r="L262" s="30"/>
      <c r="M262" s="31"/>
      <c r="N262" s="32"/>
      <c r="O262" s="24"/>
      <c r="P262" s="33"/>
      <c r="Q262" s="34"/>
      <c r="R262" s="35"/>
      <c r="S262" s="36"/>
      <c r="T262" s="37"/>
      <c r="U262" s="38"/>
      <c r="V262" s="22"/>
    </row>
    <row r="263" spans="3:22" x14ac:dyDescent="0.25">
      <c r="C263" s="33"/>
      <c r="D263" s="142"/>
      <c r="E263" s="45"/>
      <c r="F263" s="24"/>
      <c r="G263" s="25"/>
      <c r="H263" s="26"/>
      <c r="I263" s="27"/>
      <c r="J263" s="28"/>
      <c r="K263" s="29"/>
      <c r="L263" s="30"/>
      <c r="M263" s="31"/>
      <c r="N263" s="32"/>
      <c r="O263" s="24"/>
      <c r="P263" s="33"/>
      <c r="Q263" s="34"/>
      <c r="R263" s="35"/>
      <c r="S263" s="36"/>
      <c r="T263" s="37"/>
      <c r="U263" s="38"/>
      <c r="V263" s="22"/>
    </row>
    <row r="264" spans="3:22" x14ac:dyDescent="0.25">
      <c r="C264" s="33"/>
      <c r="D264" s="142"/>
      <c r="E264" s="45"/>
      <c r="F264" s="24"/>
      <c r="G264" s="25"/>
      <c r="H264" s="26"/>
      <c r="I264" s="27"/>
      <c r="J264" s="28"/>
      <c r="K264" s="29"/>
      <c r="L264" s="30"/>
      <c r="M264" s="31"/>
      <c r="N264" s="32"/>
      <c r="O264" s="24"/>
      <c r="P264" s="33"/>
      <c r="Q264" s="34"/>
      <c r="R264" s="35"/>
      <c r="S264" s="36"/>
      <c r="T264" s="37"/>
      <c r="U264" s="38"/>
      <c r="V264" s="22"/>
    </row>
    <row r="265" spans="3:22" x14ac:dyDescent="0.25">
      <c r="C265" s="33"/>
      <c r="D265" s="142"/>
      <c r="E265" s="45"/>
      <c r="F265" s="24"/>
      <c r="G265" s="25"/>
      <c r="H265" s="26"/>
      <c r="I265" s="27"/>
      <c r="J265" s="28"/>
      <c r="K265" s="29"/>
      <c r="L265" s="30"/>
      <c r="M265" s="31"/>
      <c r="N265" s="32"/>
      <c r="O265" s="24"/>
      <c r="P265" s="33"/>
      <c r="Q265" s="34"/>
      <c r="R265" s="35"/>
      <c r="S265" s="36"/>
      <c r="T265" s="37"/>
      <c r="U265" s="38"/>
      <c r="V265" s="22"/>
    </row>
    <row r="266" spans="3:22" x14ac:dyDescent="0.25">
      <c r="C266" s="33"/>
      <c r="D266" s="142"/>
      <c r="E266" s="45"/>
      <c r="F266" s="24"/>
      <c r="G266" s="25"/>
      <c r="H266" s="26"/>
      <c r="I266" s="27"/>
      <c r="J266" s="28"/>
      <c r="K266" s="29"/>
      <c r="L266" s="30"/>
      <c r="M266" s="31"/>
      <c r="N266" s="32"/>
      <c r="O266" s="24"/>
      <c r="P266" s="33"/>
      <c r="Q266" s="34"/>
      <c r="R266" s="35"/>
      <c r="S266" s="36"/>
      <c r="T266" s="37"/>
      <c r="U266" s="38"/>
      <c r="V266" s="22"/>
    </row>
    <row r="267" spans="3:22" x14ac:dyDescent="0.25">
      <c r="C267" s="33"/>
      <c r="D267" s="142"/>
      <c r="E267" s="45"/>
      <c r="F267" s="24"/>
      <c r="G267" s="25"/>
      <c r="H267" s="26"/>
      <c r="I267" s="27"/>
      <c r="J267" s="28"/>
      <c r="K267" s="29"/>
      <c r="L267" s="30"/>
      <c r="M267" s="31"/>
      <c r="N267" s="32"/>
      <c r="O267" s="24"/>
      <c r="P267" s="33"/>
      <c r="Q267" s="34"/>
      <c r="R267" s="35"/>
      <c r="S267" s="36"/>
      <c r="T267" s="37"/>
      <c r="U267" s="38"/>
      <c r="V267" s="22"/>
    </row>
    <row r="268" spans="3:22" x14ac:dyDescent="0.25">
      <c r="C268" s="33"/>
      <c r="D268" s="142"/>
      <c r="E268" s="45"/>
      <c r="F268" s="24"/>
      <c r="G268" s="25"/>
      <c r="H268" s="26"/>
      <c r="I268" s="27"/>
      <c r="J268" s="28"/>
      <c r="K268" s="29"/>
      <c r="L268" s="30"/>
      <c r="M268" s="31"/>
      <c r="N268" s="32"/>
      <c r="O268" s="24"/>
      <c r="P268" s="33"/>
      <c r="Q268" s="34"/>
      <c r="R268" s="35"/>
      <c r="S268" s="36"/>
      <c r="T268" s="37"/>
      <c r="U268" s="38"/>
      <c r="V268" s="22"/>
    </row>
    <row r="269" spans="3:22" x14ac:dyDescent="0.25">
      <c r="C269" s="33"/>
      <c r="D269" s="142"/>
      <c r="E269" s="45"/>
      <c r="F269" s="24"/>
      <c r="G269" s="25"/>
      <c r="H269" s="26"/>
      <c r="I269" s="27"/>
      <c r="J269" s="28"/>
      <c r="K269" s="29"/>
      <c r="L269" s="30"/>
      <c r="M269" s="31"/>
      <c r="N269" s="32"/>
      <c r="O269" s="24"/>
      <c r="P269" s="33"/>
      <c r="Q269" s="34"/>
      <c r="R269" s="35"/>
      <c r="S269" s="36"/>
      <c r="T269" s="37"/>
      <c r="U269" s="38"/>
      <c r="V269" s="22"/>
    </row>
    <row r="270" spans="3:22" x14ac:dyDescent="0.25">
      <c r="C270" s="33"/>
      <c r="D270" s="142"/>
      <c r="E270" s="45"/>
      <c r="F270" s="24"/>
      <c r="G270" s="25"/>
      <c r="H270" s="26"/>
      <c r="I270" s="27"/>
      <c r="J270" s="28"/>
      <c r="K270" s="29"/>
      <c r="L270" s="30"/>
      <c r="M270" s="31"/>
      <c r="N270" s="32"/>
      <c r="O270" s="24"/>
      <c r="P270" s="33"/>
      <c r="Q270" s="34"/>
      <c r="R270" s="35"/>
      <c r="S270" s="36"/>
      <c r="T270" s="37"/>
      <c r="U270" s="38"/>
      <c r="V270" s="22"/>
    </row>
    <row r="271" spans="3:22" x14ac:dyDescent="0.25">
      <c r="C271" s="33"/>
      <c r="D271" s="142"/>
      <c r="E271" s="45"/>
      <c r="F271" s="24"/>
      <c r="G271" s="25"/>
      <c r="H271" s="26"/>
      <c r="I271" s="27"/>
      <c r="J271" s="28"/>
      <c r="K271" s="29"/>
      <c r="L271" s="30"/>
      <c r="M271" s="31"/>
      <c r="N271" s="32"/>
      <c r="O271" s="24"/>
      <c r="P271" s="33"/>
      <c r="Q271" s="34"/>
      <c r="R271" s="35"/>
      <c r="S271" s="36"/>
      <c r="T271" s="37"/>
      <c r="U271" s="38"/>
      <c r="V271" s="22"/>
    </row>
    <row r="272" spans="3:22" x14ac:dyDescent="0.25">
      <c r="C272" s="33"/>
      <c r="D272" s="142"/>
      <c r="E272" s="45"/>
      <c r="F272" s="24"/>
      <c r="G272" s="25"/>
      <c r="H272" s="26"/>
      <c r="I272" s="27"/>
      <c r="J272" s="28"/>
      <c r="K272" s="29"/>
      <c r="L272" s="30"/>
      <c r="M272" s="31"/>
      <c r="N272" s="32"/>
      <c r="O272" s="24"/>
      <c r="P272" s="33"/>
      <c r="Q272" s="34"/>
      <c r="R272" s="35"/>
      <c r="S272" s="36"/>
      <c r="T272" s="37"/>
      <c r="U272" s="38"/>
      <c r="V272" s="22"/>
    </row>
    <row r="273" spans="3:22" x14ac:dyDescent="0.25">
      <c r="C273" s="33"/>
      <c r="D273" s="142"/>
      <c r="E273" s="45"/>
      <c r="F273" s="24"/>
      <c r="G273" s="25"/>
      <c r="H273" s="26"/>
      <c r="I273" s="27"/>
      <c r="J273" s="28"/>
      <c r="K273" s="29"/>
      <c r="L273" s="30"/>
      <c r="M273" s="31"/>
      <c r="N273" s="32"/>
      <c r="O273" s="24"/>
      <c r="P273" s="33"/>
      <c r="Q273" s="34"/>
      <c r="R273" s="35"/>
      <c r="S273" s="36"/>
      <c r="T273" s="37"/>
      <c r="U273" s="38"/>
      <c r="V273" s="22"/>
    </row>
    <row r="274" spans="3:22" x14ac:dyDescent="0.25">
      <c r="C274" s="33"/>
      <c r="D274" s="142"/>
      <c r="E274" s="45"/>
      <c r="F274" s="24"/>
      <c r="G274" s="25"/>
      <c r="H274" s="26"/>
      <c r="I274" s="27"/>
      <c r="J274" s="28"/>
      <c r="K274" s="29"/>
      <c r="L274" s="30"/>
      <c r="M274" s="31"/>
      <c r="N274" s="32"/>
      <c r="O274" s="24"/>
      <c r="P274" s="33"/>
      <c r="Q274" s="34"/>
      <c r="R274" s="35"/>
      <c r="S274" s="36"/>
      <c r="T274" s="37"/>
      <c r="U274" s="38"/>
      <c r="V274" s="22"/>
    </row>
    <row r="275" spans="3:22" x14ac:dyDescent="0.25">
      <c r="C275" s="33"/>
      <c r="D275" s="142"/>
      <c r="E275" s="45"/>
      <c r="F275" s="24"/>
      <c r="G275" s="25"/>
      <c r="H275" s="26"/>
      <c r="I275" s="27"/>
      <c r="J275" s="28"/>
      <c r="K275" s="29"/>
      <c r="L275" s="30"/>
      <c r="M275" s="31"/>
      <c r="N275" s="32"/>
      <c r="O275" s="24"/>
      <c r="P275" s="33"/>
      <c r="Q275" s="34"/>
      <c r="R275" s="35"/>
      <c r="S275" s="36"/>
      <c r="T275" s="37"/>
      <c r="U275" s="38"/>
      <c r="V275" s="22"/>
    </row>
    <row r="276" spans="3:22" x14ac:dyDescent="0.25">
      <c r="C276" s="33"/>
      <c r="D276" s="142"/>
      <c r="E276" s="45"/>
      <c r="F276" s="24"/>
      <c r="G276" s="25"/>
      <c r="H276" s="26"/>
      <c r="I276" s="27"/>
      <c r="J276" s="28"/>
      <c r="K276" s="29"/>
      <c r="L276" s="30"/>
      <c r="M276" s="31"/>
      <c r="N276" s="32"/>
      <c r="O276" s="24"/>
      <c r="P276" s="33"/>
      <c r="Q276" s="34"/>
      <c r="R276" s="35"/>
      <c r="S276" s="36"/>
      <c r="T276" s="37"/>
      <c r="U276" s="38"/>
      <c r="V276" s="22"/>
    </row>
    <row r="277" spans="3:22" x14ac:dyDescent="0.25">
      <c r="C277" s="33"/>
      <c r="D277" s="142"/>
      <c r="E277" s="45"/>
      <c r="F277" s="24"/>
      <c r="G277" s="25"/>
      <c r="H277" s="26"/>
      <c r="I277" s="27"/>
      <c r="J277" s="28"/>
      <c r="K277" s="29"/>
      <c r="L277" s="30"/>
      <c r="M277" s="31"/>
      <c r="N277" s="32"/>
      <c r="O277" s="24"/>
      <c r="P277" s="33"/>
      <c r="Q277" s="34"/>
      <c r="R277" s="35"/>
      <c r="S277" s="36"/>
      <c r="T277" s="37"/>
      <c r="U277" s="38"/>
      <c r="V277" s="22"/>
    </row>
    <row r="278" spans="3:22" x14ac:dyDescent="0.25">
      <c r="C278" s="33"/>
      <c r="D278" s="142"/>
      <c r="E278" s="45"/>
      <c r="F278" s="24"/>
      <c r="G278" s="25"/>
      <c r="H278" s="26"/>
      <c r="I278" s="27"/>
      <c r="J278" s="28"/>
      <c r="K278" s="29"/>
      <c r="L278" s="30"/>
      <c r="M278" s="31"/>
      <c r="N278" s="32"/>
      <c r="O278" s="24"/>
      <c r="P278" s="33"/>
      <c r="Q278" s="34"/>
      <c r="R278" s="35"/>
      <c r="S278" s="36"/>
      <c r="T278" s="37"/>
      <c r="U278" s="38"/>
      <c r="V278" s="22"/>
    </row>
    <row r="279" spans="3:22" x14ac:dyDescent="0.25">
      <c r="C279" s="33"/>
      <c r="D279" s="142"/>
      <c r="E279" s="45"/>
      <c r="F279" s="24"/>
      <c r="G279" s="25"/>
      <c r="H279" s="26"/>
      <c r="I279" s="27"/>
      <c r="J279" s="28"/>
      <c r="K279" s="29"/>
      <c r="L279" s="30"/>
      <c r="M279" s="31"/>
      <c r="N279" s="32"/>
      <c r="O279" s="24"/>
      <c r="P279" s="33"/>
      <c r="Q279" s="34"/>
      <c r="R279" s="35"/>
      <c r="S279" s="36"/>
      <c r="T279" s="37"/>
      <c r="U279" s="38"/>
      <c r="V279" s="22"/>
    </row>
    <row r="280" spans="3:22" x14ac:dyDescent="0.25">
      <c r="C280" s="33"/>
      <c r="D280" s="142"/>
      <c r="E280" s="45"/>
      <c r="F280" s="24"/>
      <c r="G280" s="25"/>
      <c r="H280" s="26"/>
      <c r="I280" s="27"/>
      <c r="J280" s="28"/>
      <c r="K280" s="29"/>
      <c r="L280" s="30"/>
      <c r="M280" s="31"/>
      <c r="N280" s="32"/>
      <c r="O280" s="24"/>
      <c r="P280" s="33"/>
      <c r="Q280" s="34"/>
      <c r="R280" s="35"/>
      <c r="S280" s="36"/>
      <c r="T280" s="37"/>
      <c r="U280" s="38"/>
      <c r="V280" s="22"/>
    </row>
    <row r="281" spans="3:22" x14ac:dyDescent="0.25">
      <c r="C281" s="33"/>
      <c r="D281" s="142"/>
      <c r="E281" s="45"/>
      <c r="F281" s="24"/>
      <c r="G281" s="25"/>
      <c r="H281" s="26"/>
      <c r="I281" s="27"/>
      <c r="J281" s="28"/>
      <c r="K281" s="29"/>
      <c r="L281" s="30"/>
      <c r="M281" s="31"/>
      <c r="N281" s="32"/>
      <c r="O281" s="24"/>
      <c r="P281" s="33"/>
      <c r="Q281" s="34"/>
      <c r="R281" s="35"/>
      <c r="S281" s="36"/>
      <c r="T281" s="37"/>
      <c r="U281" s="38"/>
      <c r="V281" s="22"/>
    </row>
    <row r="282" spans="3:22" x14ac:dyDescent="0.25">
      <c r="C282" s="33"/>
      <c r="D282" s="142"/>
      <c r="E282" s="45"/>
      <c r="F282" s="24"/>
      <c r="G282" s="25"/>
      <c r="H282" s="26"/>
      <c r="I282" s="27"/>
      <c r="J282" s="28"/>
      <c r="K282" s="29"/>
      <c r="L282" s="30"/>
      <c r="M282" s="31"/>
      <c r="N282" s="32"/>
      <c r="O282" s="24"/>
      <c r="P282" s="33"/>
      <c r="Q282" s="34"/>
      <c r="R282" s="35"/>
      <c r="S282" s="36"/>
      <c r="T282" s="37"/>
      <c r="U282" s="38"/>
      <c r="V282" s="22"/>
    </row>
    <row r="283" spans="3:22" x14ac:dyDescent="0.25">
      <c r="C283" s="33"/>
      <c r="D283" s="142"/>
      <c r="E283" s="45"/>
      <c r="F283" s="24"/>
      <c r="G283" s="25"/>
      <c r="H283" s="26"/>
      <c r="I283" s="27"/>
      <c r="J283" s="28"/>
      <c r="K283" s="29"/>
      <c r="L283" s="30"/>
      <c r="M283" s="31"/>
      <c r="N283" s="32"/>
      <c r="O283" s="24"/>
      <c r="P283" s="33"/>
      <c r="Q283" s="34"/>
      <c r="R283" s="35"/>
      <c r="S283" s="36"/>
      <c r="T283" s="37"/>
      <c r="U283" s="38"/>
      <c r="V283" s="22"/>
    </row>
    <row r="284" spans="3:22" x14ac:dyDescent="0.25">
      <c r="C284" s="33"/>
      <c r="D284" s="142"/>
      <c r="E284" s="45"/>
      <c r="F284" s="24"/>
      <c r="G284" s="25"/>
      <c r="H284" s="26"/>
      <c r="I284" s="27"/>
      <c r="J284" s="28"/>
      <c r="K284" s="29"/>
      <c r="L284" s="30"/>
      <c r="M284" s="31"/>
      <c r="N284" s="32"/>
      <c r="O284" s="24"/>
      <c r="P284" s="33"/>
      <c r="Q284" s="34"/>
      <c r="R284" s="35"/>
      <c r="S284" s="36"/>
      <c r="T284" s="37"/>
      <c r="U284" s="38"/>
      <c r="V284" s="22"/>
    </row>
    <row r="285" spans="3:22" x14ac:dyDescent="0.25">
      <c r="C285" s="33"/>
      <c r="D285" s="142"/>
      <c r="E285" s="45"/>
      <c r="F285" s="24"/>
      <c r="G285" s="25"/>
      <c r="H285" s="26"/>
      <c r="I285" s="27"/>
      <c r="J285" s="28"/>
      <c r="K285" s="29"/>
      <c r="L285" s="30"/>
      <c r="M285" s="31"/>
      <c r="N285" s="32"/>
      <c r="O285" s="24"/>
      <c r="P285" s="33"/>
      <c r="Q285" s="34"/>
      <c r="R285" s="35"/>
      <c r="S285" s="36"/>
      <c r="T285" s="37"/>
      <c r="U285" s="38"/>
      <c r="V285" s="22"/>
    </row>
    <row r="286" spans="3:22" x14ac:dyDescent="0.25">
      <c r="C286" s="33"/>
      <c r="D286" s="142"/>
      <c r="E286" s="45"/>
      <c r="F286" s="24"/>
      <c r="G286" s="25"/>
      <c r="H286" s="26"/>
      <c r="I286" s="27"/>
      <c r="J286" s="28"/>
      <c r="K286" s="29"/>
      <c r="L286" s="30"/>
      <c r="M286" s="31"/>
      <c r="N286" s="32"/>
      <c r="O286" s="24"/>
      <c r="P286" s="33"/>
      <c r="Q286" s="34"/>
      <c r="R286" s="35"/>
      <c r="S286" s="36"/>
      <c r="T286" s="37"/>
      <c r="U286" s="38"/>
      <c r="V286" s="22"/>
    </row>
    <row r="287" spans="3:22" x14ac:dyDescent="0.25">
      <c r="C287" s="33"/>
      <c r="D287" s="142"/>
      <c r="E287" s="45"/>
      <c r="F287" s="24"/>
      <c r="G287" s="25"/>
      <c r="H287" s="26"/>
      <c r="I287" s="27"/>
      <c r="J287" s="28"/>
      <c r="K287" s="29"/>
      <c r="L287" s="30"/>
      <c r="M287" s="31"/>
      <c r="N287" s="32"/>
      <c r="O287" s="24"/>
      <c r="P287" s="33"/>
      <c r="Q287" s="34"/>
      <c r="R287" s="35"/>
      <c r="S287" s="36"/>
      <c r="T287" s="37"/>
      <c r="U287" s="38"/>
      <c r="V287" s="22"/>
    </row>
    <row r="288" spans="3:22" x14ac:dyDescent="0.25">
      <c r="C288" s="33"/>
      <c r="D288" s="142"/>
      <c r="E288" s="45"/>
      <c r="F288" s="24"/>
      <c r="G288" s="25"/>
      <c r="H288" s="26"/>
      <c r="I288" s="27"/>
      <c r="J288" s="28"/>
      <c r="K288" s="29"/>
      <c r="L288" s="30"/>
      <c r="M288" s="31"/>
      <c r="N288" s="32"/>
      <c r="O288" s="24"/>
      <c r="P288" s="33"/>
      <c r="Q288" s="34"/>
      <c r="R288" s="35"/>
      <c r="S288" s="36"/>
      <c r="T288" s="37"/>
      <c r="U288" s="38"/>
      <c r="V288" s="22"/>
    </row>
    <row r="289" spans="3:22" x14ac:dyDescent="0.25">
      <c r="C289" s="33"/>
      <c r="D289" s="142"/>
      <c r="E289" s="45"/>
      <c r="F289" s="24"/>
      <c r="G289" s="25"/>
      <c r="H289" s="26"/>
      <c r="I289" s="27"/>
      <c r="J289" s="28"/>
      <c r="K289" s="29"/>
      <c r="L289" s="30"/>
      <c r="M289" s="31"/>
      <c r="N289" s="32"/>
      <c r="O289" s="24"/>
      <c r="P289" s="33"/>
      <c r="Q289" s="34"/>
      <c r="R289" s="35"/>
      <c r="S289" s="36"/>
      <c r="T289" s="37"/>
      <c r="U289" s="38"/>
      <c r="V289" s="22"/>
    </row>
    <row r="290" spans="3:22" x14ac:dyDescent="0.25">
      <c r="C290" s="33"/>
      <c r="D290" s="142"/>
      <c r="E290" s="45"/>
      <c r="F290" s="24"/>
      <c r="G290" s="25"/>
      <c r="H290" s="26"/>
      <c r="I290" s="27"/>
      <c r="J290" s="28"/>
      <c r="K290" s="29"/>
      <c r="L290" s="30"/>
      <c r="M290" s="31"/>
      <c r="N290" s="32"/>
      <c r="O290" s="24"/>
      <c r="P290" s="33"/>
      <c r="Q290" s="34"/>
      <c r="R290" s="35"/>
      <c r="S290" s="36"/>
      <c r="T290" s="37"/>
      <c r="U290" s="38"/>
      <c r="V290" s="22"/>
    </row>
    <row r="291" spans="3:22" x14ac:dyDescent="0.25">
      <c r="C291" s="33"/>
      <c r="D291" s="142"/>
      <c r="E291" s="45"/>
      <c r="F291" s="24"/>
      <c r="G291" s="25"/>
      <c r="H291" s="26"/>
      <c r="I291" s="27"/>
      <c r="J291" s="28"/>
      <c r="K291" s="29"/>
      <c r="L291" s="30"/>
      <c r="M291" s="31"/>
      <c r="N291" s="32"/>
      <c r="O291" s="24"/>
      <c r="P291" s="33"/>
      <c r="Q291" s="34"/>
      <c r="R291" s="35"/>
      <c r="S291" s="36"/>
      <c r="T291" s="37"/>
      <c r="U291" s="38"/>
      <c r="V291" s="22"/>
    </row>
    <row r="292" spans="3:22" x14ac:dyDescent="0.25">
      <c r="C292" s="33"/>
      <c r="D292" s="142"/>
      <c r="E292" s="45"/>
      <c r="F292" s="24"/>
      <c r="G292" s="25"/>
      <c r="H292" s="26"/>
      <c r="I292" s="27"/>
      <c r="J292" s="28"/>
      <c r="K292" s="29"/>
      <c r="L292" s="30"/>
      <c r="M292" s="31"/>
      <c r="N292" s="32"/>
      <c r="O292" s="24"/>
      <c r="P292" s="33"/>
      <c r="Q292" s="34"/>
      <c r="R292" s="35"/>
      <c r="S292" s="36"/>
      <c r="T292" s="37"/>
      <c r="U292" s="38"/>
      <c r="V292" s="22"/>
    </row>
    <row r="293" spans="3:22" x14ac:dyDescent="0.25">
      <c r="C293" s="33"/>
      <c r="D293" s="142"/>
      <c r="E293" s="45"/>
      <c r="F293" s="24"/>
      <c r="G293" s="25"/>
      <c r="H293" s="26"/>
      <c r="I293" s="27"/>
      <c r="J293" s="28"/>
      <c r="K293" s="29"/>
      <c r="L293" s="30"/>
      <c r="M293" s="31"/>
      <c r="N293" s="32"/>
      <c r="O293" s="24"/>
      <c r="P293" s="33"/>
      <c r="Q293" s="34"/>
      <c r="R293" s="35"/>
      <c r="S293" s="36"/>
      <c r="T293" s="37"/>
      <c r="U293" s="38"/>
      <c r="V293" s="22"/>
    </row>
    <row r="294" spans="3:22" x14ac:dyDescent="0.25">
      <c r="C294" s="33"/>
      <c r="D294" s="142"/>
      <c r="E294" s="45"/>
      <c r="F294" s="24"/>
      <c r="G294" s="25"/>
      <c r="H294" s="26"/>
      <c r="I294" s="27"/>
      <c r="J294" s="28"/>
      <c r="K294" s="29"/>
      <c r="L294" s="30"/>
      <c r="M294" s="31"/>
      <c r="N294" s="32"/>
      <c r="O294" s="24"/>
      <c r="P294" s="33"/>
      <c r="Q294" s="34"/>
      <c r="R294" s="35"/>
      <c r="S294" s="36"/>
      <c r="T294" s="37"/>
      <c r="U294" s="38"/>
      <c r="V294" s="22"/>
    </row>
    <row r="295" spans="3:22" x14ac:dyDescent="0.25">
      <c r="C295" s="33"/>
      <c r="D295" s="142"/>
      <c r="E295" s="45"/>
      <c r="F295" s="24"/>
      <c r="G295" s="25"/>
      <c r="H295" s="26"/>
      <c r="I295" s="27"/>
      <c r="J295" s="28"/>
      <c r="K295" s="29"/>
      <c r="L295" s="30"/>
      <c r="M295" s="31"/>
      <c r="N295" s="32"/>
      <c r="O295" s="24"/>
      <c r="P295" s="33"/>
      <c r="Q295" s="34"/>
      <c r="R295" s="35"/>
      <c r="S295" s="36"/>
      <c r="T295" s="37"/>
      <c r="U295" s="38"/>
      <c r="V295" s="22"/>
    </row>
    <row r="296" spans="3:22" x14ac:dyDescent="0.25">
      <c r="C296" s="33"/>
      <c r="D296" s="142"/>
      <c r="E296" s="45"/>
      <c r="F296" s="24"/>
      <c r="G296" s="25"/>
      <c r="H296" s="26"/>
      <c r="I296" s="27"/>
      <c r="J296" s="28"/>
      <c r="K296" s="29"/>
      <c r="L296" s="30"/>
      <c r="M296" s="31"/>
      <c r="N296" s="32"/>
      <c r="O296" s="24"/>
      <c r="P296" s="33"/>
      <c r="Q296" s="34"/>
      <c r="R296" s="35"/>
      <c r="S296" s="36"/>
      <c r="T296" s="37"/>
      <c r="U296" s="38"/>
      <c r="V296" s="22"/>
    </row>
    <row r="297" spans="3:22" x14ac:dyDescent="0.25">
      <c r="C297" s="33"/>
      <c r="D297" s="142"/>
      <c r="E297" s="45"/>
      <c r="F297" s="24"/>
      <c r="G297" s="25"/>
      <c r="H297" s="26"/>
      <c r="I297" s="27"/>
      <c r="J297" s="28"/>
      <c r="K297" s="29"/>
      <c r="L297" s="30"/>
      <c r="M297" s="31"/>
      <c r="N297" s="32"/>
      <c r="O297" s="24"/>
      <c r="P297" s="33"/>
      <c r="Q297" s="34"/>
      <c r="R297" s="35"/>
      <c r="S297" s="36"/>
      <c r="T297" s="37"/>
      <c r="U297" s="38"/>
      <c r="V297" s="22"/>
    </row>
    <row r="298" spans="3:22" x14ac:dyDescent="0.25">
      <c r="C298" s="33"/>
      <c r="D298" s="142"/>
      <c r="E298" s="45"/>
      <c r="F298" s="24"/>
      <c r="G298" s="25"/>
      <c r="H298" s="26"/>
      <c r="I298" s="27"/>
      <c r="J298" s="28"/>
      <c r="K298" s="29"/>
      <c r="L298" s="30"/>
      <c r="M298" s="31"/>
      <c r="N298" s="32"/>
      <c r="O298" s="24"/>
      <c r="P298" s="33"/>
      <c r="Q298" s="34"/>
      <c r="R298" s="35"/>
      <c r="S298" s="36"/>
      <c r="T298" s="37"/>
      <c r="U298" s="38"/>
      <c r="V298" s="22"/>
    </row>
    <row r="299" spans="3:22" x14ac:dyDescent="0.25">
      <c r="C299" s="33"/>
      <c r="D299" s="142"/>
      <c r="E299" s="45"/>
      <c r="F299" s="24"/>
      <c r="G299" s="25"/>
      <c r="H299" s="26"/>
      <c r="I299" s="27"/>
      <c r="J299" s="28"/>
      <c r="K299" s="29"/>
      <c r="L299" s="30"/>
      <c r="M299" s="31"/>
      <c r="N299" s="32"/>
      <c r="O299" s="24"/>
      <c r="P299" s="33"/>
      <c r="Q299" s="34"/>
      <c r="R299" s="35"/>
      <c r="S299" s="36"/>
      <c r="T299" s="37"/>
      <c r="U299" s="38"/>
      <c r="V299" s="22"/>
    </row>
    <row r="300" spans="3:22" x14ac:dyDescent="0.25">
      <c r="C300" s="33"/>
      <c r="D300" s="142"/>
      <c r="E300" s="45"/>
      <c r="F300" s="24"/>
      <c r="G300" s="25"/>
      <c r="H300" s="26"/>
      <c r="I300" s="27"/>
      <c r="J300" s="28"/>
      <c r="K300" s="29"/>
      <c r="L300" s="30"/>
      <c r="M300" s="31"/>
      <c r="N300" s="32"/>
      <c r="O300" s="24"/>
      <c r="P300" s="33"/>
      <c r="Q300" s="34"/>
      <c r="R300" s="35"/>
      <c r="S300" s="36"/>
      <c r="T300" s="37"/>
      <c r="U300" s="38"/>
      <c r="V300" s="22"/>
    </row>
    <row r="301" spans="3:22" x14ac:dyDescent="0.25">
      <c r="C301" s="33"/>
      <c r="D301" s="142"/>
      <c r="E301" s="45"/>
      <c r="F301" s="24"/>
      <c r="G301" s="25"/>
      <c r="H301" s="26"/>
      <c r="I301" s="27"/>
      <c r="J301" s="28"/>
      <c r="K301" s="29"/>
      <c r="L301" s="30"/>
      <c r="M301" s="31"/>
      <c r="N301" s="32"/>
      <c r="O301" s="24"/>
      <c r="P301" s="33"/>
      <c r="Q301" s="34"/>
      <c r="R301" s="35"/>
      <c r="S301" s="36"/>
      <c r="T301" s="37"/>
      <c r="U301" s="38"/>
      <c r="V301" s="22"/>
    </row>
    <row r="302" spans="3:22" x14ac:dyDescent="0.25">
      <c r="C302" s="33"/>
      <c r="D302" s="142"/>
      <c r="E302" s="45"/>
      <c r="F302" s="24"/>
      <c r="G302" s="25"/>
      <c r="H302" s="26"/>
      <c r="I302" s="27"/>
      <c r="J302" s="28"/>
      <c r="K302" s="29"/>
      <c r="L302" s="30"/>
      <c r="M302" s="31"/>
      <c r="N302" s="32"/>
      <c r="O302" s="24"/>
      <c r="P302" s="33"/>
      <c r="Q302" s="34"/>
      <c r="R302" s="35"/>
      <c r="S302" s="36"/>
      <c r="T302" s="37"/>
      <c r="U302" s="38"/>
      <c r="V302" s="22"/>
    </row>
    <row r="303" spans="3:22" x14ac:dyDescent="0.25">
      <c r="C303" s="33"/>
      <c r="D303" s="142"/>
      <c r="E303" s="45"/>
      <c r="F303" s="24"/>
      <c r="G303" s="25"/>
      <c r="H303" s="26"/>
      <c r="I303" s="27"/>
      <c r="J303" s="28"/>
      <c r="K303" s="29"/>
      <c r="L303" s="30"/>
      <c r="M303" s="31"/>
      <c r="N303" s="32"/>
      <c r="O303" s="24"/>
      <c r="P303" s="33"/>
      <c r="Q303" s="34"/>
      <c r="R303" s="35"/>
      <c r="S303" s="36"/>
      <c r="T303" s="37"/>
      <c r="U303" s="38"/>
      <c r="V303" s="22"/>
    </row>
    <row r="304" spans="3:22" x14ac:dyDescent="0.25">
      <c r="C304" s="33"/>
      <c r="D304" s="142"/>
      <c r="E304" s="45"/>
      <c r="F304" s="24"/>
      <c r="G304" s="25"/>
      <c r="H304" s="26"/>
      <c r="I304" s="27"/>
      <c r="J304" s="28"/>
      <c r="K304" s="29"/>
      <c r="L304" s="30"/>
      <c r="M304" s="31"/>
      <c r="N304" s="32"/>
      <c r="O304" s="24"/>
      <c r="P304" s="33"/>
      <c r="Q304" s="34"/>
      <c r="R304" s="35"/>
      <c r="S304" s="36"/>
      <c r="T304" s="37"/>
      <c r="U304" s="38"/>
      <c r="V304" s="22"/>
    </row>
    <row r="305" spans="3:22" x14ac:dyDescent="0.25">
      <c r="C305" s="33"/>
      <c r="D305" s="142"/>
      <c r="E305" s="45"/>
      <c r="F305" s="24"/>
      <c r="G305" s="25"/>
      <c r="H305" s="26"/>
      <c r="I305" s="27"/>
      <c r="J305" s="28"/>
      <c r="K305" s="29"/>
      <c r="L305" s="30"/>
      <c r="M305" s="31"/>
      <c r="N305" s="32"/>
      <c r="O305" s="24"/>
      <c r="P305" s="33"/>
      <c r="Q305" s="34"/>
      <c r="R305" s="35"/>
      <c r="S305" s="36"/>
      <c r="T305" s="37"/>
      <c r="U305" s="38"/>
      <c r="V305" s="22"/>
    </row>
    <row r="306" spans="3:22" x14ac:dyDescent="0.25">
      <c r="C306" s="33"/>
      <c r="D306" s="142"/>
      <c r="E306" s="45"/>
      <c r="F306" s="24"/>
      <c r="G306" s="25"/>
      <c r="H306" s="26"/>
      <c r="I306" s="27"/>
      <c r="J306" s="28"/>
      <c r="K306" s="29"/>
      <c r="L306" s="30"/>
      <c r="M306" s="31"/>
      <c r="N306" s="32"/>
      <c r="O306" s="24"/>
      <c r="P306" s="33"/>
      <c r="Q306" s="34"/>
      <c r="R306" s="35"/>
      <c r="S306" s="36"/>
      <c r="T306" s="37"/>
      <c r="U306" s="38"/>
      <c r="V306" s="22"/>
    </row>
    <row r="307" spans="3:22" x14ac:dyDescent="0.25">
      <c r="C307" s="33"/>
      <c r="D307" s="142"/>
      <c r="E307" s="45"/>
      <c r="F307" s="24"/>
      <c r="G307" s="25"/>
      <c r="H307" s="26"/>
      <c r="I307" s="27"/>
      <c r="J307" s="28"/>
      <c r="K307" s="29"/>
      <c r="L307" s="30"/>
      <c r="M307" s="31"/>
      <c r="N307" s="32"/>
      <c r="O307" s="24"/>
      <c r="P307" s="33"/>
      <c r="Q307" s="34"/>
      <c r="R307" s="35"/>
      <c r="S307" s="36"/>
      <c r="T307" s="37"/>
      <c r="U307" s="38"/>
      <c r="V307" s="22"/>
    </row>
    <row r="308" spans="3:22" x14ac:dyDescent="0.25">
      <c r="C308" s="33"/>
      <c r="D308" s="142"/>
      <c r="E308" s="45"/>
      <c r="F308" s="24"/>
      <c r="G308" s="25"/>
      <c r="H308" s="26"/>
      <c r="I308" s="27"/>
      <c r="J308" s="28"/>
      <c r="K308" s="29"/>
      <c r="L308" s="30"/>
      <c r="M308" s="31"/>
      <c r="N308" s="32"/>
      <c r="O308" s="24"/>
      <c r="P308" s="33"/>
      <c r="Q308" s="34"/>
      <c r="R308" s="35"/>
      <c r="S308" s="36"/>
      <c r="T308" s="37"/>
      <c r="U308" s="38"/>
      <c r="V308" s="22"/>
    </row>
    <row r="309" spans="3:22" x14ac:dyDescent="0.25">
      <c r="C309" s="33"/>
      <c r="D309" s="142"/>
      <c r="E309" s="45"/>
      <c r="F309" s="24"/>
      <c r="G309" s="25"/>
      <c r="H309" s="26"/>
      <c r="I309" s="27"/>
      <c r="J309" s="28"/>
      <c r="K309" s="29"/>
      <c r="L309" s="30"/>
      <c r="M309" s="31"/>
      <c r="N309" s="32"/>
      <c r="O309" s="24"/>
      <c r="P309" s="33"/>
      <c r="Q309" s="34"/>
      <c r="R309" s="35"/>
      <c r="S309" s="36"/>
      <c r="T309" s="37"/>
      <c r="U309" s="38"/>
      <c r="V309" s="22"/>
    </row>
    <row r="310" spans="3:22" x14ac:dyDescent="0.25">
      <c r="C310" s="33"/>
      <c r="D310" s="142"/>
      <c r="E310" s="45"/>
      <c r="F310" s="24"/>
      <c r="G310" s="25"/>
      <c r="H310" s="26"/>
      <c r="I310" s="27"/>
      <c r="J310" s="28"/>
      <c r="K310" s="29"/>
      <c r="L310" s="30"/>
      <c r="M310" s="31"/>
      <c r="N310" s="32"/>
      <c r="O310" s="24"/>
      <c r="P310" s="33"/>
      <c r="Q310" s="34"/>
      <c r="R310" s="35"/>
      <c r="S310" s="36"/>
      <c r="T310" s="37"/>
      <c r="U310" s="38"/>
      <c r="V310" s="22"/>
    </row>
    <row r="311" spans="3:22" x14ac:dyDescent="0.25">
      <c r="C311" s="33"/>
      <c r="D311" s="142"/>
      <c r="E311" s="45"/>
      <c r="F311" s="24"/>
      <c r="G311" s="25"/>
      <c r="H311" s="26"/>
      <c r="I311" s="27"/>
      <c r="J311" s="28"/>
      <c r="K311" s="29"/>
      <c r="L311" s="30"/>
      <c r="M311" s="31"/>
      <c r="N311" s="32"/>
      <c r="O311" s="24"/>
      <c r="P311" s="33"/>
      <c r="Q311" s="34"/>
      <c r="R311" s="35"/>
      <c r="S311" s="36"/>
      <c r="T311" s="37"/>
      <c r="U311" s="38"/>
      <c r="V311" s="22"/>
    </row>
    <row r="312" spans="3:22" x14ac:dyDescent="0.25">
      <c r="C312" s="33"/>
      <c r="D312" s="142"/>
      <c r="E312" s="45"/>
      <c r="F312" s="24"/>
      <c r="G312" s="25"/>
      <c r="H312" s="26"/>
      <c r="I312" s="27"/>
      <c r="J312" s="28"/>
      <c r="K312" s="29"/>
      <c r="L312" s="30"/>
      <c r="M312" s="31"/>
      <c r="N312" s="32"/>
      <c r="O312" s="24"/>
      <c r="P312" s="33"/>
      <c r="Q312" s="34"/>
      <c r="R312" s="35"/>
      <c r="S312" s="36"/>
      <c r="T312" s="37"/>
      <c r="U312" s="38"/>
      <c r="V312" s="22"/>
    </row>
    <row r="313" spans="3:22" x14ac:dyDescent="0.25">
      <c r="C313" s="33"/>
      <c r="D313" s="142"/>
      <c r="E313" s="45"/>
      <c r="F313" s="24"/>
      <c r="G313" s="25"/>
      <c r="H313" s="26"/>
      <c r="I313" s="27"/>
      <c r="J313" s="28"/>
      <c r="K313" s="29"/>
      <c r="L313" s="30"/>
      <c r="M313" s="31"/>
      <c r="N313" s="32"/>
      <c r="O313" s="24"/>
      <c r="P313" s="33"/>
      <c r="Q313" s="34"/>
      <c r="R313" s="35"/>
      <c r="S313" s="36"/>
      <c r="T313" s="37"/>
      <c r="U313" s="38"/>
      <c r="V313" s="22"/>
    </row>
    <row r="314" spans="3:22" x14ac:dyDescent="0.25">
      <c r="C314" s="33"/>
      <c r="D314" s="142"/>
      <c r="E314" s="45"/>
      <c r="F314" s="24"/>
      <c r="G314" s="25"/>
      <c r="H314" s="26"/>
      <c r="I314" s="27"/>
      <c r="J314" s="28"/>
      <c r="K314" s="29"/>
      <c r="L314" s="30"/>
      <c r="M314" s="31"/>
      <c r="N314" s="32"/>
      <c r="O314" s="24"/>
      <c r="P314" s="33"/>
      <c r="Q314" s="34"/>
      <c r="R314" s="35"/>
      <c r="S314" s="36"/>
      <c r="T314" s="37"/>
      <c r="U314" s="38"/>
      <c r="V314" s="22"/>
    </row>
    <row r="315" spans="3:22" x14ac:dyDescent="0.25">
      <c r="C315" s="33"/>
      <c r="D315" s="142"/>
      <c r="E315" s="45"/>
      <c r="F315" s="24"/>
      <c r="G315" s="25"/>
      <c r="H315" s="26"/>
      <c r="I315" s="27"/>
      <c r="J315" s="28"/>
      <c r="K315" s="29"/>
      <c r="L315" s="30"/>
      <c r="M315" s="31"/>
      <c r="N315" s="32"/>
      <c r="O315" s="24"/>
      <c r="P315" s="33"/>
      <c r="Q315" s="34"/>
      <c r="R315" s="35"/>
      <c r="S315" s="36"/>
      <c r="T315" s="37"/>
      <c r="U315" s="38"/>
      <c r="V315" s="22"/>
    </row>
    <row r="316" spans="3:22" x14ac:dyDescent="0.25">
      <c r="C316" s="33"/>
      <c r="D316" s="142"/>
      <c r="E316" s="45"/>
      <c r="F316" s="24"/>
      <c r="G316" s="25"/>
      <c r="H316" s="26"/>
      <c r="I316" s="27"/>
      <c r="J316" s="28"/>
      <c r="K316" s="29"/>
      <c r="L316" s="30"/>
      <c r="M316" s="31"/>
      <c r="N316" s="32"/>
      <c r="O316" s="24"/>
      <c r="P316" s="33"/>
      <c r="Q316" s="34"/>
      <c r="R316" s="35"/>
      <c r="S316" s="36"/>
      <c r="T316" s="37"/>
      <c r="U316" s="38"/>
      <c r="V316" s="22"/>
    </row>
    <row r="317" spans="3:22" x14ac:dyDescent="0.25">
      <c r="C317" s="33"/>
      <c r="D317" s="142"/>
      <c r="E317" s="45"/>
      <c r="F317" s="24"/>
      <c r="G317" s="25"/>
      <c r="H317" s="26"/>
      <c r="I317" s="27"/>
      <c r="J317" s="28"/>
      <c r="K317" s="29"/>
      <c r="L317" s="30"/>
      <c r="M317" s="31"/>
      <c r="N317" s="32"/>
      <c r="O317" s="24"/>
      <c r="P317" s="33"/>
      <c r="Q317" s="34"/>
      <c r="R317" s="35"/>
      <c r="S317" s="36"/>
      <c r="T317" s="37"/>
      <c r="U317" s="38"/>
      <c r="V317" s="22"/>
    </row>
    <row r="318" spans="3:22" x14ac:dyDescent="0.25">
      <c r="C318" s="33"/>
      <c r="D318" s="142"/>
      <c r="E318" s="45"/>
      <c r="F318" s="24"/>
      <c r="G318" s="25"/>
      <c r="H318" s="26"/>
      <c r="I318" s="27"/>
      <c r="J318" s="28"/>
      <c r="K318" s="29"/>
      <c r="L318" s="30"/>
      <c r="M318" s="31"/>
      <c r="N318" s="32"/>
      <c r="O318" s="24"/>
      <c r="P318" s="33"/>
      <c r="Q318" s="34"/>
      <c r="R318" s="35"/>
      <c r="S318" s="36"/>
      <c r="T318" s="37"/>
      <c r="U318" s="38"/>
      <c r="V318" s="22"/>
    </row>
    <row r="319" spans="3:22" x14ac:dyDescent="0.25">
      <c r="C319" s="33"/>
      <c r="D319" s="142"/>
      <c r="E319" s="45"/>
      <c r="F319" s="24"/>
      <c r="G319" s="25"/>
      <c r="H319" s="26"/>
      <c r="I319" s="27"/>
      <c r="J319" s="28"/>
      <c r="K319" s="29"/>
      <c r="L319" s="30"/>
      <c r="M319" s="31"/>
      <c r="N319" s="32"/>
      <c r="O319" s="24"/>
      <c r="P319" s="33"/>
      <c r="Q319" s="34"/>
      <c r="R319" s="35"/>
      <c r="S319" s="36"/>
      <c r="T319" s="37"/>
      <c r="U319" s="38"/>
      <c r="V319" s="22"/>
    </row>
    <row r="320" spans="3:22" x14ac:dyDescent="0.25">
      <c r="C320" s="33"/>
      <c r="D320" s="142"/>
      <c r="E320" s="45"/>
      <c r="F320" s="24"/>
      <c r="G320" s="25"/>
      <c r="H320" s="26"/>
      <c r="I320" s="27"/>
      <c r="J320" s="28"/>
      <c r="K320" s="29"/>
      <c r="L320" s="30"/>
      <c r="M320" s="31"/>
      <c r="N320" s="32"/>
      <c r="O320" s="24"/>
      <c r="P320" s="33"/>
      <c r="Q320" s="34"/>
      <c r="R320" s="35"/>
      <c r="S320" s="36"/>
      <c r="T320" s="37"/>
      <c r="U320" s="38"/>
      <c r="V320" s="22"/>
    </row>
    <row r="321" spans="3:22" x14ac:dyDescent="0.25">
      <c r="C321" s="33"/>
      <c r="D321" s="142"/>
      <c r="E321" s="45"/>
      <c r="F321" s="24"/>
      <c r="G321" s="25"/>
      <c r="H321" s="26"/>
      <c r="I321" s="27"/>
      <c r="J321" s="28"/>
      <c r="K321" s="29"/>
      <c r="L321" s="30"/>
      <c r="M321" s="31"/>
      <c r="N321" s="32"/>
      <c r="O321" s="24"/>
      <c r="P321" s="33"/>
      <c r="Q321" s="34"/>
      <c r="R321" s="35"/>
      <c r="S321" s="36"/>
      <c r="T321" s="37"/>
      <c r="U321" s="38"/>
      <c r="V321" s="22"/>
    </row>
    <row r="322" spans="3:22" x14ac:dyDescent="0.25">
      <c r="C322" s="33"/>
      <c r="D322" s="142"/>
      <c r="E322" s="45"/>
      <c r="F322" s="24"/>
      <c r="G322" s="25"/>
      <c r="H322" s="26"/>
      <c r="I322" s="27"/>
      <c r="J322" s="28"/>
      <c r="K322" s="29"/>
      <c r="L322" s="30"/>
      <c r="M322" s="31"/>
      <c r="N322" s="32"/>
      <c r="O322" s="24"/>
      <c r="P322" s="33"/>
      <c r="Q322" s="34"/>
      <c r="R322" s="35"/>
      <c r="S322" s="36"/>
      <c r="T322" s="37"/>
      <c r="U322" s="38"/>
      <c r="V322" s="22"/>
    </row>
    <row r="323" spans="3:22" x14ac:dyDescent="0.25">
      <c r="C323" s="33"/>
      <c r="D323" s="142"/>
      <c r="E323" s="45"/>
      <c r="F323" s="24"/>
      <c r="G323" s="25"/>
      <c r="H323" s="26"/>
      <c r="I323" s="27"/>
      <c r="J323" s="28"/>
      <c r="K323" s="29"/>
      <c r="L323" s="30"/>
      <c r="M323" s="31"/>
      <c r="N323" s="32"/>
      <c r="O323" s="24"/>
      <c r="P323" s="33"/>
      <c r="Q323" s="34"/>
      <c r="R323" s="35"/>
      <c r="S323" s="36"/>
      <c r="T323" s="37"/>
      <c r="U323" s="38"/>
      <c r="V323" s="22"/>
    </row>
    <row r="324" spans="3:22" x14ac:dyDescent="0.25">
      <c r="C324" s="33"/>
      <c r="D324" s="142"/>
      <c r="E324" s="45"/>
      <c r="F324" s="24"/>
      <c r="G324" s="25"/>
      <c r="H324" s="26"/>
      <c r="I324" s="27"/>
      <c r="J324" s="28"/>
      <c r="K324" s="29"/>
      <c r="L324" s="30"/>
      <c r="M324" s="31"/>
      <c r="N324" s="32"/>
      <c r="O324" s="24"/>
      <c r="P324" s="33"/>
      <c r="Q324" s="34"/>
      <c r="R324" s="35"/>
      <c r="S324" s="36"/>
      <c r="T324" s="37"/>
      <c r="U324" s="38"/>
      <c r="V324" s="22"/>
    </row>
    <row r="325" spans="3:22" x14ac:dyDescent="0.25">
      <c r="C325" s="33"/>
      <c r="D325" s="142"/>
      <c r="E325" s="45"/>
      <c r="F325" s="24"/>
      <c r="G325" s="25"/>
      <c r="H325" s="26"/>
      <c r="I325" s="27"/>
      <c r="J325" s="28"/>
      <c r="K325" s="29"/>
      <c r="L325" s="30"/>
      <c r="M325" s="31"/>
      <c r="N325" s="32"/>
      <c r="O325" s="24"/>
      <c r="P325" s="33"/>
      <c r="Q325" s="34"/>
      <c r="R325" s="35"/>
      <c r="S325" s="36"/>
      <c r="T325" s="37"/>
      <c r="U325" s="38"/>
      <c r="V325" s="22"/>
    </row>
    <row r="326" spans="3:22" x14ac:dyDescent="0.25">
      <c r="C326" s="33"/>
      <c r="D326" s="142"/>
      <c r="E326" s="45"/>
      <c r="F326" s="24"/>
      <c r="G326" s="25"/>
      <c r="H326" s="26"/>
      <c r="I326" s="27"/>
      <c r="J326" s="28"/>
      <c r="K326" s="29"/>
      <c r="L326" s="30"/>
      <c r="M326" s="31"/>
      <c r="N326" s="32"/>
      <c r="O326" s="24"/>
      <c r="P326" s="33"/>
      <c r="Q326" s="34"/>
      <c r="R326" s="35"/>
      <c r="S326" s="36"/>
      <c r="T326" s="37"/>
      <c r="U326" s="38"/>
      <c r="V326" s="22"/>
    </row>
    <row r="327" spans="3:22" x14ac:dyDescent="0.25">
      <c r="C327" s="33"/>
      <c r="D327" s="142"/>
      <c r="E327" s="45"/>
      <c r="F327" s="24"/>
      <c r="G327" s="25"/>
      <c r="H327" s="26"/>
      <c r="I327" s="27"/>
      <c r="J327" s="28"/>
      <c r="K327" s="29"/>
      <c r="L327" s="30"/>
      <c r="M327" s="31"/>
      <c r="N327" s="32"/>
      <c r="O327" s="24"/>
      <c r="P327" s="33"/>
      <c r="Q327" s="34"/>
      <c r="R327" s="35"/>
      <c r="S327" s="36"/>
      <c r="T327" s="37"/>
      <c r="U327" s="38"/>
      <c r="V327" s="22"/>
    </row>
    <row r="328" spans="3:22" x14ac:dyDescent="0.25">
      <c r="C328" s="33"/>
      <c r="D328" s="142"/>
      <c r="E328" s="45"/>
      <c r="F328" s="24"/>
      <c r="G328" s="25"/>
      <c r="H328" s="26"/>
      <c r="I328" s="27"/>
      <c r="J328" s="28"/>
      <c r="K328" s="29"/>
      <c r="L328" s="30"/>
      <c r="M328" s="31"/>
      <c r="N328" s="32"/>
      <c r="O328" s="24"/>
      <c r="P328" s="33"/>
      <c r="Q328" s="34"/>
      <c r="R328" s="35"/>
      <c r="S328" s="36"/>
      <c r="T328" s="37"/>
      <c r="U328" s="38"/>
      <c r="V328" s="22"/>
    </row>
    <row r="329" spans="3:22" x14ac:dyDescent="0.25">
      <c r="C329" s="33"/>
      <c r="D329" s="142"/>
      <c r="E329" s="45"/>
      <c r="F329" s="24"/>
      <c r="G329" s="25"/>
      <c r="H329" s="26"/>
      <c r="I329" s="27"/>
      <c r="J329" s="28"/>
      <c r="K329" s="29"/>
      <c r="L329" s="30"/>
      <c r="M329" s="31"/>
      <c r="N329" s="32"/>
      <c r="O329" s="24"/>
      <c r="P329" s="33"/>
      <c r="Q329" s="34"/>
      <c r="R329" s="35"/>
      <c r="S329" s="36"/>
      <c r="T329" s="37"/>
      <c r="U329" s="38"/>
      <c r="V329" s="22"/>
    </row>
    <row r="330" spans="3:22" x14ac:dyDescent="0.25">
      <c r="C330" s="33"/>
      <c r="D330" s="142"/>
      <c r="E330" s="45"/>
      <c r="F330" s="24"/>
      <c r="G330" s="25"/>
      <c r="H330" s="26"/>
      <c r="I330" s="27"/>
      <c r="J330" s="28"/>
      <c r="K330" s="29"/>
      <c r="L330" s="30"/>
      <c r="M330" s="31"/>
      <c r="N330" s="32"/>
      <c r="O330" s="24"/>
      <c r="P330" s="33"/>
      <c r="Q330" s="34"/>
      <c r="R330" s="35"/>
      <c r="S330" s="36"/>
      <c r="T330" s="37"/>
      <c r="U330" s="38"/>
      <c r="V330" s="22"/>
    </row>
    <row r="331" spans="3:22" x14ac:dyDescent="0.25">
      <c r="C331" s="33"/>
      <c r="D331" s="142"/>
      <c r="E331" s="45"/>
      <c r="F331" s="24"/>
      <c r="G331" s="25"/>
      <c r="H331" s="26"/>
      <c r="I331" s="27"/>
      <c r="J331" s="28"/>
      <c r="K331" s="29"/>
      <c r="L331" s="30"/>
      <c r="M331" s="31"/>
      <c r="N331" s="32"/>
      <c r="O331" s="24"/>
      <c r="P331" s="33"/>
      <c r="Q331" s="34"/>
      <c r="R331" s="35"/>
      <c r="S331" s="36"/>
      <c r="T331" s="37"/>
      <c r="U331" s="38"/>
      <c r="V331" s="22"/>
    </row>
    <row r="332" spans="3:22" x14ac:dyDescent="0.25">
      <c r="C332" s="33"/>
      <c r="D332" s="142"/>
      <c r="E332" s="45"/>
      <c r="F332" s="24"/>
      <c r="G332" s="25"/>
      <c r="H332" s="26"/>
      <c r="I332" s="27"/>
      <c r="J332" s="28"/>
      <c r="K332" s="29"/>
      <c r="L332" s="30"/>
      <c r="M332" s="31"/>
      <c r="N332" s="32"/>
      <c r="O332" s="24"/>
      <c r="P332" s="33"/>
      <c r="Q332" s="34"/>
      <c r="R332" s="35"/>
      <c r="S332" s="36"/>
      <c r="T332" s="37"/>
      <c r="U332" s="38"/>
      <c r="V332" s="22"/>
    </row>
    <row r="333" spans="3:22" x14ac:dyDescent="0.25">
      <c r="C333" s="33"/>
      <c r="D333" s="142"/>
      <c r="E333" s="45"/>
      <c r="F333" s="24"/>
      <c r="G333" s="25"/>
      <c r="H333" s="26"/>
      <c r="I333" s="27"/>
      <c r="J333" s="28"/>
      <c r="K333" s="29"/>
      <c r="L333" s="30"/>
      <c r="M333" s="31"/>
      <c r="N333" s="32"/>
      <c r="O333" s="24"/>
      <c r="P333" s="33"/>
      <c r="Q333" s="34"/>
      <c r="R333" s="35"/>
      <c r="S333" s="36"/>
      <c r="T333" s="37"/>
      <c r="U333" s="38"/>
      <c r="V333" s="22"/>
    </row>
    <row r="334" spans="3:22" x14ac:dyDescent="0.25">
      <c r="C334" s="33"/>
      <c r="D334" s="142"/>
      <c r="E334" s="45"/>
      <c r="F334" s="24"/>
      <c r="G334" s="25"/>
      <c r="H334" s="26"/>
      <c r="I334" s="27"/>
      <c r="J334" s="28"/>
      <c r="K334" s="29"/>
      <c r="L334" s="30"/>
      <c r="M334" s="31"/>
      <c r="N334" s="32"/>
      <c r="O334" s="24"/>
      <c r="P334" s="33"/>
      <c r="Q334" s="34"/>
      <c r="R334" s="35"/>
      <c r="S334" s="36"/>
      <c r="T334" s="37"/>
      <c r="U334" s="38"/>
      <c r="V334" s="22"/>
    </row>
    <row r="335" spans="3:22" x14ac:dyDescent="0.25">
      <c r="C335" s="33"/>
      <c r="D335" s="142"/>
      <c r="E335" s="45"/>
      <c r="F335" s="24"/>
      <c r="G335" s="25"/>
      <c r="H335" s="26"/>
      <c r="I335" s="27"/>
      <c r="J335" s="28"/>
      <c r="K335" s="29"/>
      <c r="L335" s="30"/>
      <c r="M335" s="31"/>
      <c r="N335" s="32"/>
      <c r="O335" s="24"/>
      <c r="P335" s="33"/>
      <c r="Q335" s="34"/>
      <c r="R335" s="35"/>
      <c r="S335" s="36"/>
      <c r="T335" s="37"/>
      <c r="U335" s="38"/>
      <c r="V335" s="22"/>
    </row>
    <row r="336" spans="3:22" x14ac:dyDescent="0.25">
      <c r="C336" s="33"/>
      <c r="D336" s="142"/>
      <c r="E336" s="45"/>
      <c r="F336" s="24"/>
      <c r="G336" s="25"/>
      <c r="H336" s="26"/>
      <c r="I336" s="27"/>
      <c r="J336" s="28"/>
      <c r="K336" s="29"/>
      <c r="L336" s="30"/>
      <c r="M336" s="31"/>
      <c r="N336" s="32"/>
      <c r="O336" s="24"/>
      <c r="P336" s="33"/>
      <c r="Q336" s="34"/>
      <c r="R336" s="35"/>
      <c r="S336" s="36"/>
      <c r="T336" s="37"/>
      <c r="U336" s="38"/>
      <c r="V336" s="22"/>
    </row>
    <row r="337" spans="3:22" x14ac:dyDescent="0.25">
      <c r="C337" s="33"/>
      <c r="D337" s="142"/>
      <c r="E337" s="45"/>
      <c r="F337" s="24"/>
      <c r="G337" s="25"/>
      <c r="H337" s="26"/>
      <c r="I337" s="27"/>
      <c r="J337" s="28"/>
      <c r="K337" s="29"/>
      <c r="L337" s="30"/>
      <c r="M337" s="31"/>
      <c r="N337" s="32"/>
      <c r="O337" s="24"/>
      <c r="P337" s="33"/>
      <c r="Q337" s="34"/>
      <c r="R337" s="35"/>
      <c r="S337" s="36"/>
      <c r="T337" s="37"/>
      <c r="U337" s="38"/>
      <c r="V337" s="22"/>
    </row>
    <row r="338" spans="3:22" x14ac:dyDescent="0.25">
      <c r="C338" s="33"/>
      <c r="D338" s="142"/>
      <c r="E338" s="45"/>
      <c r="F338" s="24"/>
      <c r="G338" s="25"/>
      <c r="H338" s="26"/>
      <c r="I338" s="27"/>
      <c r="J338" s="28"/>
      <c r="K338" s="29"/>
      <c r="L338" s="30"/>
      <c r="M338" s="31"/>
      <c r="N338" s="32"/>
      <c r="O338" s="24"/>
      <c r="P338" s="33"/>
      <c r="Q338" s="34"/>
      <c r="R338" s="35"/>
      <c r="S338" s="36"/>
      <c r="T338" s="37"/>
      <c r="U338" s="38"/>
      <c r="V338" s="22"/>
    </row>
    <row r="339" spans="3:22" x14ac:dyDescent="0.25">
      <c r="C339" s="33"/>
      <c r="D339" s="142"/>
      <c r="E339" s="45"/>
      <c r="F339" s="24"/>
      <c r="G339" s="25"/>
      <c r="H339" s="26"/>
      <c r="I339" s="27"/>
      <c r="J339" s="28"/>
      <c r="K339" s="29"/>
      <c r="L339" s="30"/>
      <c r="M339" s="31"/>
      <c r="N339" s="32"/>
      <c r="O339" s="24"/>
      <c r="P339" s="33"/>
      <c r="Q339" s="34"/>
      <c r="R339" s="35"/>
      <c r="S339" s="36"/>
      <c r="T339" s="37"/>
      <c r="U339" s="38"/>
      <c r="V339" s="22"/>
    </row>
    <row r="340" spans="3:22" x14ac:dyDescent="0.25">
      <c r="C340" s="33"/>
      <c r="D340" s="142"/>
      <c r="E340" s="45"/>
      <c r="F340" s="24"/>
      <c r="G340" s="25"/>
      <c r="H340" s="26"/>
      <c r="I340" s="27"/>
      <c r="J340" s="28"/>
      <c r="K340" s="29"/>
      <c r="L340" s="30"/>
      <c r="M340" s="31"/>
      <c r="N340" s="32"/>
      <c r="O340" s="24"/>
      <c r="P340" s="33"/>
      <c r="Q340" s="34"/>
      <c r="R340" s="35"/>
      <c r="S340" s="36"/>
      <c r="T340" s="37"/>
      <c r="U340" s="38"/>
      <c r="V340" s="22"/>
    </row>
    <row r="341" spans="3:22" x14ac:dyDescent="0.25">
      <c r="C341" s="33"/>
      <c r="D341" s="142"/>
      <c r="E341" s="45"/>
      <c r="F341" s="24"/>
      <c r="G341" s="25"/>
      <c r="H341" s="26"/>
      <c r="I341" s="27"/>
      <c r="J341" s="28"/>
      <c r="K341" s="29"/>
      <c r="L341" s="30"/>
      <c r="M341" s="31"/>
      <c r="N341" s="32"/>
      <c r="O341" s="24"/>
      <c r="P341" s="33"/>
      <c r="Q341" s="34"/>
      <c r="R341" s="35"/>
      <c r="S341" s="36"/>
      <c r="T341" s="37"/>
      <c r="U341" s="38"/>
      <c r="V341" s="22"/>
    </row>
    <row r="342" spans="3:22" x14ac:dyDescent="0.25">
      <c r="C342" s="33"/>
      <c r="D342" s="142"/>
      <c r="E342" s="45"/>
      <c r="F342" s="24"/>
      <c r="G342" s="25"/>
      <c r="H342" s="26"/>
      <c r="I342" s="27"/>
      <c r="J342" s="28"/>
      <c r="K342" s="29"/>
      <c r="L342" s="30"/>
      <c r="M342" s="31"/>
      <c r="N342" s="32"/>
      <c r="O342" s="24"/>
      <c r="P342" s="33"/>
      <c r="Q342" s="34"/>
      <c r="R342" s="35"/>
      <c r="S342" s="36"/>
      <c r="T342" s="37"/>
      <c r="U342" s="38"/>
      <c r="V342" s="22"/>
    </row>
    <row r="343" spans="3:22" x14ac:dyDescent="0.25">
      <c r="C343" s="33"/>
      <c r="D343" s="142"/>
      <c r="E343" s="45"/>
      <c r="F343" s="24"/>
      <c r="G343" s="25"/>
      <c r="H343" s="26"/>
      <c r="I343" s="27"/>
      <c r="J343" s="28"/>
      <c r="K343" s="29"/>
      <c r="L343" s="30"/>
      <c r="M343" s="31"/>
      <c r="N343" s="32"/>
      <c r="O343" s="24"/>
      <c r="P343" s="33"/>
      <c r="Q343" s="34"/>
      <c r="R343" s="35"/>
      <c r="S343" s="36"/>
      <c r="T343" s="37"/>
      <c r="U343" s="38"/>
      <c r="V343" s="22"/>
    </row>
    <row r="344" spans="3:22" x14ac:dyDescent="0.25">
      <c r="C344" s="33"/>
      <c r="D344" s="142"/>
      <c r="E344" s="45"/>
      <c r="F344" s="24"/>
      <c r="G344" s="25"/>
      <c r="H344" s="26"/>
      <c r="I344" s="27"/>
      <c r="J344" s="28"/>
      <c r="K344" s="29"/>
      <c r="L344" s="30"/>
      <c r="M344" s="31"/>
      <c r="N344" s="32"/>
      <c r="O344" s="24"/>
      <c r="P344" s="33"/>
      <c r="Q344" s="34"/>
      <c r="R344" s="35"/>
      <c r="S344" s="36"/>
      <c r="T344" s="37"/>
      <c r="U344" s="38"/>
      <c r="V344" s="22"/>
    </row>
    <row r="345" spans="3:22" x14ac:dyDescent="0.25">
      <c r="C345" s="33"/>
      <c r="D345" s="142"/>
      <c r="E345" s="45"/>
      <c r="F345" s="24"/>
      <c r="G345" s="25"/>
      <c r="H345" s="26"/>
      <c r="I345" s="27"/>
      <c r="J345" s="28"/>
      <c r="K345" s="29"/>
      <c r="L345" s="30"/>
      <c r="M345" s="31"/>
      <c r="N345" s="32"/>
      <c r="O345" s="24"/>
      <c r="P345" s="33"/>
      <c r="Q345" s="34"/>
      <c r="R345" s="35"/>
      <c r="S345" s="36"/>
      <c r="T345" s="37"/>
      <c r="U345" s="38"/>
      <c r="V345" s="22"/>
    </row>
    <row r="346" spans="3:22" x14ac:dyDescent="0.25">
      <c r="C346" s="33"/>
      <c r="D346" s="142"/>
      <c r="E346" s="45"/>
      <c r="F346" s="24"/>
      <c r="G346" s="25"/>
      <c r="H346" s="26"/>
      <c r="I346" s="27"/>
      <c r="J346" s="28"/>
      <c r="K346" s="29"/>
      <c r="L346" s="30"/>
      <c r="M346" s="31"/>
      <c r="N346" s="32"/>
      <c r="O346" s="24"/>
      <c r="P346" s="33"/>
      <c r="Q346" s="34"/>
      <c r="R346" s="35"/>
      <c r="S346" s="36"/>
      <c r="T346" s="37"/>
      <c r="U346" s="38"/>
      <c r="V346" s="22"/>
    </row>
    <row r="347" spans="3:22" x14ac:dyDescent="0.25">
      <c r="C347" s="33"/>
      <c r="D347" s="142"/>
      <c r="E347" s="45"/>
      <c r="F347" s="24"/>
      <c r="G347" s="25"/>
      <c r="H347" s="26"/>
      <c r="I347" s="27"/>
      <c r="J347" s="28"/>
      <c r="K347" s="29"/>
      <c r="L347" s="30"/>
      <c r="M347" s="31"/>
      <c r="N347" s="32"/>
      <c r="O347" s="24"/>
      <c r="P347" s="33"/>
      <c r="Q347" s="34"/>
      <c r="R347" s="35"/>
      <c r="S347" s="36"/>
      <c r="T347" s="37"/>
      <c r="U347" s="38"/>
      <c r="V347" s="22"/>
    </row>
    <row r="348" spans="3:22" x14ac:dyDescent="0.25">
      <c r="C348" s="33"/>
      <c r="D348" s="142"/>
      <c r="E348" s="45"/>
      <c r="F348" s="24"/>
      <c r="G348" s="25"/>
      <c r="H348" s="26"/>
      <c r="I348" s="27"/>
      <c r="J348" s="28"/>
      <c r="K348" s="29"/>
      <c r="L348" s="30"/>
      <c r="M348" s="31"/>
      <c r="N348" s="32"/>
      <c r="O348" s="24"/>
      <c r="P348" s="33"/>
      <c r="Q348" s="34"/>
      <c r="R348" s="35"/>
      <c r="S348" s="36"/>
      <c r="T348" s="37"/>
      <c r="U348" s="38"/>
      <c r="V348" s="22"/>
    </row>
    <row r="349" spans="3:22" x14ac:dyDescent="0.25">
      <c r="C349" s="33"/>
      <c r="D349" s="142"/>
      <c r="E349" s="45"/>
      <c r="F349" s="24"/>
      <c r="G349" s="25"/>
      <c r="H349" s="26"/>
      <c r="I349" s="27"/>
      <c r="J349" s="28"/>
      <c r="K349" s="29"/>
      <c r="L349" s="30"/>
      <c r="M349" s="31"/>
      <c r="N349" s="32"/>
      <c r="O349" s="24"/>
      <c r="P349" s="33"/>
      <c r="Q349" s="34"/>
      <c r="R349" s="35"/>
      <c r="S349" s="36"/>
      <c r="T349" s="37"/>
      <c r="U349" s="38"/>
      <c r="V349" s="22"/>
    </row>
    <row r="350" spans="3:22" x14ac:dyDescent="0.25">
      <c r="C350" s="33"/>
      <c r="D350" s="142"/>
      <c r="E350" s="45"/>
      <c r="F350" s="24"/>
      <c r="G350" s="25"/>
      <c r="H350" s="26"/>
      <c r="I350" s="27"/>
      <c r="J350" s="28"/>
      <c r="K350" s="29"/>
      <c r="L350" s="30"/>
      <c r="M350" s="31"/>
      <c r="N350" s="32"/>
      <c r="O350" s="24"/>
      <c r="P350" s="33"/>
      <c r="Q350" s="34"/>
      <c r="R350" s="35"/>
      <c r="S350" s="36"/>
      <c r="T350" s="37"/>
      <c r="U350" s="38"/>
      <c r="V350" s="22"/>
    </row>
    <row r="351" spans="3:22" x14ac:dyDescent="0.25">
      <c r="C351" s="33"/>
      <c r="D351" s="142"/>
      <c r="E351" s="45"/>
      <c r="F351" s="24"/>
      <c r="G351" s="25"/>
      <c r="H351" s="26"/>
      <c r="I351" s="27"/>
      <c r="J351" s="28"/>
      <c r="K351" s="29"/>
      <c r="L351" s="30"/>
      <c r="M351" s="31"/>
      <c r="N351" s="32"/>
      <c r="O351" s="24"/>
      <c r="P351" s="33"/>
      <c r="Q351" s="34"/>
      <c r="R351" s="35"/>
      <c r="S351" s="36"/>
      <c r="T351" s="37"/>
      <c r="U351" s="38"/>
      <c r="V351" s="22"/>
    </row>
    <row r="352" spans="3:22" x14ac:dyDescent="0.25">
      <c r="C352" s="33"/>
      <c r="D352" s="142"/>
      <c r="E352" s="45"/>
      <c r="F352" s="24"/>
      <c r="G352" s="25"/>
      <c r="H352" s="26"/>
      <c r="I352" s="27"/>
      <c r="J352" s="28"/>
      <c r="K352" s="29"/>
      <c r="L352" s="30"/>
      <c r="M352" s="31"/>
      <c r="N352" s="32"/>
      <c r="O352" s="24"/>
      <c r="P352" s="33"/>
      <c r="Q352" s="34"/>
      <c r="R352" s="35"/>
      <c r="S352" s="36"/>
      <c r="T352" s="37"/>
      <c r="U352" s="38"/>
      <c r="V352" s="22"/>
    </row>
    <row r="353" spans="3:22" x14ac:dyDescent="0.25">
      <c r="C353" s="33"/>
      <c r="D353" s="142"/>
      <c r="E353" s="45"/>
      <c r="F353" s="24"/>
      <c r="G353" s="25"/>
      <c r="H353" s="26"/>
      <c r="I353" s="27"/>
      <c r="J353" s="28"/>
      <c r="K353" s="29"/>
      <c r="L353" s="30"/>
      <c r="M353" s="31"/>
      <c r="N353" s="32"/>
      <c r="O353" s="24"/>
      <c r="P353" s="33"/>
      <c r="Q353" s="34"/>
      <c r="R353" s="35"/>
      <c r="S353" s="36"/>
      <c r="T353" s="37"/>
      <c r="U353" s="38"/>
      <c r="V353" s="22"/>
    </row>
    <row r="354" spans="3:22" x14ac:dyDescent="0.25">
      <c r="C354" s="33"/>
      <c r="D354" s="142"/>
      <c r="E354" s="45"/>
      <c r="F354" s="24"/>
      <c r="G354" s="25"/>
      <c r="H354" s="26"/>
      <c r="I354" s="27"/>
      <c r="J354" s="28"/>
      <c r="K354" s="29"/>
      <c r="L354" s="30"/>
      <c r="M354" s="31"/>
      <c r="N354" s="32"/>
      <c r="O354" s="24"/>
      <c r="P354" s="33"/>
      <c r="Q354" s="34"/>
      <c r="R354" s="35"/>
      <c r="S354" s="36"/>
      <c r="T354" s="37"/>
      <c r="U354" s="38"/>
      <c r="V354" s="22"/>
    </row>
    <row r="355" spans="3:22" x14ac:dyDescent="0.25">
      <c r="C355" s="33"/>
      <c r="D355" s="142"/>
      <c r="E355" s="45"/>
      <c r="F355" s="24"/>
      <c r="G355" s="25"/>
      <c r="H355" s="26"/>
      <c r="I355" s="27"/>
      <c r="J355" s="28"/>
      <c r="K355" s="29"/>
      <c r="L355" s="30"/>
      <c r="M355" s="31"/>
      <c r="N355" s="32"/>
      <c r="O355" s="24"/>
      <c r="P355" s="33"/>
      <c r="Q355" s="34"/>
      <c r="R355" s="35"/>
      <c r="S355" s="36"/>
      <c r="T355" s="37"/>
      <c r="U355" s="38"/>
      <c r="V355" s="22"/>
    </row>
    <row r="356" spans="3:22" x14ac:dyDescent="0.25">
      <c r="C356" s="33"/>
      <c r="D356" s="142"/>
      <c r="E356" s="45"/>
      <c r="F356" s="24"/>
      <c r="G356" s="25"/>
      <c r="H356" s="26"/>
      <c r="I356" s="27"/>
      <c r="J356" s="28"/>
      <c r="K356" s="29"/>
      <c r="L356" s="30"/>
      <c r="M356" s="31"/>
      <c r="N356" s="32"/>
      <c r="O356" s="24"/>
      <c r="P356" s="33"/>
      <c r="Q356" s="34"/>
      <c r="R356" s="35"/>
      <c r="S356" s="36"/>
      <c r="T356" s="37"/>
      <c r="U356" s="38"/>
      <c r="V356" s="22"/>
    </row>
    <row r="357" spans="3:22" x14ac:dyDescent="0.25">
      <c r="C357" s="33"/>
      <c r="D357" s="142"/>
      <c r="E357" s="45"/>
      <c r="F357" s="24"/>
      <c r="G357" s="25"/>
      <c r="H357" s="26"/>
      <c r="I357" s="27"/>
      <c r="J357" s="28"/>
      <c r="K357" s="29"/>
      <c r="L357" s="30"/>
      <c r="M357" s="31"/>
      <c r="N357" s="32"/>
      <c r="O357" s="24"/>
      <c r="P357" s="33"/>
      <c r="Q357" s="34"/>
      <c r="R357" s="35"/>
      <c r="S357" s="36"/>
      <c r="T357" s="37"/>
      <c r="U357" s="38"/>
      <c r="V357" s="22"/>
    </row>
    <row r="358" spans="3:22" x14ac:dyDescent="0.25">
      <c r="C358" s="33"/>
      <c r="D358" s="142"/>
      <c r="E358" s="45"/>
      <c r="F358" s="24"/>
      <c r="G358" s="25"/>
      <c r="H358" s="26"/>
      <c r="I358" s="27"/>
      <c r="J358" s="28"/>
      <c r="K358" s="29"/>
      <c r="L358" s="30"/>
      <c r="M358" s="31"/>
      <c r="N358" s="32"/>
      <c r="O358" s="24"/>
      <c r="P358" s="33"/>
      <c r="Q358" s="34"/>
      <c r="R358" s="35"/>
      <c r="S358" s="36"/>
      <c r="T358" s="37"/>
      <c r="U358" s="38"/>
      <c r="V358" s="22"/>
    </row>
    <row r="359" spans="3:22" x14ac:dyDescent="0.25">
      <c r="C359" s="33"/>
      <c r="D359" s="142"/>
      <c r="E359" s="45"/>
      <c r="F359" s="24"/>
      <c r="G359" s="25"/>
      <c r="H359" s="26"/>
      <c r="I359" s="27"/>
      <c r="J359" s="28"/>
      <c r="K359" s="29"/>
      <c r="L359" s="30"/>
      <c r="M359" s="31"/>
      <c r="N359" s="32"/>
      <c r="O359" s="24"/>
      <c r="P359" s="33"/>
      <c r="Q359" s="34"/>
      <c r="R359" s="35"/>
      <c r="S359" s="36"/>
      <c r="T359" s="37"/>
      <c r="U359" s="38"/>
      <c r="V359" s="22"/>
    </row>
    <row r="360" spans="3:22" x14ac:dyDescent="0.25">
      <c r="C360" s="33"/>
      <c r="D360" s="142"/>
      <c r="E360" s="45"/>
      <c r="F360" s="24"/>
      <c r="G360" s="25"/>
      <c r="H360" s="26"/>
      <c r="I360" s="27"/>
      <c r="J360" s="28"/>
      <c r="K360" s="29"/>
      <c r="L360" s="30"/>
      <c r="M360" s="31"/>
      <c r="N360" s="32"/>
      <c r="O360" s="24"/>
      <c r="P360" s="33"/>
      <c r="Q360" s="34"/>
      <c r="R360" s="35"/>
      <c r="S360" s="36"/>
      <c r="T360" s="37"/>
      <c r="U360" s="38"/>
      <c r="V360" s="22"/>
    </row>
    <row r="361" spans="3:22" x14ac:dyDescent="0.25">
      <c r="C361" s="33"/>
      <c r="D361" s="142"/>
      <c r="E361" s="45"/>
      <c r="F361" s="24"/>
      <c r="G361" s="25"/>
      <c r="H361" s="26"/>
      <c r="I361" s="27"/>
      <c r="J361" s="28"/>
      <c r="K361" s="29"/>
      <c r="L361" s="30"/>
      <c r="M361" s="31"/>
      <c r="N361" s="32"/>
      <c r="O361" s="24"/>
      <c r="P361" s="33"/>
      <c r="Q361" s="34"/>
      <c r="R361" s="35"/>
      <c r="S361" s="36"/>
      <c r="T361" s="37"/>
      <c r="U361" s="38"/>
      <c r="V361" s="22"/>
    </row>
    <row r="362" spans="3:22" x14ac:dyDescent="0.25">
      <c r="C362" s="33"/>
      <c r="D362" s="142"/>
      <c r="E362" s="45"/>
      <c r="F362" s="24"/>
      <c r="G362" s="25"/>
      <c r="H362" s="26"/>
      <c r="I362" s="27"/>
      <c r="J362" s="28"/>
      <c r="K362" s="29"/>
      <c r="L362" s="30"/>
      <c r="M362" s="31"/>
      <c r="N362" s="32"/>
      <c r="O362" s="24"/>
      <c r="P362" s="33"/>
      <c r="Q362" s="34"/>
      <c r="R362" s="35"/>
      <c r="S362" s="36"/>
      <c r="T362" s="37"/>
      <c r="U362" s="38"/>
      <c r="V362" s="22"/>
    </row>
    <row r="363" spans="3:22" x14ac:dyDescent="0.25">
      <c r="C363" s="33"/>
      <c r="D363" s="142"/>
      <c r="E363" s="45"/>
      <c r="F363" s="24"/>
      <c r="G363" s="25"/>
      <c r="H363" s="26"/>
      <c r="I363" s="27"/>
      <c r="J363" s="28"/>
      <c r="K363" s="29"/>
      <c r="L363" s="30"/>
      <c r="M363" s="31"/>
      <c r="N363" s="32"/>
      <c r="O363" s="24"/>
      <c r="P363" s="33"/>
      <c r="Q363" s="34"/>
      <c r="R363" s="35"/>
      <c r="S363" s="36"/>
      <c r="T363" s="37"/>
      <c r="U363" s="38"/>
      <c r="V363" s="22"/>
    </row>
    <row r="364" spans="3:22" x14ac:dyDescent="0.25">
      <c r="C364" s="33"/>
      <c r="D364" s="142"/>
      <c r="E364" s="45"/>
      <c r="F364" s="24"/>
      <c r="G364" s="25"/>
      <c r="H364" s="26"/>
      <c r="I364" s="27"/>
      <c r="J364" s="28"/>
      <c r="K364" s="29"/>
      <c r="L364" s="30"/>
      <c r="M364" s="31"/>
      <c r="N364" s="32"/>
      <c r="O364" s="24"/>
      <c r="P364" s="33"/>
      <c r="Q364" s="34"/>
      <c r="R364" s="35"/>
      <c r="S364" s="36"/>
      <c r="T364" s="37"/>
      <c r="U364" s="38"/>
      <c r="V364" s="22"/>
    </row>
    <row r="365" spans="3:22" x14ac:dyDescent="0.25">
      <c r="C365" s="33"/>
      <c r="D365" s="142"/>
      <c r="E365" s="45"/>
      <c r="F365" s="24"/>
      <c r="G365" s="25"/>
      <c r="H365" s="26"/>
      <c r="I365" s="27"/>
      <c r="J365" s="28"/>
      <c r="K365" s="29"/>
      <c r="L365" s="30"/>
      <c r="M365" s="31"/>
      <c r="N365" s="32"/>
      <c r="O365" s="24"/>
      <c r="P365" s="33"/>
      <c r="Q365" s="34"/>
      <c r="R365" s="35"/>
      <c r="S365" s="36"/>
      <c r="T365" s="37"/>
      <c r="U365" s="38"/>
      <c r="V365" s="22"/>
    </row>
    <row r="366" spans="3:22" x14ac:dyDescent="0.25">
      <c r="C366" s="33"/>
      <c r="D366" s="142"/>
      <c r="E366" s="45"/>
      <c r="F366" s="24"/>
      <c r="G366" s="25"/>
      <c r="H366" s="26"/>
      <c r="I366" s="27"/>
      <c r="J366" s="28"/>
      <c r="K366" s="29"/>
      <c r="L366" s="30"/>
      <c r="M366" s="31"/>
      <c r="N366" s="32"/>
      <c r="O366" s="24"/>
      <c r="P366" s="33"/>
      <c r="Q366" s="34"/>
      <c r="R366" s="35"/>
      <c r="S366" s="36"/>
      <c r="T366" s="37"/>
      <c r="U366" s="38"/>
      <c r="V366" s="22"/>
    </row>
    <row r="367" spans="3:22" x14ac:dyDescent="0.25">
      <c r="C367" s="33"/>
      <c r="D367" s="142"/>
      <c r="E367" s="45"/>
      <c r="F367" s="24"/>
      <c r="G367" s="25"/>
      <c r="H367" s="26"/>
      <c r="I367" s="27"/>
      <c r="J367" s="28"/>
      <c r="K367" s="29"/>
      <c r="L367" s="30"/>
      <c r="M367" s="31"/>
      <c r="N367" s="32"/>
      <c r="O367" s="24"/>
      <c r="P367" s="33"/>
      <c r="Q367" s="34"/>
      <c r="R367" s="35"/>
      <c r="S367" s="36"/>
      <c r="T367" s="37"/>
      <c r="U367" s="38"/>
      <c r="V367" s="22"/>
    </row>
    <row r="368" spans="3:22" x14ac:dyDescent="0.25">
      <c r="C368" s="33"/>
      <c r="D368" s="142"/>
      <c r="E368" s="45"/>
      <c r="F368" s="24"/>
      <c r="G368" s="25"/>
      <c r="H368" s="26"/>
      <c r="I368" s="27"/>
      <c r="J368" s="28"/>
      <c r="K368" s="29"/>
      <c r="L368" s="30"/>
      <c r="M368" s="31"/>
      <c r="N368" s="32"/>
      <c r="O368" s="24"/>
      <c r="P368" s="33"/>
      <c r="Q368" s="34"/>
      <c r="R368" s="35"/>
      <c r="S368" s="36"/>
      <c r="T368" s="37"/>
      <c r="U368" s="38"/>
      <c r="V368" s="22"/>
    </row>
    <row r="369" spans="3:22" x14ac:dyDescent="0.25">
      <c r="C369" s="33"/>
      <c r="D369" s="142"/>
      <c r="E369" s="45"/>
      <c r="F369" s="24"/>
      <c r="G369" s="25"/>
      <c r="H369" s="26"/>
      <c r="I369" s="27"/>
      <c r="J369" s="28"/>
      <c r="K369" s="29"/>
      <c r="L369" s="30"/>
      <c r="M369" s="31"/>
      <c r="N369" s="32"/>
      <c r="O369" s="24"/>
      <c r="P369" s="33"/>
      <c r="Q369" s="34"/>
      <c r="R369" s="35"/>
      <c r="S369" s="36"/>
      <c r="T369" s="37"/>
      <c r="U369" s="38"/>
      <c r="V369" s="22"/>
    </row>
    <row r="370" spans="3:22" x14ac:dyDescent="0.25">
      <c r="C370" s="33"/>
      <c r="D370" s="142"/>
      <c r="E370" s="45"/>
      <c r="F370" s="24"/>
      <c r="G370" s="25"/>
      <c r="H370" s="26"/>
      <c r="I370" s="27"/>
      <c r="J370" s="28"/>
      <c r="K370" s="29"/>
      <c r="L370" s="30"/>
      <c r="M370" s="31"/>
      <c r="N370" s="32"/>
      <c r="O370" s="24"/>
      <c r="P370" s="33"/>
      <c r="Q370" s="34"/>
      <c r="R370" s="35"/>
      <c r="S370" s="36"/>
      <c r="T370" s="37"/>
      <c r="U370" s="38"/>
      <c r="V370" s="22"/>
    </row>
    <row r="371" spans="3:22" x14ac:dyDescent="0.25">
      <c r="C371" s="33"/>
      <c r="D371" s="142"/>
      <c r="E371" s="45"/>
      <c r="F371" s="24"/>
      <c r="G371" s="25"/>
      <c r="H371" s="26"/>
      <c r="I371" s="27"/>
      <c r="J371" s="28"/>
      <c r="K371" s="29"/>
      <c r="L371" s="30"/>
      <c r="M371" s="31"/>
      <c r="N371" s="32"/>
      <c r="O371" s="24"/>
      <c r="P371" s="33"/>
      <c r="Q371" s="34"/>
      <c r="R371" s="35"/>
      <c r="S371" s="36"/>
      <c r="T371" s="37"/>
      <c r="U371" s="38"/>
      <c r="V371" s="22"/>
    </row>
    <row r="372" spans="3:22" x14ac:dyDescent="0.25">
      <c r="C372" s="33"/>
      <c r="D372" s="142"/>
      <c r="E372" s="45"/>
      <c r="F372" s="24"/>
      <c r="G372" s="25"/>
      <c r="H372" s="26"/>
      <c r="I372" s="27"/>
      <c r="J372" s="28"/>
      <c r="K372" s="29"/>
      <c r="L372" s="30"/>
      <c r="M372" s="31"/>
      <c r="N372" s="32"/>
      <c r="O372" s="24"/>
      <c r="P372" s="33"/>
      <c r="Q372" s="34"/>
      <c r="R372" s="35"/>
      <c r="S372" s="36"/>
      <c r="T372" s="37"/>
      <c r="U372" s="38"/>
      <c r="V372" s="22"/>
    </row>
    <row r="373" spans="3:22" x14ac:dyDescent="0.25">
      <c r="C373" s="33"/>
      <c r="D373" s="142"/>
      <c r="E373" s="45"/>
      <c r="F373" s="24"/>
      <c r="G373" s="25"/>
      <c r="H373" s="26"/>
      <c r="I373" s="27"/>
      <c r="J373" s="28"/>
      <c r="K373" s="29"/>
      <c r="L373" s="30"/>
      <c r="M373" s="31"/>
      <c r="N373" s="32"/>
      <c r="O373" s="24"/>
      <c r="P373" s="33"/>
      <c r="Q373" s="34"/>
      <c r="R373" s="35"/>
      <c r="S373" s="36"/>
      <c r="T373" s="37"/>
      <c r="U373" s="38"/>
      <c r="V373" s="22"/>
    </row>
    <row r="374" spans="3:22" x14ac:dyDescent="0.25">
      <c r="C374" s="33"/>
      <c r="D374" s="142"/>
      <c r="E374" s="45"/>
      <c r="F374" s="24"/>
      <c r="G374" s="25"/>
      <c r="H374" s="26"/>
      <c r="I374" s="27"/>
      <c r="J374" s="28"/>
      <c r="K374" s="29"/>
      <c r="L374" s="30"/>
      <c r="M374" s="31"/>
      <c r="N374" s="32"/>
      <c r="O374" s="24"/>
      <c r="P374" s="33"/>
      <c r="Q374" s="34"/>
      <c r="R374" s="35"/>
      <c r="S374" s="36"/>
      <c r="T374" s="37"/>
      <c r="U374" s="38"/>
      <c r="V374" s="22"/>
    </row>
    <row r="375" spans="3:22" x14ac:dyDescent="0.25">
      <c r="C375" s="33"/>
      <c r="D375" s="142"/>
      <c r="E375" s="45"/>
      <c r="F375" s="24"/>
      <c r="G375" s="25"/>
      <c r="H375" s="26"/>
      <c r="I375" s="27"/>
      <c r="J375" s="28"/>
      <c r="K375" s="29"/>
      <c r="L375" s="30"/>
      <c r="M375" s="31"/>
      <c r="N375" s="32"/>
      <c r="O375" s="24"/>
      <c r="P375" s="33"/>
      <c r="Q375" s="34"/>
      <c r="R375" s="35"/>
      <c r="S375" s="36"/>
      <c r="T375" s="37"/>
      <c r="U375" s="38"/>
      <c r="V375" s="22"/>
    </row>
    <row r="376" spans="3:22" x14ac:dyDescent="0.25">
      <c r="C376" s="33"/>
      <c r="D376" s="142"/>
      <c r="E376" s="45"/>
      <c r="F376" s="24"/>
      <c r="G376" s="25"/>
      <c r="H376" s="26"/>
      <c r="I376" s="27"/>
      <c r="J376" s="28"/>
      <c r="K376" s="29"/>
      <c r="L376" s="30"/>
      <c r="M376" s="31"/>
      <c r="N376" s="32"/>
      <c r="O376" s="24"/>
      <c r="P376" s="33"/>
      <c r="Q376" s="34"/>
      <c r="R376" s="35"/>
      <c r="S376" s="36"/>
      <c r="T376" s="37"/>
      <c r="U376" s="38"/>
      <c r="V376" s="22"/>
    </row>
    <row r="377" spans="3:22" x14ac:dyDescent="0.25">
      <c r="C377" s="33"/>
      <c r="D377" s="142"/>
      <c r="E377" s="45"/>
      <c r="F377" s="24"/>
      <c r="G377" s="25"/>
      <c r="H377" s="26"/>
      <c r="I377" s="27"/>
      <c r="J377" s="28"/>
      <c r="K377" s="29"/>
      <c r="L377" s="30"/>
      <c r="M377" s="31"/>
      <c r="N377" s="32"/>
      <c r="O377" s="24"/>
      <c r="P377" s="33"/>
      <c r="Q377" s="34"/>
      <c r="R377" s="35"/>
      <c r="S377" s="36"/>
      <c r="T377" s="37"/>
      <c r="U377" s="38"/>
      <c r="V377" s="22"/>
    </row>
    <row r="378" spans="3:22" x14ac:dyDescent="0.25">
      <c r="C378" s="33"/>
      <c r="D378" s="142"/>
      <c r="E378" s="45"/>
      <c r="F378" s="24"/>
      <c r="G378" s="25"/>
      <c r="H378" s="26"/>
      <c r="I378" s="27"/>
      <c r="J378" s="28"/>
      <c r="K378" s="29"/>
      <c r="L378" s="30"/>
      <c r="M378" s="31"/>
      <c r="N378" s="32"/>
      <c r="O378" s="24"/>
      <c r="P378" s="33"/>
      <c r="Q378" s="34"/>
      <c r="R378" s="35"/>
      <c r="S378" s="36"/>
      <c r="T378" s="37"/>
      <c r="U378" s="38"/>
      <c r="V378" s="22"/>
    </row>
    <row r="379" spans="3:22" x14ac:dyDescent="0.25">
      <c r="C379" s="33"/>
      <c r="D379" s="142"/>
      <c r="E379" s="45"/>
      <c r="F379" s="24"/>
      <c r="G379" s="25"/>
      <c r="H379" s="26"/>
      <c r="I379" s="27"/>
      <c r="J379" s="28"/>
      <c r="K379" s="29"/>
      <c r="L379" s="30"/>
      <c r="M379" s="31"/>
      <c r="N379" s="32"/>
      <c r="O379" s="24"/>
      <c r="P379" s="33"/>
      <c r="Q379" s="34"/>
      <c r="R379" s="35"/>
      <c r="S379" s="36"/>
      <c r="T379" s="37"/>
      <c r="U379" s="38"/>
      <c r="V379" s="22"/>
    </row>
    <row r="380" spans="3:22" x14ac:dyDescent="0.25">
      <c r="C380" s="33"/>
      <c r="D380" s="142"/>
      <c r="E380" s="45"/>
      <c r="F380" s="24"/>
      <c r="G380" s="25"/>
      <c r="H380" s="26"/>
      <c r="I380" s="27"/>
      <c r="J380" s="28"/>
      <c r="K380" s="29"/>
      <c r="L380" s="30"/>
      <c r="M380" s="31"/>
      <c r="N380" s="32"/>
      <c r="O380" s="24"/>
      <c r="P380" s="33"/>
      <c r="Q380" s="34"/>
      <c r="R380" s="35"/>
      <c r="S380" s="36"/>
      <c r="T380" s="37"/>
      <c r="U380" s="38"/>
      <c r="V380" s="22"/>
    </row>
    <row r="381" spans="3:22" x14ac:dyDescent="0.25">
      <c r="C381" s="33"/>
      <c r="D381" s="142"/>
      <c r="E381" s="45"/>
      <c r="F381" s="24"/>
      <c r="G381" s="25"/>
      <c r="H381" s="26"/>
      <c r="I381" s="27"/>
      <c r="J381" s="28"/>
      <c r="K381" s="29"/>
      <c r="L381" s="30"/>
      <c r="M381" s="31"/>
      <c r="N381" s="32"/>
      <c r="O381" s="24"/>
      <c r="P381" s="33"/>
      <c r="Q381" s="34"/>
      <c r="R381" s="35"/>
      <c r="S381" s="36"/>
      <c r="T381" s="37"/>
      <c r="U381" s="38"/>
      <c r="V381" s="22"/>
    </row>
    <row r="382" spans="3:22" x14ac:dyDescent="0.25">
      <c r="C382" s="33"/>
      <c r="D382" s="142"/>
      <c r="E382" s="45"/>
      <c r="F382" s="24"/>
      <c r="G382" s="25"/>
      <c r="H382" s="26"/>
      <c r="I382" s="27"/>
      <c r="J382" s="28"/>
      <c r="K382" s="29"/>
      <c r="L382" s="30"/>
      <c r="M382" s="31"/>
      <c r="N382" s="32"/>
      <c r="O382" s="24"/>
      <c r="P382" s="33"/>
      <c r="Q382" s="34"/>
      <c r="R382" s="35"/>
      <c r="S382" s="36"/>
      <c r="T382" s="37"/>
      <c r="U382" s="38"/>
      <c r="V382" s="22"/>
    </row>
    <row r="383" spans="3:22" x14ac:dyDescent="0.25">
      <c r="C383" s="33"/>
      <c r="D383" s="142"/>
      <c r="E383" s="45"/>
      <c r="F383" s="24"/>
      <c r="G383" s="25"/>
      <c r="H383" s="26"/>
      <c r="I383" s="27"/>
      <c r="J383" s="28"/>
      <c r="K383" s="29"/>
      <c r="L383" s="30"/>
      <c r="M383" s="31"/>
      <c r="N383" s="32"/>
      <c r="O383" s="24"/>
      <c r="P383" s="33"/>
      <c r="Q383" s="34"/>
      <c r="R383" s="35"/>
      <c r="S383" s="36"/>
      <c r="T383" s="37"/>
      <c r="U383" s="38"/>
      <c r="V383" s="22"/>
    </row>
    <row r="384" spans="3:22" x14ac:dyDescent="0.25">
      <c r="C384" s="33"/>
      <c r="D384" s="142"/>
      <c r="E384" s="45"/>
      <c r="F384" s="24"/>
      <c r="G384" s="25"/>
      <c r="H384" s="26"/>
      <c r="I384" s="27"/>
      <c r="J384" s="28"/>
      <c r="K384" s="29"/>
      <c r="L384" s="30"/>
      <c r="M384" s="31"/>
      <c r="N384" s="32"/>
      <c r="O384" s="24"/>
      <c r="P384" s="33"/>
      <c r="Q384" s="34"/>
      <c r="R384" s="35"/>
      <c r="S384" s="36"/>
      <c r="T384" s="37"/>
      <c r="U384" s="38"/>
      <c r="V384" s="22"/>
    </row>
    <row r="385" spans="3:22" x14ac:dyDescent="0.25">
      <c r="C385" s="33"/>
      <c r="D385" s="142"/>
      <c r="E385" s="45"/>
      <c r="F385" s="24"/>
      <c r="G385" s="25"/>
      <c r="H385" s="26"/>
      <c r="I385" s="27"/>
      <c r="J385" s="28"/>
      <c r="K385" s="29"/>
      <c r="L385" s="30"/>
      <c r="M385" s="31"/>
      <c r="N385" s="32"/>
      <c r="O385" s="24"/>
      <c r="P385" s="33"/>
      <c r="Q385" s="34"/>
      <c r="R385" s="35"/>
      <c r="S385" s="36"/>
      <c r="T385" s="37"/>
      <c r="U385" s="38"/>
      <c r="V385" s="22"/>
    </row>
    <row r="386" spans="3:22" x14ac:dyDescent="0.25">
      <c r="C386" s="33"/>
      <c r="D386" s="142"/>
      <c r="E386" s="45"/>
      <c r="F386" s="24"/>
      <c r="G386" s="25"/>
      <c r="H386" s="26"/>
      <c r="I386" s="27"/>
      <c r="J386" s="28"/>
      <c r="K386" s="29"/>
      <c r="L386" s="30"/>
      <c r="M386" s="31"/>
      <c r="N386" s="32"/>
      <c r="O386" s="24"/>
      <c r="P386" s="33"/>
      <c r="Q386" s="34"/>
      <c r="R386" s="35"/>
      <c r="S386" s="36"/>
      <c r="T386" s="37"/>
      <c r="U386" s="38"/>
      <c r="V386" s="22"/>
    </row>
    <row r="387" spans="3:22" x14ac:dyDescent="0.25">
      <c r="C387" s="33"/>
      <c r="D387" s="142"/>
      <c r="E387" s="45"/>
      <c r="F387" s="24"/>
      <c r="G387" s="25"/>
      <c r="H387" s="26"/>
      <c r="I387" s="27"/>
      <c r="J387" s="28"/>
      <c r="K387" s="29"/>
      <c r="L387" s="30"/>
      <c r="M387" s="31"/>
      <c r="N387" s="32"/>
      <c r="O387" s="24"/>
      <c r="P387" s="33"/>
      <c r="Q387" s="34"/>
      <c r="R387" s="35"/>
      <c r="S387" s="36"/>
      <c r="T387" s="37"/>
      <c r="U387" s="38"/>
      <c r="V387" s="22"/>
    </row>
    <row r="388" spans="3:22" x14ac:dyDescent="0.25">
      <c r="C388" s="33"/>
      <c r="D388" s="142"/>
      <c r="E388" s="45"/>
      <c r="F388" s="24"/>
      <c r="G388" s="25"/>
      <c r="H388" s="26"/>
      <c r="I388" s="27"/>
      <c r="J388" s="28"/>
      <c r="K388" s="29"/>
      <c r="L388" s="30"/>
      <c r="M388" s="31"/>
      <c r="N388" s="32"/>
      <c r="O388" s="24"/>
      <c r="P388" s="33"/>
      <c r="Q388" s="34"/>
      <c r="R388" s="35"/>
      <c r="S388" s="36"/>
      <c r="T388" s="37"/>
      <c r="U388" s="38"/>
      <c r="V388" s="22"/>
    </row>
    <row r="389" spans="3:22" x14ac:dyDescent="0.25">
      <c r="C389" s="33"/>
      <c r="D389" s="142"/>
      <c r="E389" s="45"/>
      <c r="F389" s="24"/>
      <c r="G389" s="25"/>
      <c r="H389" s="26"/>
      <c r="I389" s="27"/>
      <c r="J389" s="28"/>
      <c r="K389" s="29"/>
      <c r="L389" s="30"/>
      <c r="M389" s="31"/>
      <c r="N389" s="32"/>
      <c r="O389" s="24"/>
      <c r="P389" s="33"/>
      <c r="Q389" s="34"/>
      <c r="R389" s="35"/>
      <c r="S389" s="36"/>
      <c r="T389" s="37"/>
      <c r="U389" s="38"/>
      <c r="V389" s="22"/>
    </row>
    <row r="390" spans="3:22" x14ac:dyDescent="0.25">
      <c r="C390" s="33"/>
      <c r="D390" s="142"/>
      <c r="E390" s="45"/>
      <c r="F390" s="24"/>
      <c r="G390" s="25"/>
      <c r="H390" s="26"/>
      <c r="I390" s="27"/>
      <c r="J390" s="28"/>
      <c r="K390" s="29"/>
      <c r="L390" s="30"/>
      <c r="M390" s="31"/>
      <c r="N390" s="32"/>
      <c r="O390" s="24"/>
      <c r="P390" s="33"/>
      <c r="Q390" s="34"/>
      <c r="R390" s="35"/>
      <c r="S390" s="36"/>
      <c r="T390" s="37"/>
      <c r="U390" s="38"/>
      <c r="V390" s="22"/>
    </row>
    <row r="391" spans="3:22" x14ac:dyDescent="0.25">
      <c r="C391" s="33"/>
      <c r="D391" s="142"/>
      <c r="E391" s="45"/>
      <c r="F391" s="24"/>
      <c r="G391" s="25"/>
      <c r="H391" s="26"/>
      <c r="I391" s="27"/>
      <c r="J391" s="28"/>
      <c r="K391" s="29"/>
      <c r="L391" s="30"/>
      <c r="M391" s="31"/>
      <c r="N391" s="32"/>
      <c r="O391" s="24"/>
      <c r="P391" s="33"/>
      <c r="Q391" s="34"/>
      <c r="R391" s="35"/>
      <c r="S391" s="36"/>
      <c r="T391" s="37"/>
      <c r="U391" s="38"/>
      <c r="V391" s="22"/>
    </row>
    <row r="392" spans="3:22" x14ac:dyDescent="0.25">
      <c r="C392" s="33"/>
      <c r="D392" s="142"/>
      <c r="E392" s="45"/>
      <c r="F392" s="24"/>
      <c r="G392" s="25"/>
      <c r="H392" s="26"/>
      <c r="I392" s="27"/>
      <c r="J392" s="28"/>
      <c r="K392" s="29"/>
      <c r="L392" s="30"/>
      <c r="M392" s="31"/>
      <c r="N392" s="32"/>
      <c r="O392" s="24"/>
      <c r="P392" s="33"/>
      <c r="Q392" s="34"/>
      <c r="R392" s="35"/>
      <c r="S392" s="36"/>
      <c r="T392" s="37"/>
      <c r="U392" s="38"/>
      <c r="V392" s="22"/>
    </row>
    <row r="393" spans="3:22" x14ac:dyDescent="0.25">
      <c r="C393" s="33"/>
      <c r="D393" s="142"/>
      <c r="E393" s="45"/>
      <c r="F393" s="24"/>
      <c r="G393" s="25"/>
      <c r="H393" s="26"/>
      <c r="I393" s="27"/>
      <c r="J393" s="28"/>
      <c r="K393" s="29"/>
      <c r="L393" s="30"/>
      <c r="M393" s="31"/>
      <c r="N393" s="32"/>
      <c r="O393" s="24"/>
      <c r="P393" s="33"/>
      <c r="Q393" s="34"/>
      <c r="R393" s="35"/>
      <c r="S393" s="36"/>
      <c r="T393" s="37"/>
      <c r="U393" s="38"/>
      <c r="V393" s="22"/>
    </row>
    <row r="394" spans="3:22" x14ac:dyDescent="0.25">
      <c r="C394" s="33"/>
      <c r="D394" s="142"/>
      <c r="E394" s="45"/>
      <c r="F394" s="24"/>
      <c r="G394" s="25"/>
      <c r="H394" s="26"/>
      <c r="I394" s="27"/>
      <c r="J394" s="28"/>
      <c r="K394" s="29"/>
      <c r="L394" s="30"/>
      <c r="M394" s="31"/>
      <c r="N394" s="32"/>
      <c r="O394" s="24"/>
      <c r="P394" s="33"/>
      <c r="Q394" s="34"/>
      <c r="R394" s="35"/>
      <c r="S394" s="36"/>
      <c r="T394" s="37"/>
      <c r="U394" s="38"/>
      <c r="V394" s="22"/>
    </row>
    <row r="395" spans="3:22" x14ac:dyDescent="0.25">
      <c r="C395" s="33"/>
      <c r="D395" s="142"/>
      <c r="E395" s="45"/>
      <c r="F395" s="24"/>
      <c r="G395" s="25"/>
      <c r="H395" s="26"/>
      <c r="I395" s="27"/>
      <c r="J395" s="28"/>
      <c r="K395" s="29"/>
      <c r="L395" s="30"/>
      <c r="M395" s="31"/>
      <c r="N395" s="32"/>
      <c r="O395" s="24"/>
      <c r="P395" s="33"/>
      <c r="Q395" s="34"/>
      <c r="R395" s="35"/>
      <c r="S395" s="36"/>
      <c r="T395" s="37"/>
      <c r="U395" s="38"/>
      <c r="V395" s="22"/>
    </row>
    <row r="396" spans="3:22" x14ac:dyDescent="0.25">
      <c r="C396" s="33"/>
      <c r="D396" s="142"/>
      <c r="E396" s="45"/>
      <c r="F396" s="24"/>
      <c r="G396" s="25"/>
      <c r="H396" s="26"/>
      <c r="I396" s="27"/>
      <c r="J396" s="28"/>
      <c r="K396" s="29"/>
      <c r="L396" s="30"/>
      <c r="M396" s="31"/>
      <c r="N396" s="32"/>
      <c r="O396" s="24"/>
      <c r="P396" s="33"/>
      <c r="Q396" s="34"/>
      <c r="R396" s="35"/>
      <c r="S396" s="36"/>
      <c r="T396" s="37"/>
      <c r="U396" s="38"/>
      <c r="V396" s="22"/>
    </row>
    <row r="397" spans="3:22" x14ac:dyDescent="0.25">
      <c r="C397" s="33"/>
      <c r="D397" s="142"/>
      <c r="E397" s="45"/>
      <c r="F397" s="24"/>
      <c r="G397" s="25"/>
      <c r="H397" s="26"/>
      <c r="I397" s="27"/>
      <c r="J397" s="28"/>
      <c r="K397" s="29"/>
      <c r="L397" s="30"/>
      <c r="M397" s="31"/>
      <c r="N397" s="32"/>
      <c r="O397" s="24"/>
      <c r="P397" s="33"/>
      <c r="Q397" s="34"/>
      <c r="R397" s="35"/>
      <c r="S397" s="36"/>
      <c r="T397" s="37"/>
      <c r="U397" s="38"/>
      <c r="V397" s="22"/>
    </row>
    <row r="398" spans="3:22" x14ac:dyDescent="0.25">
      <c r="C398" s="33"/>
      <c r="D398" s="142"/>
      <c r="E398" s="45"/>
      <c r="F398" s="24"/>
      <c r="G398" s="25"/>
      <c r="H398" s="26"/>
      <c r="I398" s="27"/>
      <c r="J398" s="28"/>
      <c r="K398" s="29"/>
      <c r="L398" s="30"/>
      <c r="M398" s="31"/>
      <c r="N398" s="32"/>
      <c r="O398" s="24"/>
      <c r="P398" s="33"/>
      <c r="Q398" s="34"/>
      <c r="R398" s="35"/>
      <c r="S398" s="36"/>
      <c r="T398" s="37"/>
      <c r="U398" s="38"/>
      <c r="V398" s="22"/>
    </row>
    <row r="399" spans="3:22" x14ac:dyDescent="0.25">
      <c r="C399" s="33"/>
      <c r="D399" s="142"/>
      <c r="E399" s="45"/>
      <c r="F399" s="24"/>
      <c r="G399" s="25"/>
      <c r="H399" s="26"/>
      <c r="I399" s="27"/>
      <c r="J399" s="28"/>
      <c r="K399" s="29"/>
      <c r="L399" s="30"/>
      <c r="M399" s="31"/>
      <c r="N399" s="32"/>
      <c r="O399" s="24"/>
      <c r="P399" s="33"/>
      <c r="Q399" s="34"/>
      <c r="R399" s="35"/>
      <c r="S399" s="36"/>
      <c r="T399" s="37"/>
      <c r="U399" s="38"/>
      <c r="V399" s="22"/>
    </row>
    <row r="400" spans="3:22" x14ac:dyDescent="0.25">
      <c r="C400" s="33"/>
      <c r="D400" s="142"/>
      <c r="E400" s="45"/>
      <c r="F400" s="24"/>
      <c r="G400" s="25"/>
      <c r="H400" s="26"/>
      <c r="I400" s="27"/>
      <c r="J400" s="28"/>
      <c r="K400" s="29"/>
      <c r="L400" s="30"/>
      <c r="M400" s="31"/>
      <c r="N400" s="32"/>
      <c r="O400" s="24"/>
      <c r="P400" s="33"/>
      <c r="Q400" s="34"/>
      <c r="R400" s="35"/>
      <c r="S400" s="36"/>
      <c r="T400" s="37"/>
      <c r="U400" s="38"/>
      <c r="V400" s="22"/>
    </row>
    <row r="401" spans="3:22" x14ac:dyDescent="0.25">
      <c r="C401" s="33"/>
      <c r="D401" s="142"/>
      <c r="E401" s="45"/>
      <c r="F401" s="24"/>
      <c r="G401" s="25"/>
      <c r="H401" s="26"/>
      <c r="I401" s="27"/>
      <c r="J401" s="28"/>
      <c r="K401" s="29"/>
      <c r="L401" s="30"/>
      <c r="M401" s="31"/>
      <c r="N401" s="32"/>
      <c r="O401" s="24"/>
      <c r="P401" s="33"/>
      <c r="Q401" s="34"/>
      <c r="R401" s="35"/>
      <c r="S401" s="36"/>
      <c r="T401" s="37"/>
      <c r="U401" s="38"/>
      <c r="V401" s="22"/>
    </row>
    <row r="402" spans="3:22" x14ac:dyDescent="0.25">
      <c r="C402" s="33"/>
      <c r="D402" s="142"/>
      <c r="E402" s="45"/>
      <c r="F402" s="24"/>
      <c r="G402" s="25"/>
      <c r="H402" s="26"/>
      <c r="I402" s="27"/>
      <c r="J402" s="28"/>
      <c r="K402" s="29"/>
      <c r="L402" s="30"/>
      <c r="M402" s="31"/>
      <c r="N402" s="32"/>
      <c r="O402" s="24"/>
      <c r="P402" s="33"/>
      <c r="Q402" s="34"/>
      <c r="R402" s="35"/>
      <c r="S402" s="36"/>
      <c r="T402" s="37"/>
      <c r="U402" s="38"/>
      <c r="V402" s="22"/>
    </row>
    <row r="403" spans="3:22" x14ac:dyDescent="0.25">
      <c r="C403" s="33"/>
      <c r="D403" s="142"/>
      <c r="E403" s="45"/>
      <c r="F403" s="24"/>
      <c r="G403" s="25"/>
      <c r="H403" s="26"/>
      <c r="I403" s="27"/>
      <c r="J403" s="28"/>
      <c r="K403" s="29"/>
      <c r="L403" s="30"/>
      <c r="M403" s="31"/>
      <c r="N403" s="32"/>
      <c r="O403" s="24"/>
      <c r="P403" s="33"/>
      <c r="Q403" s="34"/>
      <c r="R403" s="35"/>
      <c r="S403" s="36"/>
      <c r="T403" s="37"/>
      <c r="U403" s="38"/>
      <c r="V403" s="22"/>
    </row>
    <row r="404" spans="3:22" x14ac:dyDescent="0.25">
      <c r="C404" s="33"/>
      <c r="D404" s="142"/>
      <c r="E404" s="45"/>
      <c r="F404" s="24"/>
      <c r="G404" s="25"/>
      <c r="H404" s="26"/>
      <c r="I404" s="27"/>
      <c r="J404" s="28"/>
      <c r="K404" s="29"/>
      <c r="L404" s="30"/>
      <c r="M404" s="31"/>
      <c r="N404" s="32"/>
      <c r="O404" s="24"/>
      <c r="P404" s="33"/>
      <c r="Q404" s="34"/>
      <c r="R404" s="35"/>
      <c r="S404" s="36"/>
      <c r="T404" s="37"/>
      <c r="U404" s="38"/>
      <c r="V404" s="22"/>
    </row>
    <row r="405" spans="3:22" x14ac:dyDescent="0.25">
      <c r="C405" s="33"/>
      <c r="D405" s="142"/>
      <c r="E405" s="45"/>
      <c r="F405" s="24"/>
      <c r="G405" s="25"/>
      <c r="H405" s="26"/>
      <c r="I405" s="27"/>
      <c r="J405" s="28"/>
      <c r="K405" s="29"/>
      <c r="L405" s="30"/>
      <c r="M405" s="31"/>
      <c r="N405" s="32"/>
      <c r="O405" s="24"/>
      <c r="P405" s="33"/>
      <c r="Q405" s="34"/>
      <c r="R405" s="35"/>
      <c r="S405" s="36"/>
      <c r="T405" s="37"/>
      <c r="U405" s="38"/>
      <c r="V405" s="22"/>
    </row>
    <row r="406" spans="3:22" x14ac:dyDescent="0.25">
      <c r="C406" s="33"/>
      <c r="D406" s="142"/>
      <c r="E406" s="45"/>
      <c r="F406" s="24"/>
      <c r="G406" s="25"/>
      <c r="H406" s="26"/>
      <c r="I406" s="27"/>
      <c r="J406" s="28"/>
      <c r="K406" s="29"/>
      <c r="L406" s="30"/>
      <c r="M406" s="31"/>
      <c r="N406" s="32"/>
      <c r="O406" s="24"/>
      <c r="P406" s="33"/>
      <c r="Q406" s="34"/>
      <c r="R406" s="35"/>
      <c r="S406" s="36"/>
      <c r="T406" s="37"/>
      <c r="U406" s="38"/>
      <c r="V406" s="22"/>
    </row>
    <row r="407" spans="3:22" x14ac:dyDescent="0.25">
      <c r="C407" s="33"/>
      <c r="D407" s="142"/>
      <c r="E407" s="45"/>
      <c r="F407" s="24"/>
      <c r="G407" s="25"/>
      <c r="H407" s="26"/>
      <c r="I407" s="27"/>
      <c r="J407" s="28"/>
      <c r="K407" s="29"/>
      <c r="L407" s="30"/>
      <c r="M407" s="31"/>
      <c r="N407" s="32"/>
      <c r="O407" s="24"/>
      <c r="P407" s="33"/>
      <c r="Q407" s="34"/>
      <c r="R407" s="35"/>
      <c r="S407" s="36"/>
      <c r="T407" s="37"/>
      <c r="U407" s="38"/>
      <c r="V407" s="22"/>
    </row>
    <row r="408" spans="3:22" x14ac:dyDescent="0.25">
      <c r="C408" s="33"/>
      <c r="D408" s="142"/>
      <c r="E408" s="45"/>
      <c r="F408" s="24"/>
      <c r="G408" s="25"/>
      <c r="H408" s="26"/>
      <c r="I408" s="27"/>
      <c r="J408" s="28"/>
      <c r="K408" s="29"/>
      <c r="L408" s="30"/>
      <c r="M408" s="31"/>
      <c r="N408" s="32"/>
      <c r="O408" s="24"/>
      <c r="P408" s="33"/>
      <c r="Q408" s="34"/>
      <c r="R408" s="35"/>
      <c r="S408" s="36"/>
      <c r="T408" s="37"/>
      <c r="U408" s="38"/>
      <c r="V408" s="22"/>
    </row>
    <row r="409" spans="3:22" x14ac:dyDescent="0.25">
      <c r="C409" s="33"/>
      <c r="D409" s="142"/>
      <c r="E409" s="45"/>
      <c r="F409" s="24"/>
      <c r="G409" s="25"/>
      <c r="H409" s="26"/>
      <c r="I409" s="27"/>
      <c r="J409" s="28"/>
      <c r="K409" s="29"/>
      <c r="L409" s="30"/>
      <c r="M409" s="31"/>
      <c r="N409" s="32"/>
      <c r="O409" s="24"/>
      <c r="P409" s="33"/>
      <c r="Q409" s="34"/>
      <c r="R409" s="35"/>
      <c r="S409" s="36"/>
      <c r="T409" s="37"/>
      <c r="U409" s="38"/>
      <c r="V409" s="22"/>
    </row>
    <row r="410" spans="3:22" x14ac:dyDescent="0.25">
      <c r="C410" s="33"/>
      <c r="D410" s="142"/>
      <c r="E410" s="45"/>
      <c r="F410" s="24"/>
      <c r="G410" s="25"/>
      <c r="H410" s="26"/>
      <c r="I410" s="27"/>
      <c r="J410" s="28"/>
      <c r="K410" s="29"/>
      <c r="L410" s="30"/>
      <c r="M410" s="31"/>
      <c r="N410" s="32"/>
      <c r="O410" s="24"/>
      <c r="P410" s="33"/>
      <c r="Q410" s="34"/>
      <c r="R410" s="35"/>
      <c r="S410" s="36"/>
      <c r="T410" s="37"/>
      <c r="U410" s="38"/>
      <c r="V410" s="22"/>
    </row>
    <row r="411" spans="3:22" x14ac:dyDescent="0.25">
      <c r="C411" s="33"/>
      <c r="D411" s="142"/>
      <c r="E411" s="45"/>
      <c r="F411" s="24"/>
      <c r="G411" s="25"/>
      <c r="H411" s="26"/>
      <c r="I411" s="27"/>
      <c r="J411" s="28"/>
      <c r="K411" s="29"/>
      <c r="L411" s="30"/>
      <c r="M411" s="31"/>
      <c r="N411" s="32"/>
      <c r="O411" s="24"/>
      <c r="P411" s="33"/>
      <c r="Q411" s="34"/>
      <c r="R411" s="35"/>
      <c r="S411" s="36"/>
      <c r="T411" s="37"/>
      <c r="U411" s="38"/>
      <c r="V411" s="22"/>
    </row>
    <row r="412" spans="3:22" x14ac:dyDescent="0.25">
      <c r="C412" s="33"/>
      <c r="D412" s="142"/>
      <c r="E412" s="45"/>
      <c r="F412" s="24"/>
      <c r="G412" s="25"/>
      <c r="H412" s="26"/>
      <c r="I412" s="27"/>
      <c r="J412" s="28"/>
      <c r="K412" s="29"/>
      <c r="L412" s="30"/>
      <c r="M412" s="31"/>
      <c r="N412" s="32"/>
      <c r="O412" s="24"/>
      <c r="P412" s="33"/>
      <c r="Q412" s="34"/>
      <c r="R412" s="35"/>
      <c r="S412" s="36"/>
      <c r="T412" s="37"/>
      <c r="U412" s="38"/>
      <c r="V412" s="22"/>
    </row>
    <row r="413" spans="3:22" x14ac:dyDescent="0.25">
      <c r="C413" s="33"/>
      <c r="D413" s="142"/>
      <c r="E413" s="45"/>
      <c r="F413" s="24"/>
      <c r="G413" s="25"/>
      <c r="H413" s="26"/>
      <c r="I413" s="27"/>
      <c r="J413" s="28"/>
      <c r="K413" s="29"/>
      <c r="L413" s="30"/>
      <c r="M413" s="31"/>
      <c r="N413" s="32"/>
      <c r="O413" s="24"/>
      <c r="P413" s="33"/>
      <c r="Q413" s="34"/>
      <c r="R413" s="35"/>
      <c r="S413" s="36"/>
      <c r="T413" s="37"/>
      <c r="U413" s="38"/>
      <c r="V413" s="22"/>
    </row>
    <row r="414" spans="3:22" x14ac:dyDescent="0.25">
      <c r="C414" s="33"/>
      <c r="D414" s="142"/>
      <c r="E414" s="45"/>
      <c r="F414" s="24"/>
      <c r="G414" s="25"/>
      <c r="H414" s="26"/>
      <c r="I414" s="27"/>
      <c r="J414" s="28"/>
      <c r="K414" s="29"/>
      <c r="L414" s="30"/>
      <c r="M414" s="31"/>
      <c r="N414" s="32"/>
      <c r="O414" s="24"/>
      <c r="P414" s="33"/>
      <c r="Q414" s="34"/>
      <c r="R414" s="35"/>
      <c r="S414" s="36"/>
      <c r="T414" s="37"/>
      <c r="U414" s="38"/>
      <c r="V414" s="22"/>
    </row>
    <row r="415" spans="3:22" x14ac:dyDescent="0.25">
      <c r="C415" s="33"/>
      <c r="D415" s="142"/>
      <c r="E415" s="45"/>
      <c r="F415" s="24"/>
      <c r="G415" s="25"/>
      <c r="H415" s="26"/>
      <c r="I415" s="27"/>
      <c r="J415" s="28"/>
      <c r="K415" s="29"/>
      <c r="L415" s="30"/>
      <c r="M415" s="31"/>
      <c r="N415" s="32"/>
      <c r="O415" s="24"/>
      <c r="P415" s="33"/>
      <c r="Q415" s="34"/>
      <c r="R415" s="35"/>
      <c r="S415" s="36"/>
      <c r="T415" s="37"/>
      <c r="U415" s="38"/>
      <c r="V415" s="22"/>
    </row>
    <row r="416" spans="3:22" x14ac:dyDescent="0.25">
      <c r="C416" s="33"/>
      <c r="D416" s="142"/>
      <c r="E416" s="45"/>
      <c r="F416" s="24"/>
      <c r="G416" s="25"/>
      <c r="H416" s="26"/>
      <c r="I416" s="27"/>
      <c r="J416" s="28"/>
      <c r="K416" s="29"/>
      <c r="L416" s="30"/>
      <c r="M416" s="31"/>
      <c r="N416" s="32"/>
      <c r="O416" s="24"/>
      <c r="P416" s="33"/>
      <c r="Q416" s="34"/>
      <c r="R416" s="35"/>
      <c r="S416" s="36"/>
      <c r="T416" s="37"/>
      <c r="U416" s="38"/>
      <c r="V416" s="22"/>
    </row>
    <row r="417" spans="3:22" x14ac:dyDescent="0.25">
      <c r="C417" s="33"/>
      <c r="D417" s="142"/>
      <c r="E417" s="45"/>
      <c r="F417" s="24"/>
      <c r="G417" s="25"/>
      <c r="H417" s="26"/>
      <c r="I417" s="27"/>
      <c r="J417" s="28"/>
      <c r="K417" s="29"/>
      <c r="L417" s="30"/>
      <c r="M417" s="31"/>
      <c r="N417" s="32"/>
      <c r="O417" s="24"/>
      <c r="P417" s="33"/>
      <c r="Q417" s="34"/>
      <c r="R417" s="35"/>
      <c r="S417" s="36"/>
      <c r="T417" s="37"/>
      <c r="U417" s="38"/>
      <c r="V417" s="22"/>
    </row>
    <row r="418" spans="3:22" x14ac:dyDescent="0.25">
      <c r="C418" s="33"/>
      <c r="D418" s="142"/>
      <c r="E418" s="45"/>
      <c r="F418" s="24"/>
      <c r="G418" s="25"/>
      <c r="H418" s="26"/>
      <c r="I418" s="27"/>
      <c r="J418" s="28"/>
      <c r="K418" s="29"/>
      <c r="L418" s="30"/>
      <c r="M418" s="31"/>
      <c r="N418" s="32"/>
      <c r="O418" s="24"/>
      <c r="P418" s="33"/>
      <c r="Q418" s="34"/>
      <c r="R418" s="35"/>
      <c r="S418" s="36"/>
      <c r="T418" s="37"/>
      <c r="U418" s="38"/>
      <c r="V418" s="22"/>
    </row>
    <row r="419" spans="3:22" x14ac:dyDescent="0.25">
      <c r="C419" s="33"/>
      <c r="D419" s="142"/>
      <c r="E419" s="45"/>
      <c r="F419" s="24"/>
      <c r="G419" s="25"/>
      <c r="H419" s="26"/>
      <c r="I419" s="27"/>
      <c r="J419" s="28"/>
      <c r="K419" s="29"/>
      <c r="L419" s="30"/>
      <c r="M419" s="31"/>
      <c r="N419" s="32"/>
      <c r="O419" s="24"/>
      <c r="P419" s="33"/>
      <c r="Q419" s="34"/>
      <c r="R419" s="35"/>
      <c r="S419" s="36"/>
      <c r="T419" s="37"/>
      <c r="U419" s="38"/>
      <c r="V419" s="22"/>
    </row>
    <row r="420" spans="3:22" x14ac:dyDescent="0.25">
      <c r="C420" s="33"/>
      <c r="D420" s="142"/>
      <c r="E420" s="45"/>
      <c r="F420" s="24"/>
      <c r="G420" s="25"/>
      <c r="H420" s="26"/>
      <c r="I420" s="27"/>
      <c r="J420" s="28"/>
      <c r="K420" s="29"/>
      <c r="L420" s="30"/>
      <c r="M420" s="31"/>
      <c r="N420" s="32"/>
      <c r="O420" s="24"/>
      <c r="P420" s="33"/>
      <c r="Q420" s="34"/>
      <c r="R420" s="35"/>
      <c r="S420" s="36"/>
      <c r="T420" s="37"/>
      <c r="U420" s="38"/>
      <c r="V420" s="22"/>
    </row>
    <row r="421" spans="3:22" x14ac:dyDescent="0.25">
      <c r="C421" s="33"/>
      <c r="D421" s="142"/>
      <c r="E421" s="45"/>
      <c r="F421" s="24"/>
      <c r="G421" s="25"/>
      <c r="H421" s="26"/>
      <c r="I421" s="27"/>
      <c r="J421" s="28"/>
      <c r="K421" s="29"/>
      <c r="L421" s="30"/>
      <c r="M421" s="31"/>
      <c r="N421" s="32"/>
      <c r="O421" s="24"/>
      <c r="P421" s="33"/>
      <c r="Q421" s="34"/>
      <c r="R421" s="35"/>
      <c r="S421" s="36"/>
      <c r="T421" s="37"/>
      <c r="U421" s="38"/>
      <c r="V421" s="22"/>
    </row>
    <row r="422" spans="3:22" x14ac:dyDescent="0.25">
      <c r="C422" s="33"/>
      <c r="D422" s="142"/>
      <c r="E422" s="45"/>
      <c r="F422" s="24"/>
      <c r="G422" s="25"/>
      <c r="H422" s="26"/>
      <c r="I422" s="27"/>
      <c r="J422" s="28"/>
      <c r="K422" s="29"/>
      <c r="L422" s="30"/>
      <c r="M422" s="31"/>
      <c r="N422" s="32"/>
      <c r="O422" s="24"/>
      <c r="P422" s="33"/>
      <c r="Q422" s="34"/>
      <c r="R422" s="35"/>
      <c r="S422" s="36"/>
      <c r="T422" s="37"/>
      <c r="U422" s="38"/>
      <c r="V422" s="22"/>
    </row>
    <row r="423" spans="3:22" x14ac:dyDescent="0.25">
      <c r="C423" s="33"/>
      <c r="D423" s="142"/>
      <c r="E423" s="45"/>
      <c r="F423" s="24"/>
      <c r="G423" s="25"/>
      <c r="H423" s="26"/>
      <c r="I423" s="27"/>
      <c r="J423" s="28"/>
      <c r="K423" s="29"/>
      <c r="L423" s="30"/>
      <c r="M423" s="31"/>
      <c r="N423" s="32"/>
      <c r="O423" s="24"/>
      <c r="P423" s="33"/>
      <c r="Q423" s="34"/>
      <c r="R423" s="35"/>
      <c r="S423" s="36"/>
      <c r="T423" s="37"/>
      <c r="U423" s="38"/>
      <c r="V423" s="22"/>
    </row>
    <row r="424" spans="3:22" x14ac:dyDescent="0.25">
      <c r="C424" s="33"/>
      <c r="D424" s="142"/>
      <c r="E424" s="45"/>
      <c r="F424" s="24"/>
      <c r="G424" s="25"/>
      <c r="H424" s="26"/>
      <c r="I424" s="27"/>
      <c r="J424" s="28"/>
      <c r="K424" s="29"/>
      <c r="L424" s="30"/>
      <c r="M424" s="31"/>
      <c r="N424" s="32"/>
      <c r="O424" s="24"/>
      <c r="P424" s="33"/>
      <c r="Q424" s="34"/>
      <c r="R424" s="35"/>
      <c r="S424" s="36"/>
      <c r="T424" s="37"/>
      <c r="U424" s="38"/>
      <c r="V424" s="22"/>
    </row>
    <row r="425" spans="3:22" x14ac:dyDescent="0.25">
      <c r="C425" s="33"/>
      <c r="D425" s="142"/>
      <c r="E425" s="45"/>
      <c r="F425" s="24"/>
      <c r="G425" s="25"/>
      <c r="H425" s="26"/>
      <c r="I425" s="27"/>
      <c r="J425" s="28"/>
      <c r="K425" s="29"/>
      <c r="L425" s="30"/>
      <c r="M425" s="31"/>
      <c r="N425" s="32"/>
      <c r="O425" s="24"/>
      <c r="P425" s="33"/>
      <c r="Q425" s="34"/>
      <c r="R425" s="35"/>
      <c r="S425" s="36"/>
      <c r="T425" s="37"/>
      <c r="U425" s="38"/>
      <c r="V425" s="22"/>
    </row>
    <row r="426" spans="3:22" x14ac:dyDescent="0.25">
      <c r="C426" s="33"/>
      <c r="D426" s="142"/>
      <c r="E426" s="45"/>
      <c r="F426" s="24"/>
      <c r="G426" s="25"/>
      <c r="H426" s="26"/>
      <c r="I426" s="27"/>
      <c r="J426" s="28"/>
      <c r="K426" s="29"/>
      <c r="L426" s="30"/>
      <c r="M426" s="31"/>
      <c r="N426" s="32"/>
      <c r="O426" s="24"/>
      <c r="P426" s="33"/>
      <c r="Q426" s="34"/>
      <c r="R426" s="35"/>
      <c r="S426" s="36"/>
      <c r="T426" s="37"/>
      <c r="U426" s="38"/>
      <c r="V426" s="22"/>
    </row>
    <row r="427" spans="3:22" x14ac:dyDescent="0.25">
      <c r="C427" s="33"/>
      <c r="D427" s="142"/>
      <c r="E427" s="45"/>
      <c r="F427" s="24"/>
      <c r="G427" s="25"/>
      <c r="H427" s="26"/>
      <c r="I427" s="27"/>
      <c r="J427" s="28"/>
      <c r="K427" s="29"/>
      <c r="L427" s="30"/>
      <c r="M427" s="31"/>
      <c r="N427" s="32"/>
      <c r="O427" s="24"/>
      <c r="P427" s="33"/>
      <c r="Q427" s="34"/>
      <c r="R427" s="35"/>
      <c r="S427" s="36"/>
      <c r="T427" s="37"/>
      <c r="U427" s="38"/>
      <c r="V427" s="22"/>
    </row>
    <row r="428" spans="3:22" x14ac:dyDescent="0.25">
      <c r="C428" s="33"/>
      <c r="D428" s="142"/>
      <c r="E428" s="45"/>
      <c r="F428" s="24"/>
      <c r="G428" s="25"/>
      <c r="H428" s="26"/>
      <c r="I428" s="27"/>
      <c r="J428" s="28"/>
      <c r="K428" s="29"/>
      <c r="L428" s="30"/>
      <c r="M428" s="31"/>
      <c r="N428" s="32"/>
      <c r="O428" s="24"/>
      <c r="P428" s="33"/>
      <c r="Q428" s="34"/>
      <c r="R428" s="35"/>
      <c r="S428" s="36"/>
      <c r="T428" s="37"/>
      <c r="U428" s="38"/>
      <c r="V428" s="22"/>
    </row>
    <row r="429" spans="3:22" x14ac:dyDescent="0.25">
      <c r="C429" s="33"/>
      <c r="D429" s="142"/>
      <c r="E429" s="45"/>
      <c r="F429" s="24"/>
      <c r="G429" s="25"/>
      <c r="H429" s="26"/>
      <c r="I429" s="27"/>
      <c r="J429" s="28"/>
      <c r="K429" s="29"/>
      <c r="L429" s="30"/>
      <c r="M429" s="31"/>
      <c r="N429" s="32"/>
      <c r="O429" s="24"/>
      <c r="P429" s="33"/>
      <c r="Q429" s="34"/>
      <c r="R429" s="35"/>
      <c r="S429" s="36"/>
      <c r="T429" s="37"/>
      <c r="U429" s="38"/>
      <c r="V429" s="22"/>
    </row>
    <row r="430" spans="3:22" x14ac:dyDescent="0.25">
      <c r="C430" s="33"/>
      <c r="D430" s="142"/>
      <c r="E430" s="45"/>
      <c r="F430" s="24"/>
      <c r="G430" s="25"/>
      <c r="H430" s="26"/>
      <c r="I430" s="27"/>
      <c r="J430" s="28"/>
      <c r="K430" s="29"/>
      <c r="L430" s="30"/>
      <c r="M430" s="31"/>
      <c r="N430" s="32"/>
      <c r="O430" s="24"/>
      <c r="P430" s="33"/>
      <c r="Q430" s="34"/>
      <c r="R430" s="35"/>
      <c r="S430" s="36"/>
      <c r="T430" s="37"/>
      <c r="U430" s="38"/>
      <c r="V430" s="22"/>
    </row>
    <row r="431" spans="3:22" x14ac:dyDescent="0.25">
      <c r="C431" s="33"/>
      <c r="D431" s="142"/>
      <c r="E431" s="45"/>
      <c r="F431" s="24"/>
      <c r="G431" s="25"/>
      <c r="H431" s="26"/>
      <c r="I431" s="27"/>
      <c r="J431" s="28"/>
      <c r="K431" s="29"/>
      <c r="L431" s="30"/>
      <c r="M431" s="31"/>
      <c r="N431" s="32"/>
      <c r="O431" s="24"/>
      <c r="P431" s="33"/>
      <c r="Q431" s="34"/>
      <c r="R431" s="35"/>
      <c r="S431" s="36"/>
      <c r="T431" s="37"/>
      <c r="U431" s="38"/>
      <c r="V431" s="22"/>
    </row>
    <row r="432" spans="3:22" x14ac:dyDescent="0.25">
      <c r="C432" s="33"/>
      <c r="D432" s="142"/>
      <c r="E432" s="45"/>
      <c r="F432" s="24"/>
      <c r="G432" s="25"/>
      <c r="H432" s="26"/>
      <c r="I432" s="27"/>
      <c r="J432" s="28"/>
      <c r="K432" s="29"/>
      <c r="L432" s="30"/>
      <c r="M432" s="31"/>
      <c r="N432" s="32"/>
      <c r="O432" s="24"/>
      <c r="P432" s="33"/>
      <c r="Q432" s="34"/>
      <c r="R432" s="35"/>
      <c r="S432" s="36"/>
      <c r="T432" s="37"/>
      <c r="U432" s="38"/>
      <c r="V432" s="22"/>
    </row>
    <row r="433" spans="3:22" x14ac:dyDescent="0.25">
      <c r="C433" s="33"/>
      <c r="D433" s="142"/>
      <c r="E433" s="45"/>
      <c r="F433" s="24"/>
      <c r="G433" s="25"/>
      <c r="H433" s="26"/>
      <c r="I433" s="27"/>
      <c r="J433" s="28"/>
      <c r="K433" s="29"/>
      <c r="L433" s="30"/>
      <c r="M433" s="31"/>
      <c r="N433" s="32"/>
      <c r="O433" s="24"/>
      <c r="P433" s="33"/>
      <c r="Q433" s="34"/>
      <c r="R433" s="35"/>
      <c r="S433" s="36"/>
      <c r="T433" s="37"/>
      <c r="U433" s="38"/>
      <c r="V433" s="22"/>
    </row>
    <row r="434" spans="3:22" x14ac:dyDescent="0.25">
      <c r="C434" s="33"/>
      <c r="D434" s="142"/>
      <c r="E434" s="45"/>
      <c r="F434" s="24"/>
      <c r="G434" s="25"/>
      <c r="H434" s="26"/>
      <c r="I434" s="27"/>
      <c r="J434" s="28"/>
      <c r="K434" s="29"/>
      <c r="L434" s="30"/>
      <c r="M434" s="31"/>
      <c r="N434" s="32"/>
      <c r="O434" s="24"/>
      <c r="P434" s="33"/>
      <c r="Q434" s="34"/>
      <c r="R434" s="35"/>
      <c r="S434" s="36"/>
      <c r="T434" s="37"/>
      <c r="U434" s="38"/>
      <c r="V434" s="22"/>
    </row>
    <row r="435" spans="3:22" x14ac:dyDescent="0.25">
      <c r="C435" s="33"/>
      <c r="D435" s="142"/>
      <c r="E435" s="45"/>
      <c r="F435" s="24"/>
      <c r="G435" s="25"/>
      <c r="H435" s="26"/>
      <c r="I435" s="27"/>
      <c r="J435" s="28"/>
      <c r="K435" s="29"/>
      <c r="L435" s="30"/>
      <c r="M435" s="31"/>
      <c r="N435" s="32"/>
      <c r="O435" s="24"/>
      <c r="P435" s="33"/>
      <c r="Q435" s="34"/>
      <c r="R435" s="35"/>
      <c r="S435" s="36"/>
      <c r="T435" s="37"/>
      <c r="U435" s="38"/>
      <c r="V435" s="22"/>
    </row>
    <row r="436" spans="3:22" x14ac:dyDescent="0.25">
      <c r="C436" s="33"/>
      <c r="D436" s="142"/>
      <c r="E436" s="45"/>
      <c r="F436" s="24"/>
      <c r="G436" s="25"/>
      <c r="H436" s="26"/>
      <c r="I436" s="27"/>
      <c r="J436" s="28"/>
      <c r="K436" s="29"/>
      <c r="L436" s="30"/>
      <c r="M436" s="31"/>
      <c r="N436" s="32"/>
      <c r="O436" s="24"/>
      <c r="P436" s="33"/>
      <c r="Q436" s="34"/>
      <c r="R436" s="35"/>
      <c r="S436" s="36"/>
      <c r="T436" s="37"/>
      <c r="U436" s="38"/>
      <c r="V436" s="22"/>
    </row>
    <row r="437" spans="3:22" x14ac:dyDescent="0.25">
      <c r="C437" s="33"/>
      <c r="D437" s="142"/>
      <c r="E437" s="45"/>
      <c r="F437" s="24"/>
      <c r="G437" s="25"/>
      <c r="H437" s="26"/>
      <c r="I437" s="27"/>
      <c r="J437" s="28"/>
      <c r="K437" s="29"/>
      <c r="L437" s="30"/>
      <c r="M437" s="31"/>
      <c r="N437" s="32"/>
      <c r="O437" s="24"/>
      <c r="P437" s="33"/>
      <c r="Q437" s="34"/>
      <c r="R437" s="35"/>
      <c r="S437" s="36"/>
      <c r="T437" s="37"/>
      <c r="U437" s="38"/>
      <c r="V437" s="22"/>
    </row>
    <row r="438" spans="3:22" x14ac:dyDescent="0.25">
      <c r="C438" s="33"/>
      <c r="D438" s="142"/>
      <c r="E438" s="45"/>
      <c r="F438" s="24"/>
      <c r="G438" s="25"/>
      <c r="H438" s="26"/>
      <c r="I438" s="27"/>
      <c r="J438" s="28"/>
      <c r="K438" s="29"/>
      <c r="L438" s="30"/>
      <c r="M438" s="31"/>
      <c r="N438" s="32"/>
      <c r="O438" s="24"/>
      <c r="P438" s="33"/>
      <c r="Q438" s="34"/>
      <c r="R438" s="35"/>
      <c r="S438" s="36"/>
      <c r="T438" s="37"/>
      <c r="U438" s="38"/>
      <c r="V438" s="22"/>
    </row>
    <row r="439" spans="3:22" x14ac:dyDescent="0.25">
      <c r="C439" s="33"/>
      <c r="D439" s="142"/>
      <c r="E439" s="45"/>
      <c r="F439" s="24"/>
      <c r="G439" s="25"/>
      <c r="H439" s="26"/>
      <c r="I439" s="27"/>
      <c r="J439" s="28"/>
      <c r="K439" s="29"/>
      <c r="L439" s="30"/>
      <c r="M439" s="31"/>
      <c r="N439" s="32"/>
      <c r="O439" s="24"/>
      <c r="P439" s="33"/>
      <c r="Q439" s="34"/>
      <c r="R439" s="35"/>
      <c r="S439" s="36"/>
      <c r="T439" s="37"/>
      <c r="U439" s="38"/>
      <c r="V439" s="22"/>
    </row>
    <row r="440" spans="3:22" x14ac:dyDescent="0.25">
      <c r="C440" s="33"/>
      <c r="D440" s="142"/>
      <c r="E440" s="45"/>
      <c r="F440" s="24"/>
      <c r="G440" s="25"/>
      <c r="H440" s="26"/>
      <c r="I440" s="27"/>
      <c r="J440" s="28"/>
      <c r="K440" s="29"/>
      <c r="L440" s="30"/>
      <c r="M440" s="31"/>
      <c r="N440" s="32"/>
      <c r="O440" s="24"/>
      <c r="P440" s="33"/>
      <c r="Q440" s="34"/>
      <c r="R440" s="35"/>
      <c r="S440" s="36"/>
      <c r="T440" s="37"/>
      <c r="U440" s="38"/>
      <c r="V440" s="22"/>
    </row>
    <row r="441" spans="3:22" x14ac:dyDescent="0.25">
      <c r="C441" s="33"/>
      <c r="D441" s="142"/>
      <c r="E441" s="45"/>
      <c r="F441" s="24"/>
      <c r="G441" s="25"/>
      <c r="H441" s="26"/>
      <c r="I441" s="27"/>
      <c r="J441" s="28"/>
      <c r="K441" s="29"/>
      <c r="L441" s="30"/>
      <c r="M441" s="31"/>
      <c r="N441" s="32"/>
      <c r="O441" s="24"/>
      <c r="P441" s="33"/>
      <c r="Q441" s="34"/>
      <c r="R441" s="35"/>
      <c r="S441" s="36"/>
      <c r="T441" s="37"/>
      <c r="U441" s="38"/>
      <c r="V441" s="22"/>
    </row>
    <row r="442" spans="3:22" x14ac:dyDescent="0.25">
      <c r="C442" s="33"/>
      <c r="D442" s="142"/>
      <c r="E442" s="45"/>
      <c r="F442" s="24"/>
      <c r="G442" s="25"/>
      <c r="H442" s="26"/>
      <c r="I442" s="27"/>
      <c r="J442" s="28"/>
      <c r="K442" s="29"/>
      <c r="L442" s="30"/>
      <c r="M442" s="31"/>
      <c r="N442" s="32"/>
      <c r="O442" s="24"/>
      <c r="P442" s="33"/>
      <c r="Q442" s="34"/>
      <c r="R442" s="35"/>
      <c r="S442" s="36"/>
      <c r="T442" s="37"/>
      <c r="U442" s="38"/>
      <c r="V442" s="22"/>
    </row>
    <row r="443" spans="3:22" x14ac:dyDescent="0.25">
      <c r="C443" s="33"/>
      <c r="D443" s="142"/>
      <c r="E443" s="45"/>
      <c r="F443" s="24"/>
      <c r="G443" s="25"/>
      <c r="H443" s="26"/>
      <c r="I443" s="27"/>
      <c r="J443" s="28"/>
      <c r="K443" s="29"/>
      <c r="L443" s="30"/>
      <c r="M443" s="31"/>
      <c r="N443" s="32"/>
      <c r="O443" s="24"/>
      <c r="P443" s="33"/>
      <c r="Q443" s="34"/>
      <c r="R443" s="35"/>
      <c r="S443" s="36"/>
      <c r="T443" s="37"/>
      <c r="U443" s="38"/>
      <c r="V443" s="22"/>
    </row>
    <row r="444" spans="3:22" x14ac:dyDescent="0.25">
      <c r="C444" s="33"/>
      <c r="D444" s="142"/>
      <c r="E444" s="45"/>
      <c r="F444" s="24"/>
      <c r="G444" s="25"/>
      <c r="H444" s="26"/>
      <c r="I444" s="27"/>
      <c r="J444" s="28"/>
      <c r="K444" s="29"/>
      <c r="L444" s="30"/>
      <c r="M444" s="31"/>
      <c r="N444" s="32"/>
      <c r="O444" s="24"/>
      <c r="P444" s="33"/>
      <c r="Q444" s="34"/>
      <c r="R444" s="35"/>
      <c r="S444" s="36"/>
      <c r="T444" s="37"/>
      <c r="U444" s="38"/>
      <c r="V444" s="22"/>
    </row>
    <row r="445" spans="3:22" x14ac:dyDescent="0.25">
      <c r="C445" s="33"/>
      <c r="D445" s="142"/>
      <c r="E445" s="45"/>
      <c r="F445" s="24"/>
      <c r="G445" s="25"/>
      <c r="H445" s="26"/>
      <c r="I445" s="27"/>
      <c r="J445" s="28"/>
      <c r="K445" s="29"/>
      <c r="L445" s="30"/>
      <c r="M445" s="31"/>
      <c r="N445" s="32"/>
      <c r="O445" s="24"/>
      <c r="P445" s="33"/>
      <c r="Q445" s="34"/>
      <c r="R445" s="35"/>
      <c r="S445" s="36"/>
      <c r="T445" s="37"/>
      <c r="U445" s="38"/>
      <c r="V445" s="22"/>
    </row>
    <row r="446" spans="3:22" x14ac:dyDescent="0.25">
      <c r="C446" s="33"/>
      <c r="D446" s="142"/>
      <c r="E446" s="45"/>
      <c r="F446" s="24"/>
      <c r="G446" s="25"/>
      <c r="H446" s="26"/>
      <c r="I446" s="27"/>
      <c r="J446" s="28"/>
      <c r="K446" s="29"/>
      <c r="L446" s="30"/>
      <c r="M446" s="31"/>
      <c r="N446" s="32"/>
      <c r="O446" s="24"/>
      <c r="P446" s="33"/>
      <c r="Q446" s="34"/>
      <c r="R446" s="35"/>
      <c r="S446" s="36"/>
      <c r="T446" s="37"/>
      <c r="U446" s="38"/>
      <c r="V446" s="22"/>
    </row>
    <row r="447" spans="3:22" x14ac:dyDescent="0.25">
      <c r="C447" s="33"/>
      <c r="D447" s="142"/>
      <c r="E447" s="45"/>
      <c r="F447" s="24"/>
      <c r="G447" s="25"/>
      <c r="H447" s="26"/>
      <c r="I447" s="27"/>
      <c r="J447" s="28"/>
      <c r="K447" s="29"/>
      <c r="L447" s="30"/>
      <c r="M447" s="31"/>
      <c r="N447" s="32"/>
      <c r="O447" s="24"/>
      <c r="P447" s="33"/>
      <c r="Q447" s="34"/>
      <c r="R447" s="35"/>
      <c r="S447" s="36"/>
      <c r="T447" s="37"/>
      <c r="U447" s="38"/>
      <c r="V447" s="22"/>
    </row>
    <row r="448" spans="3:22" x14ac:dyDescent="0.25">
      <c r="C448" s="33"/>
      <c r="D448" s="142"/>
      <c r="E448" s="45"/>
      <c r="F448" s="24"/>
      <c r="G448" s="25"/>
      <c r="H448" s="26"/>
      <c r="I448" s="27"/>
      <c r="J448" s="28"/>
      <c r="K448" s="29"/>
      <c r="L448" s="30"/>
      <c r="M448" s="31"/>
      <c r="N448" s="32"/>
      <c r="O448" s="24"/>
      <c r="P448" s="33"/>
      <c r="Q448" s="34"/>
      <c r="R448" s="35"/>
      <c r="S448" s="36"/>
      <c r="T448" s="37"/>
      <c r="U448" s="38"/>
      <c r="V448" s="22"/>
    </row>
    <row r="449" spans="3:22" x14ac:dyDescent="0.25">
      <c r="C449" s="33"/>
      <c r="D449" s="142"/>
      <c r="E449" s="45"/>
      <c r="F449" s="24"/>
      <c r="G449" s="25"/>
      <c r="H449" s="26"/>
      <c r="I449" s="27"/>
      <c r="J449" s="28"/>
      <c r="K449" s="29"/>
      <c r="L449" s="30"/>
      <c r="M449" s="31"/>
      <c r="N449" s="32"/>
      <c r="O449" s="24"/>
      <c r="P449" s="33"/>
      <c r="Q449" s="34"/>
      <c r="R449" s="35"/>
      <c r="S449" s="36"/>
      <c r="T449" s="37"/>
      <c r="U449" s="38"/>
      <c r="V449" s="22"/>
    </row>
    <row r="450" spans="3:22" x14ac:dyDescent="0.25">
      <c r="C450" s="33"/>
      <c r="D450" s="142"/>
      <c r="E450" s="45"/>
      <c r="F450" s="24"/>
      <c r="G450" s="25"/>
      <c r="H450" s="26"/>
      <c r="I450" s="27"/>
      <c r="J450" s="28"/>
      <c r="K450" s="29"/>
      <c r="L450" s="30"/>
      <c r="M450" s="31"/>
      <c r="N450" s="32"/>
      <c r="O450" s="24"/>
      <c r="P450" s="33"/>
      <c r="Q450" s="34"/>
      <c r="R450" s="35"/>
      <c r="S450" s="36"/>
      <c r="T450" s="37"/>
      <c r="U450" s="38"/>
      <c r="V450" s="22"/>
    </row>
    <row r="451" spans="3:22" x14ac:dyDescent="0.25">
      <c r="C451" s="33"/>
      <c r="D451" s="142"/>
      <c r="E451" s="45"/>
      <c r="F451" s="24"/>
      <c r="G451" s="25"/>
      <c r="H451" s="26"/>
      <c r="I451" s="27"/>
      <c r="J451" s="28"/>
      <c r="K451" s="29"/>
      <c r="L451" s="30"/>
      <c r="M451" s="31"/>
      <c r="N451" s="32"/>
      <c r="O451" s="24"/>
      <c r="P451" s="33"/>
      <c r="Q451" s="34"/>
      <c r="R451" s="35"/>
      <c r="S451" s="36"/>
      <c r="T451" s="37"/>
      <c r="U451" s="38"/>
      <c r="V451" s="22"/>
    </row>
    <row r="452" spans="3:22" x14ac:dyDescent="0.25">
      <c r="C452" s="33"/>
      <c r="D452" s="142"/>
      <c r="E452" s="45"/>
      <c r="F452" s="24"/>
      <c r="G452" s="25"/>
      <c r="H452" s="26"/>
      <c r="I452" s="27"/>
      <c r="J452" s="28"/>
      <c r="K452" s="29"/>
      <c r="L452" s="30"/>
      <c r="M452" s="31"/>
      <c r="N452" s="32"/>
      <c r="O452" s="24"/>
      <c r="P452" s="33"/>
      <c r="Q452" s="34"/>
      <c r="R452" s="35"/>
      <c r="S452" s="36"/>
      <c r="T452" s="37"/>
      <c r="U452" s="38"/>
      <c r="V452" s="22"/>
    </row>
    <row r="453" spans="3:22" x14ac:dyDescent="0.25">
      <c r="C453" s="33"/>
      <c r="D453" s="142"/>
      <c r="E453" s="45"/>
      <c r="F453" s="24"/>
      <c r="G453" s="25"/>
      <c r="H453" s="26"/>
      <c r="I453" s="27"/>
      <c r="J453" s="28"/>
      <c r="K453" s="29"/>
      <c r="L453" s="30"/>
      <c r="M453" s="31"/>
      <c r="N453" s="32"/>
      <c r="O453" s="24"/>
      <c r="P453" s="33"/>
      <c r="Q453" s="34"/>
      <c r="R453" s="35"/>
      <c r="S453" s="36"/>
      <c r="T453" s="37"/>
      <c r="U453" s="38"/>
      <c r="V453" s="22"/>
    </row>
    <row r="454" spans="3:22" x14ac:dyDescent="0.25">
      <c r="C454" s="33"/>
      <c r="D454" s="142"/>
      <c r="E454" s="45"/>
      <c r="F454" s="24"/>
      <c r="G454" s="25"/>
      <c r="H454" s="26"/>
      <c r="I454" s="27"/>
      <c r="J454" s="28"/>
      <c r="K454" s="29"/>
      <c r="L454" s="30"/>
      <c r="M454" s="31"/>
      <c r="N454" s="32"/>
      <c r="O454" s="24"/>
      <c r="P454" s="33"/>
      <c r="Q454" s="34"/>
      <c r="R454" s="35"/>
      <c r="S454" s="36"/>
      <c r="T454" s="37"/>
      <c r="U454" s="38"/>
      <c r="V454" s="22"/>
    </row>
    <row r="455" spans="3:22" x14ac:dyDescent="0.25">
      <c r="C455" s="33"/>
      <c r="D455" s="142"/>
      <c r="E455" s="45"/>
      <c r="F455" s="24"/>
      <c r="G455" s="25"/>
      <c r="H455" s="26"/>
      <c r="I455" s="27"/>
      <c r="J455" s="28"/>
      <c r="K455" s="29"/>
      <c r="L455" s="30"/>
      <c r="M455" s="31"/>
      <c r="N455" s="32"/>
      <c r="O455" s="24"/>
      <c r="P455" s="33"/>
      <c r="Q455" s="34"/>
      <c r="R455" s="35"/>
      <c r="S455" s="36"/>
      <c r="T455" s="37"/>
      <c r="U455" s="38"/>
      <c r="V455" s="22"/>
    </row>
    <row r="456" spans="3:22" x14ac:dyDescent="0.25">
      <c r="C456" s="33"/>
      <c r="D456" s="142"/>
      <c r="E456" s="45"/>
      <c r="F456" s="24"/>
      <c r="G456" s="25"/>
      <c r="H456" s="26"/>
      <c r="I456" s="27"/>
      <c r="J456" s="28"/>
      <c r="K456" s="29"/>
      <c r="L456" s="30"/>
      <c r="M456" s="31"/>
      <c r="N456" s="32"/>
      <c r="O456" s="24"/>
      <c r="P456" s="33"/>
      <c r="Q456" s="34"/>
      <c r="R456" s="35"/>
      <c r="S456" s="36"/>
      <c r="T456" s="37"/>
      <c r="U456" s="38"/>
      <c r="V456" s="22"/>
    </row>
    <row r="457" spans="3:22" x14ac:dyDescent="0.25">
      <c r="C457" s="33"/>
      <c r="D457" s="142"/>
      <c r="E457" s="45"/>
      <c r="F457" s="24"/>
      <c r="G457" s="25"/>
      <c r="H457" s="26"/>
      <c r="I457" s="27"/>
      <c r="J457" s="28"/>
      <c r="K457" s="29"/>
      <c r="L457" s="30"/>
      <c r="M457" s="31"/>
      <c r="N457" s="32"/>
      <c r="O457" s="24"/>
      <c r="P457" s="33"/>
      <c r="Q457" s="34"/>
      <c r="R457" s="35"/>
      <c r="S457" s="36"/>
      <c r="T457" s="37"/>
      <c r="U457" s="38"/>
      <c r="V457" s="22"/>
    </row>
    <row r="458" spans="3:22" x14ac:dyDescent="0.25">
      <c r="C458" s="33"/>
      <c r="D458" s="142"/>
      <c r="E458" s="45"/>
      <c r="F458" s="24"/>
      <c r="G458" s="25"/>
      <c r="H458" s="26"/>
      <c r="I458" s="27"/>
      <c r="J458" s="28"/>
      <c r="K458" s="29"/>
      <c r="L458" s="30"/>
      <c r="M458" s="31"/>
      <c r="N458" s="32"/>
      <c r="O458" s="24"/>
      <c r="P458" s="33"/>
      <c r="Q458" s="34"/>
      <c r="R458" s="35"/>
      <c r="S458" s="36"/>
      <c r="T458" s="37"/>
      <c r="U458" s="38"/>
      <c r="V458" s="22"/>
    </row>
    <row r="459" spans="3:22" x14ac:dyDescent="0.25">
      <c r="C459" s="33"/>
      <c r="D459" s="142"/>
      <c r="E459" s="45"/>
      <c r="F459" s="24"/>
      <c r="G459" s="25"/>
      <c r="H459" s="26"/>
      <c r="I459" s="27"/>
      <c r="J459" s="28"/>
      <c r="K459" s="29"/>
      <c r="L459" s="30"/>
      <c r="M459" s="31"/>
      <c r="N459" s="32"/>
      <c r="O459" s="24"/>
      <c r="P459" s="33"/>
      <c r="Q459" s="34"/>
      <c r="R459" s="35"/>
      <c r="S459" s="36"/>
      <c r="T459" s="37"/>
      <c r="U459" s="38"/>
      <c r="V459" s="22"/>
    </row>
    <row r="460" spans="3:22" x14ac:dyDescent="0.25">
      <c r="C460" s="33"/>
      <c r="D460" s="142"/>
      <c r="E460" s="45"/>
      <c r="F460" s="24"/>
      <c r="G460" s="25"/>
      <c r="H460" s="26"/>
      <c r="I460" s="27"/>
      <c r="J460" s="28"/>
      <c r="K460" s="29"/>
      <c r="L460" s="30"/>
      <c r="M460" s="31"/>
      <c r="N460" s="32"/>
      <c r="O460" s="24"/>
      <c r="P460" s="33"/>
      <c r="Q460" s="34"/>
      <c r="R460" s="35"/>
      <c r="S460" s="36"/>
      <c r="T460" s="37"/>
      <c r="U460" s="38"/>
      <c r="V460" s="22"/>
    </row>
    <row r="461" spans="3:22" x14ac:dyDescent="0.25">
      <c r="C461" s="33"/>
      <c r="D461" s="142"/>
      <c r="E461" s="45"/>
      <c r="F461" s="24"/>
      <c r="G461" s="25"/>
      <c r="H461" s="26"/>
      <c r="I461" s="27"/>
      <c r="J461" s="28"/>
      <c r="K461" s="29"/>
      <c r="L461" s="30"/>
      <c r="M461" s="31"/>
      <c r="N461" s="32"/>
      <c r="O461" s="24"/>
      <c r="P461" s="33"/>
      <c r="Q461" s="34"/>
      <c r="R461" s="35"/>
      <c r="S461" s="36"/>
      <c r="T461" s="37"/>
      <c r="U461" s="38"/>
      <c r="V461" s="22"/>
    </row>
    <row r="462" spans="3:22" x14ac:dyDescent="0.25">
      <c r="C462" s="33"/>
      <c r="D462" s="142"/>
      <c r="E462" s="45"/>
      <c r="F462" s="24"/>
      <c r="G462" s="25"/>
      <c r="H462" s="26"/>
      <c r="I462" s="27"/>
      <c r="J462" s="28"/>
      <c r="K462" s="29"/>
      <c r="L462" s="30"/>
      <c r="M462" s="31"/>
      <c r="N462" s="32"/>
      <c r="O462" s="24"/>
      <c r="P462" s="33"/>
      <c r="Q462" s="34"/>
      <c r="R462" s="35"/>
      <c r="S462" s="36"/>
      <c r="T462" s="37"/>
      <c r="U462" s="38"/>
      <c r="V462" s="22"/>
    </row>
    <row r="463" spans="3:22" x14ac:dyDescent="0.25">
      <c r="C463" s="33"/>
      <c r="D463" s="142"/>
      <c r="E463" s="45"/>
      <c r="F463" s="24"/>
      <c r="G463" s="25"/>
      <c r="H463" s="26"/>
      <c r="I463" s="27"/>
      <c r="J463" s="28"/>
      <c r="K463" s="29"/>
      <c r="L463" s="30"/>
      <c r="M463" s="31"/>
      <c r="N463" s="32"/>
      <c r="O463" s="24"/>
      <c r="P463" s="33"/>
      <c r="Q463" s="34"/>
      <c r="R463" s="35"/>
      <c r="S463" s="36"/>
      <c r="T463" s="37"/>
      <c r="U463" s="38"/>
      <c r="V463" s="22"/>
    </row>
    <row r="464" spans="3:22" x14ac:dyDescent="0.25">
      <c r="C464" s="33"/>
      <c r="D464" s="142"/>
      <c r="E464" s="45"/>
      <c r="F464" s="24"/>
      <c r="G464" s="25"/>
      <c r="H464" s="26"/>
      <c r="I464" s="27"/>
      <c r="J464" s="28"/>
      <c r="K464" s="29"/>
      <c r="L464" s="30"/>
      <c r="M464" s="31"/>
      <c r="N464" s="32"/>
      <c r="O464" s="24"/>
      <c r="P464" s="33"/>
      <c r="Q464" s="34"/>
      <c r="R464" s="35"/>
      <c r="S464" s="36"/>
      <c r="T464" s="37"/>
      <c r="U464" s="38"/>
      <c r="V464" s="22"/>
    </row>
    <row r="465" spans="3:22" x14ac:dyDescent="0.25">
      <c r="C465" s="33"/>
      <c r="D465" s="142"/>
      <c r="E465" s="45"/>
      <c r="F465" s="24"/>
      <c r="G465" s="25"/>
      <c r="H465" s="26"/>
      <c r="I465" s="27"/>
      <c r="J465" s="28"/>
      <c r="K465" s="29"/>
      <c r="L465" s="30"/>
      <c r="M465" s="31"/>
      <c r="N465" s="32"/>
      <c r="O465" s="24"/>
      <c r="P465" s="33"/>
      <c r="Q465" s="34"/>
      <c r="R465" s="35"/>
      <c r="S465" s="36"/>
      <c r="T465" s="37"/>
      <c r="U465" s="38"/>
      <c r="V465" s="22"/>
    </row>
    <row r="466" spans="3:22" x14ac:dyDescent="0.25">
      <c r="C466" s="33"/>
      <c r="D466" s="142"/>
      <c r="E466" s="45"/>
      <c r="F466" s="24"/>
      <c r="G466" s="25"/>
      <c r="H466" s="26"/>
      <c r="I466" s="27"/>
      <c r="J466" s="28"/>
      <c r="K466" s="29"/>
      <c r="L466" s="30"/>
      <c r="M466" s="31"/>
      <c r="N466" s="32"/>
      <c r="O466" s="24"/>
      <c r="P466" s="33"/>
      <c r="Q466" s="34"/>
      <c r="R466" s="35"/>
      <c r="S466" s="36"/>
      <c r="T466" s="37"/>
      <c r="U466" s="38"/>
      <c r="V466" s="22"/>
    </row>
    <row r="467" spans="3:22" x14ac:dyDescent="0.25">
      <c r="C467" s="33"/>
      <c r="D467" s="142"/>
      <c r="E467" s="45"/>
      <c r="F467" s="24"/>
      <c r="G467" s="25"/>
      <c r="H467" s="26"/>
      <c r="I467" s="27"/>
      <c r="J467" s="28"/>
      <c r="K467" s="29"/>
      <c r="L467" s="30"/>
      <c r="M467" s="31"/>
      <c r="N467" s="32"/>
      <c r="O467" s="24"/>
      <c r="P467" s="33"/>
      <c r="Q467" s="34"/>
      <c r="R467" s="35"/>
      <c r="S467" s="36"/>
      <c r="T467" s="37"/>
      <c r="U467" s="38"/>
      <c r="V467" s="22"/>
    </row>
    <row r="468" spans="3:22" x14ac:dyDescent="0.25">
      <c r="C468" s="33"/>
      <c r="D468" s="142"/>
      <c r="E468" s="45"/>
      <c r="F468" s="24"/>
      <c r="G468" s="25"/>
      <c r="H468" s="26"/>
      <c r="I468" s="27"/>
      <c r="J468" s="28"/>
      <c r="K468" s="29"/>
      <c r="L468" s="30"/>
      <c r="M468" s="31"/>
      <c r="N468" s="32"/>
      <c r="O468" s="24"/>
      <c r="P468" s="33"/>
      <c r="Q468" s="34"/>
      <c r="R468" s="35"/>
      <c r="S468" s="36"/>
      <c r="T468" s="37"/>
      <c r="U468" s="38"/>
      <c r="V468" s="22"/>
    </row>
    <row r="469" spans="3:22" x14ac:dyDescent="0.25">
      <c r="C469" s="33"/>
      <c r="D469" s="142"/>
      <c r="E469" s="45"/>
      <c r="F469" s="24"/>
      <c r="G469" s="25"/>
      <c r="H469" s="26"/>
      <c r="I469" s="27"/>
      <c r="J469" s="28"/>
      <c r="K469" s="29"/>
      <c r="L469" s="30"/>
      <c r="M469" s="31"/>
      <c r="N469" s="32"/>
      <c r="O469" s="24"/>
      <c r="P469" s="33"/>
      <c r="Q469" s="34"/>
      <c r="R469" s="35"/>
      <c r="S469" s="36"/>
      <c r="T469" s="37"/>
      <c r="U469" s="38"/>
      <c r="V469" s="22"/>
    </row>
    <row r="470" spans="3:22" x14ac:dyDescent="0.25">
      <c r="C470" s="33"/>
      <c r="D470" s="142"/>
      <c r="E470" s="45"/>
      <c r="F470" s="24"/>
      <c r="G470" s="25"/>
      <c r="H470" s="26"/>
      <c r="I470" s="27"/>
      <c r="J470" s="28"/>
      <c r="K470" s="29"/>
      <c r="L470" s="30"/>
      <c r="M470" s="31"/>
      <c r="N470" s="32"/>
      <c r="O470" s="24"/>
      <c r="P470" s="33"/>
      <c r="Q470" s="34"/>
      <c r="R470" s="35"/>
      <c r="S470" s="36"/>
      <c r="T470" s="37"/>
      <c r="U470" s="38"/>
      <c r="V470" s="22"/>
    </row>
    <row r="471" spans="3:22" x14ac:dyDescent="0.25">
      <c r="C471" s="33"/>
      <c r="D471" s="142"/>
      <c r="E471" s="45"/>
      <c r="F471" s="24"/>
      <c r="G471" s="25"/>
      <c r="H471" s="26"/>
      <c r="I471" s="27"/>
      <c r="J471" s="28"/>
      <c r="K471" s="29"/>
      <c r="L471" s="30"/>
      <c r="M471" s="31"/>
      <c r="N471" s="32"/>
      <c r="O471" s="24"/>
      <c r="P471" s="33"/>
      <c r="Q471" s="34"/>
      <c r="R471" s="35"/>
      <c r="S471" s="36"/>
      <c r="T471" s="37"/>
      <c r="U471" s="38"/>
      <c r="V471" s="22"/>
    </row>
    <row r="472" spans="3:22" x14ac:dyDescent="0.25">
      <c r="C472" s="33"/>
      <c r="D472" s="142"/>
      <c r="E472" s="45"/>
      <c r="F472" s="24"/>
      <c r="G472" s="25"/>
      <c r="H472" s="26"/>
      <c r="I472" s="27"/>
      <c r="J472" s="28"/>
      <c r="K472" s="29"/>
      <c r="L472" s="30"/>
      <c r="M472" s="31"/>
      <c r="N472" s="32"/>
      <c r="O472" s="24"/>
      <c r="P472" s="33"/>
      <c r="Q472" s="34"/>
      <c r="R472" s="35"/>
      <c r="S472" s="36"/>
      <c r="T472" s="37"/>
      <c r="U472" s="38"/>
      <c r="V472" s="22"/>
    </row>
    <row r="473" spans="3:22" x14ac:dyDescent="0.25">
      <c r="C473" s="33"/>
      <c r="D473" s="142"/>
      <c r="E473" s="45"/>
      <c r="F473" s="24"/>
      <c r="G473" s="25"/>
      <c r="H473" s="26"/>
      <c r="I473" s="27"/>
      <c r="J473" s="28"/>
      <c r="K473" s="29"/>
      <c r="L473" s="30"/>
      <c r="M473" s="31"/>
      <c r="N473" s="32"/>
      <c r="O473" s="24"/>
      <c r="P473" s="33"/>
      <c r="Q473" s="34"/>
      <c r="R473" s="35"/>
      <c r="S473" s="36"/>
      <c r="T473" s="37"/>
      <c r="U473" s="38"/>
      <c r="V473" s="22"/>
    </row>
    <row r="474" spans="3:22" x14ac:dyDescent="0.25">
      <c r="C474" s="33"/>
      <c r="D474" s="142"/>
      <c r="E474" s="45"/>
      <c r="F474" s="24"/>
      <c r="G474" s="25"/>
      <c r="H474" s="26"/>
      <c r="I474" s="27"/>
      <c r="J474" s="28"/>
      <c r="K474" s="29"/>
      <c r="L474" s="30"/>
      <c r="M474" s="31"/>
      <c r="N474" s="32"/>
      <c r="O474" s="24"/>
      <c r="P474" s="33"/>
      <c r="Q474" s="34"/>
      <c r="R474" s="35"/>
      <c r="S474" s="36"/>
      <c r="T474" s="37"/>
      <c r="U474" s="38"/>
      <c r="V474" s="22"/>
    </row>
    <row r="475" spans="3:22" x14ac:dyDescent="0.25">
      <c r="C475" s="33"/>
      <c r="D475" s="142"/>
      <c r="E475" s="45"/>
      <c r="F475" s="24"/>
      <c r="G475" s="25"/>
      <c r="H475" s="26"/>
      <c r="I475" s="27"/>
      <c r="J475" s="28"/>
      <c r="K475" s="29"/>
      <c r="L475" s="30"/>
      <c r="M475" s="31"/>
      <c r="N475" s="32"/>
      <c r="O475" s="24"/>
      <c r="P475" s="33"/>
      <c r="Q475" s="34"/>
      <c r="R475" s="35"/>
      <c r="S475" s="36"/>
      <c r="T475" s="37"/>
      <c r="U475" s="38"/>
      <c r="V475" s="22"/>
    </row>
    <row r="476" spans="3:22" x14ac:dyDescent="0.25">
      <c r="C476" s="33"/>
      <c r="D476" s="142"/>
      <c r="E476" s="45"/>
      <c r="F476" s="24"/>
      <c r="G476" s="25"/>
      <c r="H476" s="26"/>
      <c r="I476" s="27"/>
      <c r="J476" s="28"/>
      <c r="K476" s="29"/>
      <c r="L476" s="30"/>
      <c r="M476" s="31"/>
      <c r="N476" s="32"/>
      <c r="O476" s="24"/>
      <c r="P476" s="33"/>
      <c r="Q476" s="34"/>
      <c r="R476" s="35"/>
      <c r="S476" s="36"/>
      <c r="T476" s="37"/>
      <c r="U476" s="38"/>
      <c r="V476" s="22"/>
    </row>
    <row r="477" spans="3:22" x14ac:dyDescent="0.25">
      <c r="C477" s="33"/>
      <c r="D477" s="142"/>
      <c r="E477" s="45"/>
      <c r="F477" s="24"/>
      <c r="G477" s="25"/>
      <c r="H477" s="26"/>
      <c r="I477" s="27"/>
      <c r="J477" s="28"/>
      <c r="K477" s="29"/>
      <c r="L477" s="30"/>
      <c r="M477" s="31"/>
      <c r="N477" s="32"/>
      <c r="O477" s="24"/>
      <c r="P477" s="33"/>
      <c r="Q477" s="34"/>
      <c r="R477" s="35"/>
      <c r="S477" s="36"/>
      <c r="T477" s="37"/>
      <c r="U477" s="38"/>
      <c r="V477" s="22"/>
    </row>
    <row r="478" spans="3:22" x14ac:dyDescent="0.25">
      <c r="C478" s="33"/>
      <c r="D478" s="142"/>
      <c r="E478" s="45"/>
      <c r="F478" s="24"/>
      <c r="G478" s="25"/>
      <c r="H478" s="26"/>
      <c r="I478" s="27"/>
      <c r="J478" s="28"/>
      <c r="K478" s="29"/>
      <c r="L478" s="30"/>
      <c r="M478" s="31"/>
      <c r="N478" s="32"/>
      <c r="O478" s="24"/>
      <c r="P478" s="33"/>
      <c r="Q478" s="34"/>
      <c r="R478" s="35"/>
      <c r="S478" s="36"/>
      <c r="T478" s="37"/>
      <c r="U478" s="38"/>
      <c r="V478" s="22"/>
    </row>
    <row r="479" spans="3:22" x14ac:dyDescent="0.25">
      <c r="C479" s="33"/>
      <c r="D479" s="142"/>
      <c r="E479" s="45"/>
      <c r="F479" s="24"/>
      <c r="G479" s="25"/>
      <c r="H479" s="26"/>
      <c r="I479" s="27"/>
      <c r="J479" s="28"/>
      <c r="K479" s="29"/>
      <c r="L479" s="30"/>
      <c r="M479" s="31"/>
      <c r="N479" s="32"/>
      <c r="O479" s="24"/>
      <c r="P479" s="33"/>
      <c r="Q479" s="34"/>
      <c r="R479" s="35"/>
      <c r="S479" s="36"/>
      <c r="T479" s="37"/>
      <c r="U479" s="38"/>
      <c r="V479" s="22"/>
    </row>
    <row r="480" spans="3:22" x14ac:dyDescent="0.25">
      <c r="C480" s="33"/>
      <c r="D480" s="142"/>
      <c r="E480" s="45"/>
      <c r="F480" s="24"/>
      <c r="G480" s="25"/>
      <c r="H480" s="26"/>
      <c r="I480" s="27"/>
      <c r="J480" s="28"/>
      <c r="K480" s="29"/>
      <c r="L480" s="30"/>
      <c r="M480" s="31"/>
      <c r="N480" s="32"/>
      <c r="O480" s="24"/>
      <c r="P480" s="33"/>
      <c r="Q480" s="34"/>
      <c r="R480" s="35"/>
      <c r="S480" s="36"/>
      <c r="T480" s="37"/>
      <c r="U480" s="38"/>
      <c r="V480" s="22"/>
    </row>
    <row r="481" spans="3:22" x14ac:dyDescent="0.25">
      <c r="C481" s="33"/>
      <c r="D481" s="142"/>
      <c r="E481" s="45"/>
      <c r="F481" s="24"/>
      <c r="G481" s="25"/>
      <c r="H481" s="26"/>
      <c r="I481" s="27"/>
      <c r="J481" s="28"/>
      <c r="K481" s="29"/>
      <c r="L481" s="30"/>
      <c r="M481" s="31"/>
      <c r="N481" s="32"/>
      <c r="O481" s="24"/>
      <c r="P481" s="33"/>
      <c r="Q481" s="34"/>
      <c r="R481" s="35"/>
      <c r="S481" s="36"/>
      <c r="T481" s="37"/>
      <c r="U481" s="38"/>
      <c r="V481" s="22"/>
    </row>
    <row r="482" spans="3:22" x14ac:dyDescent="0.25">
      <c r="C482" s="33"/>
      <c r="D482" s="142"/>
      <c r="E482" s="45"/>
      <c r="F482" s="24"/>
      <c r="G482" s="25"/>
      <c r="H482" s="26"/>
      <c r="I482" s="27"/>
      <c r="J482" s="28"/>
      <c r="K482" s="29"/>
      <c r="L482" s="30"/>
      <c r="M482" s="31"/>
      <c r="N482" s="32"/>
      <c r="O482" s="24"/>
      <c r="P482" s="33"/>
      <c r="Q482" s="34"/>
      <c r="R482" s="35"/>
      <c r="S482" s="36"/>
      <c r="T482" s="37"/>
      <c r="U482" s="38"/>
      <c r="V482" s="22"/>
    </row>
    <row r="483" spans="3:22" x14ac:dyDescent="0.25">
      <c r="C483" s="33"/>
      <c r="D483" s="142"/>
      <c r="E483" s="45"/>
      <c r="F483" s="24"/>
      <c r="G483" s="25"/>
      <c r="H483" s="26"/>
      <c r="I483" s="27"/>
      <c r="J483" s="28"/>
      <c r="K483" s="29"/>
      <c r="L483" s="30"/>
      <c r="M483" s="31"/>
      <c r="N483" s="32"/>
      <c r="O483" s="24"/>
      <c r="P483" s="33"/>
      <c r="Q483" s="34"/>
      <c r="R483" s="35"/>
      <c r="S483" s="36"/>
      <c r="T483" s="37"/>
      <c r="U483" s="38"/>
      <c r="V483" s="22"/>
    </row>
    <row r="484" spans="3:22" x14ac:dyDescent="0.25">
      <c r="C484" s="33"/>
      <c r="D484" s="142"/>
      <c r="E484" s="45"/>
      <c r="F484" s="24"/>
      <c r="G484" s="25"/>
      <c r="H484" s="26"/>
      <c r="I484" s="27"/>
      <c r="J484" s="28"/>
      <c r="K484" s="29"/>
      <c r="L484" s="30"/>
      <c r="M484" s="31"/>
      <c r="N484" s="32"/>
      <c r="O484" s="24"/>
      <c r="P484" s="33"/>
      <c r="Q484" s="34"/>
      <c r="R484" s="35"/>
      <c r="S484" s="36"/>
      <c r="T484" s="37"/>
      <c r="U484" s="38"/>
      <c r="V484" s="22"/>
    </row>
    <row r="485" spans="3:22" x14ac:dyDescent="0.25">
      <c r="C485" s="33"/>
      <c r="D485" s="142"/>
      <c r="E485" s="45"/>
      <c r="F485" s="24"/>
      <c r="G485" s="25"/>
      <c r="H485" s="26"/>
      <c r="I485" s="27"/>
      <c r="J485" s="28"/>
      <c r="K485" s="29"/>
      <c r="L485" s="30"/>
      <c r="M485" s="31"/>
      <c r="N485" s="32"/>
      <c r="O485" s="24"/>
      <c r="P485" s="33"/>
      <c r="Q485" s="34"/>
      <c r="R485" s="35"/>
      <c r="S485" s="36"/>
      <c r="T485" s="37"/>
      <c r="U485" s="38"/>
      <c r="V485" s="22"/>
    </row>
    <row r="486" spans="3:22" x14ac:dyDescent="0.25">
      <c r="C486" s="33"/>
      <c r="D486" s="142"/>
      <c r="E486" s="45"/>
      <c r="F486" s="24"/>
      <c r="G486" s="25"/>
      <c r="H486" s="26"/>
      <c r="I486" s="27"/>
      <c r="J486" s="28"/>
      <c r="K486" s="29"/>
      <c r="L486" s="30"/>
      <c r="M486" s="31"/>
      <c r="N486" s="32"/>
      <c r="O486" s="24"/>
      <c r="P486" s="33"/>
      <c r="Q486" s="34"/>
      <c r="R486" s="35"/>
      <c r="S486" s="36"/>
      <c r="T486" s="37"/>
      <c r="U486" s="38"/>
      <c r="V486" s="22"/>
    </row>
    <row r="487" spans="3:22" x14ac:dyDescent="0.25">
      <c r="C487" s="33"/>
      <c r="D487" s="142"/>
      <c r="E487" s="45"/>
      <c r="F487" s="24"/>
      <c r="G487" s="25"/>
      <c r="H487" s="26"/>
      <c r="I487" s="27"/>
      <c r="J487" s="28"/>
      <c r="K487" s="29"/>
      <c r="L487" s="30"/>
      <c r="M487" s="31"/>
      <c r="N487" s="32"/>
      <c r="O487" s="24"/>
      <c r="P487" s="33"/>
      <c r="Q487" s="34"/>
      <c r="R487" s="35"/>
      <c r="S487" s="36"/>
      <c r="T487" s="37"/>
      <c r="U487" s="38"/>
      <c r="V487" s="22"/>
    </row>
    <row r="488" spans="3:22" x14ac:dyDescent="0.25">
      <c r="C488" s="33"/>
      <c r="D488" s="142"/>
      <c r="E488" s="45"/>
      <c r="F488" s="24"/>
      <c r="G488" s="25"/>
      <c r="H488" s="26"/>
      <c r="I488" s="27"/>
      <c r="J488" s="28"/>
      <c r="K488" s="29"/>
      <c r="L488" s="30"/>
      <c r="M488" s="31"/>
      <c r="N488" s="32"/>
      <c r="O488" s="24"/>
      <c r="P488" s="33"/>
      <c r="Q488" s="34"/>
      <c r="R488" s="35"/>
      <c r="S488" s="36"/>
      <c r="T488" s="37"/>
      <c r="U488" s="38"/>
      <c r="V488" s="22"/>
    </row>
    <row r="489" spans="3:22" x14ac:dyDescent="0.25">
      <c r="C489" s="33"/>
      <c r="D489" s="142"/>
      <c r="E489" s="45"/>
      <c r="F489" s="24"/>
      <c r="G489" s="25"/>
      <c r="H489" s="26"/>
      <c r="I489" s="27"/>
      <c r="J489" s="28"/>
      <c r="K489" s="29"/>
      <c r="L489" s="30"/>
      <c r="M489" s="31"/>
      <c r="N489" s="32"/>
      <c r="O489" s="24"/>
      <c r="P489" s="33"/>
      <c r="Q489" s="34"/>
      <c r="R489" s="35"/>
      <c r="S489" s="36"/>
      <c r="T489" s="37"/>
      <c r="U489" s="38"/>
      <c r="V489" s="22"/>
    </row>
    <row r="490" spans="3:22" x14ac:dyDescent="0.25">
      <c r="C490" s="33"/>
      <c r="D490" s="142"/>
      <c r="E490" s="45"/>
      <c r="F490" s="24"/>
      <c r="G490" s="25"/>
      <c r="H490" s="26"/>
      <c r="I490" s="27"/>
      <c r="J490" s="28"/>
      <c r="K490" s="29"/>
      <c r="L490" s="30"/>
      <c r="M490" s="31"/>
      <c r="N490" s="32"/>
      <c r="O490" s="24"/>
      <c r="P490" s="33"/>
      <c r="Q490" s="34"/>
      <c r="R490" s="35"/>
      <c r="S490" s="36"/>
      <c r="T490" s="37"/>
      <c r="U490" s="38"/>
      <c r="V490" s="22"/>
    </row>
    <row r="491" spans="3:22" x14ac:dyDescent="0.25">
      <c r="C491" s="33"/>
      <c r="D491" s="142"/>
      <c r="E491" s="45"/>
      <c r="F491" s="24"/>
      <c r="G491" s="25"/>
      <c r="H491" s="26"/>
      <c r="I491" s="27"/>
      <c r="J491" s="28"/>
      <c r="K491" s="29"/>
      <c r="L491" s="30"/>
      <c r="M491" s="31"/>
      <c r="N491" s="32"/>
      <c r="O491" s="24"/>
      <c r="P491" s="33"/>
      <c r="Q491" s="34"/>
      <c r="R491" s="35"/>
      <c r="S491" s="36"/>
      <c r="T491" s="37"/>
      <c r="U491" s="38"/>
      <c r="V491" s="22"/>
    </row>
    <row r="492" spans="3:22" x14ac:dyDescent="0.25">
      <c r="C492" s="33"/>
      <c r="D492" s="142"/>
      <c r="E492" s="45"/>
      <c r="F492" s="24"/>
      <c r="G492" s="25"/>
      <c r="H492" s="26"/>
      <c r="I492" s="27"/>
      <c r="J492" s="28"/>
      <c r="K492" s="29"/>
      <c r="L492" s="30"/>
      <c r="M492" s="31"/>
      <c r="N492" s="32"/>
      <c r="O492" s="24"/>
      <c r="P492" s="33"/>
      <c r="Q492" s="34"/>
      <c r="R492" s="35"/>
      <c r="S492" s="36"/>
      <c r="T492" s="37"/>
      <c r="U492" s="38"/>
      <c r="V492" s="22"/>
    </row>
    <row r="493" spans="3:22" x14ac:dyDescent="0.25">
      <c r="C493" s="33"/>
      <c r="D493" s="142"/>
      <c r="E493" s="45"/>
      <c r="F493" s="24"/>
      <c r="G493" s="25"/>
      <c r="H493" s="26"/>
      <c r="I493" s="27"/>
      <c r="J493" s="28"/>
      <c r="K493" s="29"/>
      <c r="L493" s="30"/>
      <c r="M493" s="31"/>
      <c r="N493" s="32"/>
      <c r="O493" s="24"/>
      <c r="P493" s="33"/>
      <c r="Q493" s="34"/>
      <c r="R493" s="35"/>
      <c r="S493" s="36"/>
      <c r="T493" s="37"/>
      <c r="U493" s="38"/>
      <c r="V493" s="22"/>
    </row>
    <row r="494" spans="3:22" x14ac:dyDescent="0.25">
      <c r="C494" s="33"/>
      <c r="D494" s="142"/>
      <c r="E494" s="45"/>
      <c r="F494" s="24"/>
      <c r="G494" s="25"/>
      <c r="H494" s="26"/>
      <c r="I494" s="27"/>
      <c r="J494" s="28"/>
      <c r="K494" s="29"/>
      <c r="L494" s="30"/>
      <c r="M494" s="31"/>
      <c r="N494" s="32"/>
      <c r="O494" s="24"/>
      <c r="P494" s="33"/>
      <c r="Q494" s="34"/>
      <c r="R494" s="35"/>
      <c r="S494" s="36"/>
      <c r="T494" s="37"/>
      <c r="U494" s="38"/>
      <c r="V494" s="22"/>
    </row>
    <row r="495" spans="3:22" x14ac:dyDescent="0.25">
      <c r="C495" s="33"/>
      <c r="D495" s="142"/>
      <c r="E495" s="45"/>
      <c r="F495" s="24"/>
      <c r="G495" s="25"/>
      <c r="H495" s="26"/>
      <c r="I495" s="27"/>
      <c r="J495" s="28"/>
      <c r="K495" s="29"/>
      <c r="L495" s="30"/>
      <c r="M495" s="31"/>
      <c r="N495" s="32"/>
      <c r="O495" s="24"/>
      <c r="P495" s="33"/>
      <c r="Q495" s="34"/>
      <c r="R495" s="35"/>
      <c r="S495" s="36"/>
      <c r="T495" s="37"/>
      <c r="U495" s="38"/>
      <c r="V495" s="22"/>
    </row>
    <row r="496" spans="3:22" x14ac:dyDescent="0.25">
      <c r="C496" s="33"/>
      <c r="D496" s="142"/>
      <c r="E496" s="45"/>
      <c r="F496" s="24"/>
      <c r="G496" s="25"/>
      <c r="H496" s="26"/>
      <c r="I496" s="27"/>
      <c r="J496" s="28"/>
      <c r="K496" s="29"/>
      <c r="L496" s="30"/>
      <c r="M496" s="31"/>
      <c r="N496" s="32"/>
      <c r="O496" s="24"/>
      <c r="P496" s="33"/>
      <c r="Q496" s="34"/>
      <c r="R496" s="35"/>
      <c r="S496" s="36"/>
      <c r="T496" s="37"/>
      <c r="U496" s="38"/>
      <c r="V496" s="22"/>
    </row>
    <row r="497" spans="3:22" x14ac:dyDescent="0.25">
      <c r="C497" s="33"/>
      <c r="D497" s="142"/>
      <c r="E497" s="45"/>
      <c r="F497" s="24"/>
      <c r="G497" s="25"/>
      <c r="H497" s="26"/>
      <c r="I497" s="27"/>
      <c r="J497" s="28"/>
      <c r="K497" s="29"/>
      <c r="L497" s="30"/>
      <c r="M497" s="31"/>
      <c r="N497" s="32"/>
      <c r="O497" s="24"/>
      <c r="P497" s="33"/>
      <c r="Q497" s="34"/>
      <c r="R497" s="35"/>
      <c r="S497" s="36"/>
      <c r="T497" s="37"/>
      <c r="U497" s="38"/>
      <c r="V497" s="22"/>
    </row>
    <row r="498" spans="3:22" x14ac:dyDescent="0.25">
      <c r="C498" s="33"/>
      <c r="D498" s="142"/>
      <c r="E498" s="45"/>
      <c r="F498" s="24"/>
      <c r="G498" s="25"/>
      <c r="H498" s="26"/>
      <c r="I498" s="27"/>
      <c r="J498" s="28"/>
      <c r="K498" s="29"/>
      <c r="L498" s="30"/>
      <c r="M498" s="31"/>
      <c r="N498" s="32"/>
      <c r="O498" s="24"/>
      <c r="P498" s="33"/>
      <c r="Q498" s="34"/>
      <c r="R498" s="35"/>
      <c r="S498" s="36"/>
      <c r="T498" s="37"/>
      <c r="U498" s="38"/>
      <c r="V498" s="22"/>
    </row>
    <row r="499" spans="3:22" x14ac:dyDescent="0.25">
      <c r="C499" s="33"/>
      <c r="D499" s="142"/>
      <c r="E499" s="45"/>
      <c r="F499" s="24"/>
      <c r="G499" s="25"/>
      <c r="H499" s="26"/>
      <c r="I499" s="27"/>
      <c r="J499" s="28"/>
      <c r="K499" s="29"/>
      <c r="L499" s="30"/>
      <c r="M499" s="31"/>
      <c r="N499" s="32"/>
      <c r="O499" s="24"/>
      <c r="P499" s="33"/>
      <c r="Q499" s="34"/>
      <c r="R499" s="35"/>
      <c r="S499" s="36"/>
      <c r="T499" s="37"/>
      <c r="U499" s="38"/>
      <c r="V499" s="22"/>
    </row>
    <row r="500" spans="3:22" x14ac:dyDescent="0.25">
      <c r="C500" s="33"/>
      <c r="D500" s="142"/>
      <c r="E500" s="45"/>
      <c r="F500" s="24"/>
      <c r="G500" s="25"/>
      <c r="H500" s="26"/>
      <c r="I500" s="27"/>
      <c r="J500" s="28"/>
      <c r="K500" s="29"/>
      <c r="L500" s="30"/>
      <c r="M500" s="31"/>
      <c r="N500" s="32"/>
      <c r="O500" s="24"/>
      <c r="P500" s="33"/>
      <c r="Q500" s="34"/>
      <c r="R500" s="35"/>
      <c r="S500" s="36"/>
      <c r="T500" s="37"/>
      <c r="U500" s="38"/>
      <c r="V500" s="22"/>
    </row>
    <row r="501" spans="3:22" x14ac:dyDescent="0.25">
      <c r="C501" s="33"/>
      <c r="D501" s="142"/>
      <c r="E501" s="45"/>
      <c r="F501" s="24"/>
      <c r="G501" s="25"/>
      <c r="H501" s="26"/>
      <c r="I501" s="27"/>
      <c r="J501" s="28"/>
      <c r="K501" s="29"/>
      <c r="L501" s="30"/>
      <c r="M501" s="31"/>
      <c r="N501" s="32"/>
      <c r="O501" s="24"/>
      <c r="P501" s="33"/>
      <c r="Q501" s="34"/>
      <c r="R501" s="35"/>
      <c r="S501" s="36"/>
      <c r="T501" s="37"/>
      <c r="U501" s="38"/>
      <c r="V501" s="22"/>
    </row>
    <row r="502" spans="3:22" x14ac:dyDescent="0.25">
      <c r="C502" s="33"/>
      <c r="D502" s="142"/>
      <c r="E502" s="45"/>
      <c r="F502" s="24"/>
      <c r="G502" s="25"/>
      <c r="H502" s="26"/>
      <c r="I502" s="27"/>
      <c r="J502" s="28"/>
      <c r="K502" s="29"/>
      <c r="L502" s="30"/>
      <c r="M502" s="31"/>
      <c r="N502" s="32"/>
      <c r="O502" s="24"/>
      <c r="P502" s="33"/>
      <c r="Q502" s="34"/>
      <c r="R502" s="35"/>
      <c r="S502" s="36"/>
      <c r="T502" s="37"/>
      <c r="U502" s="38"/>
      <c r="V502" s="22"/>
    </row>
    <row r="503" spans="3:22" x14ac:dyDescent="0.25">
      <c r="C503" s="33"/>
      <c r="D503" s="142"/>
      <c r="E503" s="45"/>
      <c r="F503" s="24"/>
      <c r="G503" s="25"/>
      <c r="H503" s="26"/>
      <c r="I503" s="27"/>
      <c r="J503" s="28"/>
      <c r="K503" s="29"/>
      <c r="L503" s="30"/>
      <c r="M503" s="31"/>
      <c r="N503" s="32"/>
      <c r="O503" s="24"/>
      <c r="P503" s="33"/>
      <c r="Q503" s="34"/>
      <c r="R503" s="35"/>
      <c r="S503" s="36"/>
      <c r="T503" s="37"/>
      <c r="U503" s="38"/>
      <c r="V503" s="22"/>
    </row>
    <row r="504" spans="3:22" x14ac:dyDescent="0.25">
      <c r="C504" s="33"/>
      <c r="D504" s="142"/>
      <c r="E504" s="45"/>
      <c r="F504" s="24"/>
      <c r="G504" s="25"/>
      <c r="H504" s="26"/>
      <c r="I504" s="27"/>
      <c r="J504" s="28"/>
      <c r="K504" s="29"/>
      <c r="L504" s="30"/>
      <c r="M504" s="31"/>
      <c r="N504" s="32"/>
      <c r="O504" s="24"/>
      <c r="P504" s="33"/>
      <c r="Q504" s="34"/>
      <c r="R504" s="35"/>
      <c r="S504" s="36"/>
      <c r="T504" s="37"/>
      <c r="U504" s="38"/>
      <c r="V504" s="22"/>
    </row>
    <row r="505" spans="3:22" x14ac:dyDescent="0.25">
      <c r="C505" s="33"/>
      <c r="D505" s="142"/>
      <c r="E505" s="45"/>
      <c r="F505" s="24"/>
      <c r="G505" s="25"/>
      <c r="H505" s="26"/>
      <c r="I505" s="27"/>
      <c r="J505" s="28"/>
      <c r="K505" s="29"/>
      <c r="L505" s="30"/>
      <c r="M505" s="31"/>
      <c r="N505" s="32"/>
      <c r="O505" s="24"/>
      <c r="P505" s="33"/>
      <c r="Q505" s="34"/>
      <c r="R505" s="35"/>
      <c r="S505" s="36"/>
      <c r="T505" s="37"/>
      <c r="U505" s="38"/>
      <c r="V505" s="22"/>
    </row>
    <row r="506" spans="3:22" x14ac:dyDescent="0.25">
      <c r="C506" s="33"/>
      <c r="D506" s="142"/>
      <c r="E506" s="45"/>
      <c r="F506" s="24"/>
      <c r="G506" s="25"/>
      <c r="H506" s="26"/>
      <c r="I506" s="27"/>
      <c r="J506" s="28"/>
      <c r="K506" s="29"/>
      <c r="L506" s="30"/>
      <c r="M506" s="31"/>
      <c r="N506" s="32"/>
      <c r="O506" s="24"/>
      <c r="P506" s="33"/>
      <c r="Q506" s="34"/>
      <c r="R506" s="35"/>
      <c r="S506" s="36"/>
      <c r="T506" s="37"/>
      <c r="U506" s="38"/>
      <c r="V506" s="22"/>
    </row>
    <row r="507" spans="3:22" x14ac:dyDescent="0.25">
      <c r="C507" s="33"/>
      <c r="D507" s="142"/>
      <c r="E507" s="45"/>
      <c r="F507" s="24"/>
      <c r="G507" s="25"/>
      <c r="H507" s="26"/>
      <c r="I507" s="27"/>
      <c r="J507" s="28"/>
      <c r="K507" s="29"/>
      <c r="L507" s="30"/>
      <c r="M507" s="31"/>
      <c r="N507" s="32"/>
      <c r="O507" s="24"/>
      <c r="P507" s="33"/>
      <c r="Q507" s="34"/>
      <c r="R507" s="35"/>
      <c r="S507" s="36"/>
      <c r="T507" s="37"/>
      <c r="U507" s="38"/>
      <c r="V507" s="22"/>
    </row>
    <row r="508" spans="3:22" x14ac:dyDescent="0.25">
      <c r="C508" s="33"/>
      <c r="D508" s="142"/>
      <c r="E508" s="45"/>
      <c r="F508" s="24"/>
      <c r="G508" s="25"/>
      <c r="H508" s="26"/>
      <c r="I508" s="27"/>
      <c r="J508" s="28"/>
      <c r="K508" s="29"/>
      <c r="L508" s="30"/>
      <c r="M508" s="31"/>
      <c r="N508" s="32"/>
      <c r="O508" s="24"/>
      <c r="P508" s="33"/>
      <c r="Q508" s="34"/>
      <c r="R508" s="35"/>
      <c r="S508" s="36"/>
      <c r="T508" s="37"/>
      <c r="U508" s="38"/>
      <c r="V508" s="22"/>
    </row>
    <row r="509" spans="3:22" x14ac:dyDescent="0.25">
      <c r="C509" s="33"/>
      <c r="D509" s="142"/>
      <c r="E509" s="45"/>
      <c r="F509" s="24"/>
      <c r="G509" s="25"/>
      <c r="H509" s="26"/>
      <c r="I509" s="27"/>
      <c r="J509" s="28"/>
      <c r="K509" s="29"/>
      <c r="L509" s="30"/>
      <c r="M509" s="31"/>
      <c r="N509" s="32"/>
      <c r="O509" s="24"/>
      <c r="P509" s="33"/>
      <c r="Q509" s="34"/>
      <c r="R509" s="35"/>
      <c r="S509" s="36"/>
      <c r="T509" s="37"/>
      <c r="U509" s="38"/>
      <c r="V509" s="22"/>
    </row>
    <row r="510" spans="3:22" x14ac:dyDescent="0.25">
      <c r="C510" s="33"/>
      <c r="D510" s="142"/>
      <c r="E510" s="45"/>
      <c r="F510" s="24"/>
      <c r="G510" s="25"/>
      <c r="H510" s="26"/>
      <c r="I510" s="27"/>
      <c r="J510" s="28"/>
      <c r="K510" s="29"/>
      <c r="L510" s="30"/>
      <c r="M510" s="31"/>
      <c r="N510" s="32"/>
      <c r="O510" s="24"/>
      <c r="P510" s="33"/>
      <c r="Q510" s="34"/>
      <c r="R510" s="35"/>
      <c r="S510" s="36"/>
      <c r="T510" s="37"/>
      <c r="U510" s="38"/>
      <c r="V510" s="22"/>
    </row>
    <row r="511" spans="3:22" x14ac:dyDescent="0.25">
      <c r="C511" s="33"/>
      <c r="D511" s="142"/>
      <c r="E511" s="45"/>
      <c r="F511" s="24"/>
      <c r="G511" s="25"/>
      <c r="H511" s="26"/>
      <c r="I511" s="27"/>
      <c r="J511" s="28"/>
      <c r="K511" s="29"/>
      <c r="L511" s="30"/>
      <c r="M511" s="31"/>
      <c r="N511" s="32"/>
      <c r="O511" s="24"/>
      <c r="P511" s="33"/>
      <c r="Q511" s="34"/>
      <c r="R511" s="35"/>
      <c r="S511" s="36"/>
      <c r="T511" s="37"/>
      <c r="U511" s="38"/>
      <c r="V511" s="22"/>
    </row>
    <row r="512" spans="3:22" x14ac:dyDescent="0.25">
      <c r="C512" s="33"/>
      <c r="D512" s="142"/>
      <c r="E512" s="45"/>
      <c r="F512" s="24"/>
      <c r="G512" s="25"/>
      <c r="H512" s="26"/>
      <c r="I512" s="27"/>
      <c r="J512" s="28"/>
      <c r="K512" s="29"/>
      <c r="L512" s="30"/>
      <c r="M512" s="31"/>
      <c r="N512" s="32"/>
      <c r="O512" s="24"/>
      <c r="P512" s="33"/>
      <c r="Q512" s="34"/>
      <c r="R512" s="35"/>
      <c r="S512" s="36"/>
      <c r="T512" s="37"/>
      <c r="U512" s="38"/>
      <c r="V512" s="22"/>
    </row>
    <row r="513" spans="3:22" x14ac:dyDescent="0.25">
      <c r="C513" s="33"/>
      <c r="D513" s="142"/>
      <c r="E513" s="45"/>
      <c r="F513" s="24"/>
      <c r="G513" s="25"/>
      <c r="H513" s="26"/>
      <c r="I513" s="27"/>
      <c r="J513" s="28"/>
      <c r="K513" s="29"/>
      <c r="L513" s="30"/>
      <c r="M513" s="31"/>
      <c r="N513" s="32"/>
      <c r="O513" s="24"/>
      <c r="P513" s="33"/>
      <c r="Q513" s="34"/>
      <c r="R513" s="35"/>
      <c r="S513" s="36"/>
      <c r="T513" s="37"/>
      <c r="U513" s="38"/>
      <c r="V513" s="22"/>
    </row>
    <row r="514" spans="3:22" x14ac:dyDescent="0.25">
      <c r="C514" s="33"/>
      <c r="D514" s="142"/>
      <c r="E514" s="45"/>
      <c r="F514" s="24"/>
      <c r="G514" s="25"/>
      <c r="H514" s="26"/>
      <c r="I514" s="27"/>
      <c r="J514" s="28"/>
      <c r="K514" s="29"/>
      <c r="L514" s="30"/>
      <c r="M514" s="31"/>
      <c r="N514" s="32"/>
      <c r="O514" s="24"/>
      <c r="P514" s="33"/>
      <c r="Q514" s="34"/>
      <c r="R514" s="35"/>
      <c r="S514" s="36"/>
      <c r="T514" s="37"/>
      <c r="U514" s="38"/>
      <c r="V514" s="22"/>
    </row>
    <row r="515" spans="3:22" x14ac:dyDescent="0.25">
      <c r="C515" s="33"/>
      <c r="D515" s="142"/>
      <c r="E515" s="45"/>
      <c r="F515" s="24"/>
      <c r="G515" s="25"/>
      <c r="H515" s="26"/>
      <c r="I515" s="27"/>
      <c r="J515" s="28"/>
      <c r="K515" s="29"/>
      <c r="L515" s="30"/>
      <c r="M515" s="31"/>
      <c r="N515" s="32"/>
      <c r="O515" s="24"/>
      <c r="P515" s="33"/>
      <c r="Q515" s="34"/>
      <c r="R515" s="35"/>
      <c r="S515" s="36"/>
      <c r="T515" s="37"/>
      <c r="U515" s="38"/>
      <c r="V515" s="22"/>
    </row>
    <row r="516" spans="3:22" x14ac:dyDescent="0.25">
      <c r="C516" s="33"/>
      <c r="D516" s="142"/>
      <c r="E516" s="45"/>
      <c r="F516" s="24"/>
      <c r="G516" s="25"/>
      <c r="H516" s="26"/>
      <c r="I516" s="27"/>
      <c r="J516" s="28"/>
      <c r="K516" s="29"/>
      <c r="L516" s="30"/>
      <c r="M516" s="31"/>
      <c r="N516" s="32"/>
      <c r="O516" s="24"/>
      <c r="P516" s="33"/>
      <c r="Q516" s="34"/>
      <c r="R516" s="35"/>
      <c r="S516" s="36"/>
      <c r="T516" s="37"/>
      <c r="U516" s="38"/>
      <c r="V516" s="22"/>
    </row>
    <row r="517" spans="3:22" x14ac:dyDescent="0.25">
      <c r="C517" s="33"/>
      <c r="D517" s="142"/>
      <c r="E517" s="45"/>
      <c r="F517" s="24"/>
      <c r="G517" s="25"/>
      <c r="H517" s="26"/>
      <c r="I517" s="27"/>
      <c r="J517" s="28"/>
      <c r="K517" s="29"/>
      <c r="L517" s="30"/>
      <c r="M517" s="31"/>
      <c r="N517" s="32"/>
      <c r="O517" s="24"/>
      <c r="P517" s="33"/>
      <c r="Q517" s="34"/>
      <c r="R517" s="35"/>
      <c r="S517" s="36"/>
      <c r="T517" s="37"/>
      <c r="U517" s="38"/>
      <c r="V517" s="22"/>
    </row>
    <row r="518" spans="3:22" x14ac:dyDescent="0.25">
      <c r="C518" s="33"/>
      <c r="D518" s="142"/>
      <c r="E518" s="45"/>
      <c r="F518" s="24"/>
      <c r="G518" s="25"/>
      <c r="H518" s="26"/>
      <c r="I518" s="27"/>
      <c r="J518" s="28"/>
      <c r="K518" s="29"/>
      <c r="L518" s="30"/>
      <c r="M518" s="31"/>
      <c r="N518" s="32"/>
      <c r="O518" s="24"/>
      <c r="P518" s="33"/>
      <c r="Q518" s="34"/>
      <c r="R518" s="35"/>
      <c r="S518" s="36"/>
      <c r="T518" s="37"/>
      <c r="U518" s="38"/>
      <c r="V518" s="22"/>
    </row>
    <row r="519" spans="3:22" x14ac:dyDescent="0.25">
      <c r="C519" s="33"/>
      <c r="D519" s="142"/>
      <c r="E519" s="45"/>
      <c r="F519" s="24"/>
      <c r="G519" s="25"/>
      <c r="H519" s="26"/>
      <c r="I519" s="27"/>
      <c r="J519" s="28"/>
      <c r="K519" s="29"/>
      <c r="L519" s="30"/>
      <c r="M519" s="31"/>
      <c r="N519" s="32"/>
      <c r="O519" s="24"/>
      <c r="P519" s="33"/>
      <c r="Q519" s="34"/>
      <c r="R519" s="35"/>
      <c r="S519" s="36"/>
      <c r="T519" s="37"/>
      <c r="U519" s="38"/>
      <c r="V519" s="22"/>
    </row>
    <row r="520" spans="3:22" x14ac:dyDescent="0.25">
      <c r="C520" s="33"/>
      <c r="D520" s="142"/>
      <c r="E520" s="45"/>
      <c r="F520" s="24"/>
      <c r="G520" s="25"/>
      <c r="H520" s="26"/>
      <c r="I520" s="27"/>
      <c r="J520" s="28"/>
      <c r="K520" s="29"/>
      <c r="L520" s="30"/>
      <c r="M520" s="31"/>
      <c r="N520" s="32"/>
      <c r="O520" s="24"/>
      <c r="P520" s="33"/>
      <c r="Q520" s="34"/>
      <c r="R520" s="35"/>
      <c r="S520" s="36"/>
      <c r="T520" s="37"/>
      <c r="U520" s="38"/>
      <c r="V520" s="22"/>
    </row>
    <row r="521" spans="3:22" x14ac:dyDescent="0.25">
      <c r="C521" s="33"/>
      <c r="D521" s="142"/>
      <c r="E521" s="45"/>
      <c r="F521" s="24"/>
      <c r="G521" s="25"/>
      <c r="H521" s="26"/>
      <c r="I521" s="27"/>
      <c r="J521" s="28"/>
      <c r="K521" s="29"/>
      <c r="L521" s="30"/>
      <c r="M521" s="31"/>
      <c r="N521" s="32"/>
      <c r="O521" s="24"/>
      <c r="P521" s="33"/>
      <c r="Q521" s="34"/>
      <c r="R521" s="35"/>
      <c r="S521" s="36"/>
      <c r="T521" s="37"/>
      <c r="U521" s="38"/>
      <c r="V521" s="22"/>
    </row>
    <row r="522" spans="3:22" x14ac:dyDescent="0.25">
      <c r="C522" s="33"/>
      <c r="D522" s="142"/>
      <c r="E522" s="45"/>
      <c r="F522" s="24"/>
      <c r="G522" s="25"/>
      <c r="H522" s="26"/>
      <c r="I522" s="27"/>
      <c r="J522" s="28"/>
      <c r="K522" s="29"/>
      <c r="L522" s="30"/>
      <c r="M522" s="31"/>
      <c r="N522" s="32"/>
      <c r="O522" s="24"/>
      <c r="P522" s="33"/>
      <c r="Q522" s="34"/>
      <c r="R522" s="35"/>
      <c r="S522" s="36"/>
      <c r="T522" s="37"/>
      <c r="U522" s="38"/>
      <c r="V522" s="22"/>
    </row>
    <row r="523" spans="3:22" x14ac:dyDescent="0.25">
      <c r="C523" s="33"/>
      <c r="D523" s="142"/>
      <c r="E523" s="45"/>
      <c r="F523" s="24"/>
      <c r="G523" s="25"/>
      <c r="H523" s="26"/>
      <c r="I523" s="27"/>
      <c r="J523" s="28"/>
      <c r="K523" s="29"/>
      <c r="L523" s="30"/>
      <c r="M523" s="31"/>
      <c r="N523" s="32"/>
      <c r="O523" s="24"/>
      <c r="P523" s="33"/>
      <c r="Q523" s="34"/>
      <c r="R523" s="35"/>
      <c r="S523" s="36"/>
      <c r="T523" s="37"/>
      <c r="U523" s="38"/>
      <c r="V523" s="22"/>
    </row>
    <row r="524" spans="3:22" x14ac:dyDescent="0.25">
      <c r="C524" s="33"/>
      <c r="D524" s="142"/>
      <c r="E524" s="45"/>
      <c r="F524" s="24"/>
      <c r="G524" s="25"/>
      <c r="H524" s="26"/>
      <c r="I524" s="27"/>
      <c r="J524" s="28"/>
      <c r="K524" s="29"/>
      <c r="L524" s="30"/>
      <c r="M524" s="31"/>
      <c r="N524" s="32"/>
      <c r="O524" s="24"/>
      <c r="P524" s="33"/>
      <c r="Q524" s="34"/>
      <c r="R524" s="35"/>
      <c r="S524" s="36"/>
      <c r="T524" s="37"/>
      <c r="U524" s="38"/>
      <c r="V524" s="22"/>
    </row>
    <row r="525" spans="3:22" x14ac:dyDescent="0.25">
      <c r="C525" s="33"/>
      <c r="D525" s="142"/>
      <c r="E525" s="45"/>
      <c r="F525" s="24"/>
      <c r="G525" s="25"/>
      <c r="H525" s="26"/>
      <c r="I525" s="27"/>
      <c r="J525" s="28"/>
      <c r="K525" s="29"/>
      <c r="L525" s="30"/>
      <c r="M525" s="31"/>
      <c r="N525" s="32"/>
      <c r="O525" s="24"/>
      <c r="P525" s="33"/>
      <c r="Q525" s="34"/>
      <c r="R525" s="35"/>
      <c r="S525" s="36"/>
      <c r="T525" s="37"/>
      <c r="U525" s="38"/>
      <c r="V525" s="22"/>
    </row>
    <row r="526" spans="3:22" x14ac:dyDescent="0.25">
      <c r="C526" s="33"/>
      <c r="D526" s="142"/>
      <c r="E526" s="45"/>
      <c r="F526" s="24"/>
      <c r="G526" s="25"/>
      <c r="H526" s="26"/>
      <c r="I526" s="27"/>
      <c r="J526" s="28"/>
      <c r="K526" s="29"/>
      <c r="L526" s="30"/>
      <c r="M526" s="31"/>
      <c r="N526" s="32"/>
      <c r="O526" s="24"/>
      <c r="P526" s="33"/>
      <c r="Q526" s="34"/>
      <c r="R526" s="35"/>
      <c r="S526" s="36"/>
      <c r="T526" s="37"/>
      <c r="U526" s="38"/>
      <c r="V526" s="22"/>
    </row>
    <row r="527" spans="3:22" x14ac:dyDescent="0.25">
      <c r="C527" s="33"/>
      <c r="D527" s="142"/>
      <c r="E527" s="45"/>
      <c r="F527" s="24"/>
      <c r="G527" s="25"/>
      <c r="H527" s="26"/>
      <c r="I527" s="27"/>
      <c r="J527" s="28"/>
      <c r="K527" s="29"/>
      <c r="L527" s="30"/>
      <c r="M527" s="31"/>
      <c r="N527" s="32"/>
      <c r="O527" s="24"/>
      <c r="P527" s="33"/>
      <c r="Q527" s="34"/>
      <c r="R527" s="35"/>
      <c r="S527" s="36"/>
      <c r="T527" s="37"/>
      <c r="U527" s="38"/>
      <c r="V527" s="22"/>
    </row>
    <row r="528" spans="3:22" x14ac:dyDescent="0.25">
      <c r="C528" s="33"/>
      <c r="D528" s="142"/>
      <c r="E528" s="45"/>
      <c r="F528" s="24"/>
      <c r="G528" s="25"/>
      <c r="H528" s="26"/>
      <c r="I528" s="27"/>
      <c r="J528" s="28"/>
      <c r="K528" s="29"/>
      <c r="L528" s="30"/>
      <c r="M528" s="31"/>
      <c r="N528" s="32"/>
      <c r="O528" s="24"/>
      <c r="P528" s="33"/>
      <c r="Q528" s="34"/>
      <c r="R528" s="35"/>
      <c r="S528" s="36"/>
      <c r="T528" s="37"/>
      <c r="U528" s="38"/>
      <c r="V528" s="22"/>
    </row>
    <row r="529" spans="3:22" x14ac:dyDescent="0.25">
      <c r="C529" s="33"/>
      <c r="D529" s="142"/>
      <c r="E529" s="45"/>
      <c r="F529" s="24"/>
      <c r="G529" s="25"/>
      <c r="H529" s="26"/>
      <c r="I529" s="27"/>
      <c r="J529" s="28"/>
      <c r="K529" s="29"/>
      <c r="L529" s="30"/>
      <c r="M529" s="31"/>
      <c r="N529" s="32"/>
      <c r="O529" s="24"/>
      <c r="P529" s="33"/>
      <c r="Q529" s="34"/>
      <c r="R529" s="35"/>
      <c r="S529" s="36"/>
      <c r="T529" s="37"/>
      <c r="U529" s="38"/>
      <c r="V529" s="22"/>
    </row>
    <row r="530" spans="3:22" x14ac:dyDescent="0.25">
      <c r="C530" s="33"/>
      <c r="D530" s="142"/>
      <c r="E530" s="45"/>
      <c r="F530" s="24"/>
      <c r="G530" s="25"/>
      <c r="H530" s="26"/>
      <c r="I530" s="27"/>
      <c r="J530" s="28"/>
      <c r="K530" s="29"/>
      <c r="L530" s="30"/>
      <c r="M530" s="31"/>
      <c r="N530" s="32"/>
      <c r="O530" s="24"/>
      <c r="P530" s="33"/>
      <c r="Q530" s="34"/>
      <c r="R530" s="35"/>
      <c r="S530" s="36"/>
      <c r="T530" s="37"/>
      <c r="U530" s="38"/>
      <c r="V530" s="22"/>
    </row>
    <row r="531" spans="3:22" x14ac:dyDescent="0.25">
      <c r="C531" s="33"/>
      <c r="D531" s="142"/>
      <c r="E531" s="45"/>
      <c r="F531" s="24"/>
      <c r="G531" s="25"/>
      <c r="H531" s="26"/>
      <c r="I531" s="27"/>
      <c r="J531" s="28"/>
      <c r="K531" s="29"/>
      <c r="L531" s="30"/>
      <c r="M531" s="31"/>
      <c r="N531" s="32"/>
      <c r="O531" s="24"/>
      <c r="P531" s="33"/>
      <c r="Q531" s="34"/>
      <c r="R531" s="35"/>
      <c r="S531" s="36"/>
      <c r="T531" s="37"/>
      <c r="U531" s="38"/>
      <c r="V531" s="22"/>
    </row>
    <row r="532" spans="3:22" x14ac:dyDescent="0.25">
      <c r="C532" s="33"/>
      <c r="D532" s="142"/>
      <c r="E532" s="45"/>
      <c r="F532" s="24"/>
      <c r="G532" s="25"/>
      <c r="H532" s="26"/>
      <c r="I532" s="27"/>
      <c r="J532" s="28"/>
      <c r="K532" s="29"/>
      <c r="L532" s="30"/>
      <c r="M532" s="31"/>
      <c r="N532" s="32"/>
      <c r="O532" s="24"/>
      <c r="P532" s="33"/>
      <c r="Q532" s="34"/>
      <c r="R532" s="35"/>
      <c r="S532" s="36"/>
      <c r="T532" s="37"/>
      <c r="U532" s="38"/>
      <c r="V532" s="22"/>
    </row>
    <row r="533" spans="3:22" x14ac:dyDescent="0.25">
      <c r="C533" s="33"/>
      <c r="D533" s="142"/>
      <c r="E533" s="45"/>
      <c r="F533" s="24"/>
      <c r="G533" s="25"/>
      <c r="H533" s="26"/>
      <c r="I533" s="27"/>
      <c r="J533" s="28"/>
      <c r="K533" s="29"/>
      <c r="L533" s="30"/>
      <c r="M533" s="31"/>
      <c r="N533" s="32"/>
      <c r="O533" s="24"/>
      <c r="P533" s="33"/>
      <c r="Q533" s="34"/>
      <c r="R533" s="35"/>
      <c r="S533" s="36"/>
      <c r="T533" s="37"/>
      <c r="U533" s="38"/>
      <c r="V533" s="22"/>
    </row>
    <row r="534" spans="3:22" x14ac:dyDescent="0.25">
      <c r="C534" s="33"/>
      <c r="D534" s="142"/>
      <c r="E534" s="45"/>
      <c r="F534" s="24"/>
      <c r="G534" s="25"/>
      <c r="H534" s="26"/>
      <c r="I534" s="27"/>
      <c r="J534" s="28"/>
      <c r="K534" s="29"/>
      <c r="L534" s="30"/>
      <c r="M534" s="31"/>
      <c r="N534" s="32"/>
      <c r="O534" s="24"/>
      <c r="P534" s="33"/>
      <c r="Q534" s="34"/>
      <c r="R534" s="35"/>
      <c r="S534" s="36"/>
      <c r="T534" s="37"/>
      <c r="U534" s="38"/>
      <c r="V534" s="22"/>
    </row>
    <row r="535" spans="3:22" x14ac:dyDescent="0.25">
      <c r="C535" s="33"/>
      <c r="D535" s="142"/>
      <c r="E535" s="45"/>
      <c r="F535" s="24"/>
      <c r="G535" s="25"/>
      <c r="H535" s="26"/>
      <c r="I535" s="27"/>
      <c r="J535" s="28"/>
      <c r="K535" s="29"/>
      <c r="L535" s="30"/>
      <c r="M535" s="31"/>
      <c r="N535" s="32"/>
      <c r="O535" s="24"/>
      <c r="P535" s="33"/>
      <c r="Q535" s="34"/>
      <c r="R535" s="35"/>
      <c r="S535" s="36"/>
      <c r="T535" s="37"/>
      <c r="U535" s="38"/>
      <c r="V535" s="22"/>
    </row>
    <row r="536" spans="3:22" x14ac:dyDescent="0.25">
      <c r="C536" s="33"/>
      <c r="D536" s="142"/>
      <c r="E536" s="45"/>
      <c r="F536" s="24"/>
      <c r="G536" s="25"/>
      <c r="H536" s="26"/>
      <c r="I536" s="27"/>
      <c r="J536" s="28"/>
      <c r="K536" s="29"/>
      <c r="L536" s="30"/>
      <c r="M536" s="31"/>
      <c r="N536" s="32"/>
      <c r="O536" s="24"/>
      <c r="P536" s="33"/>
      <c r="Q536" s="34"/>
      <c r="R536" s="35"/>
      <c r="S536" s="36"/>
      <c r="T536" s="37"/>
      <c r="U536" s="38"/>
      <c r="V536" s="22"/>
    </row>
    <row r="537" spans="3:22" x14ac:dyDescent="0.25">
      <c r="C537" s="33"/>
      <c r="D537" s="142"/>
      <c r="E537" s="45"/>
      <c r="F537" s="24"/>
      <c r="G537" s="25"/>
      <c r="H537" s="26"/>
      <c r="I537" s="27"/>
      <c r="J537" s="28"/>
      <c r="K537" s="29"/>
      <c r="L537" s="30"/>
      <c r="M537" s="31"/>
      <c r="N537" s="32"/>
      <c r="O537" s="24"/>
      <c r="P537" s="33"/>
      <c r="Q537" s="34"/>
      <c r="R537" s="35"/>
      <c r="S537" s="36"/>
      <c r="T537" s="37"/>
      <c r="U537" s="38"/>
      <c r="V537" s="22"/>
    </row>
    <row r="538" spans="3:22" x14ac:dyDescent="0.25">
      <c r="C538" s="33"/>
      <c r="D538" s="142"/>
      <c r="E538" s="45"/>
      <c r="F538" s="24"/>
      <c r="G538" s="25"/>
      <c r="H538" s="26"/>
      <c r="I538" s="27"/>
      <c r="J538" s="28"/>
      <c r="K538" s="29"/>
      <c r="L538" s="30"/>
      <c r="M538" s="31"/>
      <c r="N538" s="32"/>
      <c r="O538" s="24"/>
      <c r="P538" s="33"/>
      <c r="Q538" s="34"/>
      <c r="R538" s="35"/>
      <c r="S538" s="36"/>
      <c r="T538" s="37"/>
      <c r="U538" s="38"/>
      <c r="V538" s="22"/>
    </row>
    <row r="539" spans="3:22" x14ac:dyDescent="0.25">
      <c r="C539" s="33"/>
      <c r="D539" s="142"/>
      <c r="E539" s="45"/>
      <c r="F539" s="24"/>
      <c r="G539" s="25"/>
      <c r="H539" s="26"/>
      <c r="I539" s="27"/>
      <c r="J539" s="28"/>
      <c r="K539" s="29"/>
      <c r="L539" s="30"/>
      <c r="M539" s="31"/>
      <c r="N539" s="32"/>
      <c r="O539" s="24"/>
      <c r="P539" s="33"/>
      <c r="Q539" s="34"/>
      <c r="R539" s="35"/>
      <c r="S539" s="36"/>
      <c r="T539" s="37"/>
      <c r="U539" s="38"/>
      <c r="V539" s="22"/>
    </row>
    <row r="540" spans="3:22" x14ac:dyDescent="0.25">
      <c r="C540" s="33"/>
      <c r="D540" s="142"/>
      <c r="E540" s="45"/>
      <c r="F540" s="24"/>
      <c r="G540" s="25"/>
      <c r="H540" s="26"/>
      <c r="I540" s="27"/>
      <c r="J540" s="28"/>
      <c r="K540" s="29"/>
      <c r="L540" s="30"/>
      <c r="M540" s="31"/>
      <c r="N540" s="32"/>
      <c r="O540" s="24"/>
      <c r="P540" s="33"/>
      <c r="Q540" s="34"/>
      <c r="R540" s="35"/>
      <c r="S540" s="36"/>
      <c r="T540" s="37"/>
      <c r="U540" s="38"/>
      <c r="V540" s="22"/>
    </row>
    <row r="541" spans="3:22" x14ac:dyDescent="0.25">
      <c r="C541" s="33"/>
      <c r="D541" s="142"/>
      <c r="E541" s="45"/>
      <c r="F541" s="24"/>
      <c r="G541" s="25"/>
      <c r="H541" s="26"/>
      <c r="I541" s="27"/>
      <c r="J541" s="28"/>
      <c r="K541" s="29"/>
      <c r="L541" s="30"/>
      <c r="M541" s="31"/>
      <c r="N541" s="32"/>
      <c r="O541" s="24"/>
      <c r="P541" s="33"/>
      <c r="Q541" s="34"/>
      <c r="R541" s="35"/>
      <c r="S541" s="36"/>
      <c r="T541" s="37"/>
      <c r="U541" s="38"/>
      <c r="V541" s="22"/>
    </row>
    <row r="542" spans="3:22" x14ac:dyDescent="0.25">
      <c r="C542" s="33"/>
      <c r="D542" s="142"/>
      <c r="E542" s="45"/>
      <c r="F542" s="24"/>
      <c r="G542" s="25"/>
      <c r="H542" s="26"/>
      <c r="I542" s="27"/>
      <c r="J542" s="28"/>
      <c r="K542" s="29"/>
      <c r="L542" s="30"/>
      <c r="M542" s="31"/>
      <c r="N542" s="32"/>
      <c r="O542" s="24"/>
      <c r="P542" s="33"/>
      <c r="Q542" s="34"/>
      <c r="R542" s="35"/>
      <c r="S542" s="36"/>
      <c r="T542" s="37"/>
      <c r="U542" s="38"/>
      <c r="V542" s="22"/>
    </row>
    <row r="543" spans="3:22" x14ac:dyDescent="0.25">
      <c r="C543" s="33"/>
      <c r="D543" s="142"/>
      <c r="E543" s="45"/>
      <c r="F543" s="24"/>
      <c r="G543" s="25"/>
      <c r="H543" s="26"/>
      <c r="I543" s="27"/>
      <c r="J543" s="28"/>
      <c r="K543" s="29"/>
      <c r="L543" s="30"/>
      <c r="M543" s="31"/>
      <c r="N543" s="32"/>
      <c r="O543" s="24"/>
      <c r="P543" s="33"/>
      <c r="Q543" s="34"/>
      <c r="R543" s="35"/>
      <c r="S543" s="36"/>
      <c r="T543" s="37"/>
      <c r="U543" s="38"/>
      <c r="V543" s="22"/>
    </row>
    <row r="544" spans="3:22" x14ac:dyDescent="0.25">
      <c r="C544" s="33"/>
      <c r="D544" s="142"/>
      <c r="E544" s="45"/>
      <c r="F544" s="24"/>
      <c r="G544" s="25"/>
      <c r="H544" s="26"/>
      <c r="I544" s="27"/>
      <c r="J544" s="28"/>
      <c r="K544" s="29"/>
      <c r="L544" s="30"/>
      <c r="M544" s="31"/>
      <c r="N544" s="32"/>
      <c r="O544" s="24"/>
      <c r="P544" s="33"/>
      <c r="Q544" s="34"/>
      <c r="R544" s="35"/>
      <c r="S544" s="36"/>
      <c r="T544" s="37"/>
      <c r="U544" s="38"/>
      <c r="V544" s="22"/>
    </row>
    <row r="545" spans="3:22" x14ac:dyDescent="0.25">
      <c r="C545" s="33"/>
      <c r="D545" s="142"/>
      <c r="E545" s="45"/>
      <c r="F545" s="24"/>
      <c r="G545" s="25"/>
      <c r="H545" s="26"/>
      <c r="I545" s="27"/>
      <c r="J545" s="28"/>
      <c r="K545" s="29"/>
      <c r="L545" s="30"/>
      <c r="M545" s="31"/>
      <c r="N545" s="32"/>
      <c r="O545" s="24"/>
      <c r="P545" s="33"/>
      <c r="Q545" s="34"/>
      <c r="R545" s="35"/>
      <c r="S545" s="36"/>
      <c r="T545" s="37"/>
      <c r="U545" s="38"/>
      <c r="V545" s="22"/>
    </row>
    <row r="546" spans="3:22" x14ac:dyDescent="0.25">
      <c r="C546" s="33"/>
      <c r="D546" s="142"/>
      <c r="E546" s="45"/>
      <c r="F546" s="24"/>
      <c r="G546" s="25"/>
      <c r="H546" s="26"/>
      <c r="I546" s="27"/>
      <c r="J546" s="28"/>
      <c r="K546" s="29"/>
      <c r="L546" s="30"/>
      <c r="M546" s="31"/>
      <c r="N546" s="32"/>
      <c r="O546" s="24"/>
      <c r="P546" s="33"/>
      <c r="Q546" s="34"/>
      <c r="R546" s="35"/>
      <c r="S546" s="36"/>
      <c r="T546" s="37"/>
      <c r="U546" s="38"/>
      <c r="V546" s="22"/>
    </row>
    <row r="547" spans="3:22" x14ac:dyDescent="0.25">
      <c r="C547" s="33"/>
      <c r="D547" s="142"/>
      <c r="E547" s="45"/>
      <c r="F547" s="24"/>
      <c r="G547" s="25"/>
      <c r="H547" s="26"/>
      <c r="I547" s="27"/>
      <c r="J547" s="28"/>
      <c r="K547" s="29"/>
      <c r="L547" s="30"/>
      <c r="M547" s="31"/>
      <c r="N547" s="32"/>
      <c r="O547" s="24"/>
      <c r="P547" s="33"/>
      <c r="Q547" s="34"/>
      <c r="R547" s="35"/>
      <c r="S547" s="36"/>
      <c r="T547" s="37"/>
      <c r="U547" s="38"/>
      <c r="V547" s="22"/>
    </row>
    <row r="548" spans="3:22" x14ac:dyDescent="0.25">
      <c r="C548" s="33"/>
      <c r="D548" s="142"/>
      <c r="E548" s="45"/>
      <c r="F548" s="24"/>
      <c r="G548" s="25"/>
      <c r="H548" s="26"/>
      <c r="I548" s="27"/>
      <c r="J548" s="28"/>
      <c r="K548" s="29"/>
      <c r="L548" s="30"/>
      <c r="M548" s="31"/>
      <c r="N548" s="32"/>
      <c r="O548" s="24"/>
      <c r="P548" s="33"/>
      <c r="Q548" s="34"/>
      <c r="R548" s="35"/>
      <c r="S548" s="36"/>
      <c r="T548" s="37"/>
      <c r="U548" s="38"/>
      <c r="V548" s="22"/>
    </row>
    <row r="549" spans="3:22" x14ac:dyDescent="0.25">
      <c r="C549" s="33"/>
      <c r="D549" s="142"/>
      <c r="E549" s="45"/>
      <c r="F549" s="24"/>
      <c r="G549" s="25"/>
      <c r="H549" s="26"/>
      <c r="I549" s="27"/>
      <c r="J549" s="28"/>
      <c r="K549" s="29"/>
      <c r="L549" s="30"/>
      <c r="M549" s="31"/>
      <c r="N549" s="32"/>
      <c r="O549" s="24"/>
      <c r="P549" s="33"/>
      <c r="Q549" s="34"/>
      <c r="R549" s="35"/>
      <c r="S549" s="36"/>
      <c r="T549" s="37"/>
      <c r="U549" s="38"/>
      <c r="V549" s="22"/>
    </row>
    <row r="550" spans="3:22" x14ac:dyDescent="0.25">
      <c r="C550" s="33"/>
      <c r="D550" s="142"/>
      <c r="E550" s="45"/>
      <c r="F550" s="24"/>
      <c r="G550" s="25"/>
      <c r="H550" s="26"/>
      <c r="I550" s="27"/>
      <c r="J550" s="28"/>
      <c r="K550" s="29"/>
      <c r="L550" s="30"/>
      <c r="M550" s="31"/>
      <c r="N550" s="32"/>
      <c r="O550" s="24"/>
      <c r="P550" s="33"/>
      <c r="Q550" s="34"/>
      <c r="R550" s="35"/>
      <c r="S550" s="36"/>
      <c r="T550" s="37"/>
      <c r="U550" s="38"/>
      <c r="V550" s="22"/>
    </row>
    <row r="551" spans="3:22" x14ac:dyDescent="0.25">
      <c r="C551" s="33"/>
      <c r="D551" s="142"/>
      <c r="E551" s="45"/>
      <c r="F551" s="24"/>
      <c r="G551" s="25"/>
      <c r="H551" s="26"/>
      <c r="I551" s="27"/>
      <c r="J551" s="28"/>
      <c r="K551" s="29"/>
      <c r="L551" s="30"/>
      <c r="M551" s="31"/>
      <c r="N551" s="32"/>
      <c r="O551" s="24"/>
      <c r="P551" s="33"/>
      <c r="Q551" s="34"/>
      <c r="R551" s="35"/>
      <c r="S551" s="36"/>
      <c r="T551" s="37"/>
      <c r="U551" s="38"/>
      <c r="V551" s="22"/>
    </row>
    <row r="552" spans="3:22" x14ac:dyDescent="0.25">
      <c r="C552" s="33"/>
      <c r="D552" s="142"/>
      <c r="E552" s="45"/>
      <c r="F552" s="24"/>
      <c r="G552" s="25"/>
      <c r="H552" s="26"/>
      <c r="I552" s="27"/>
      <c r="J552" s="28"/>
      <c r="K552" s="29"/>
      <c r="L552" s="30"/>
      <c r="M552" s="31"/>
      <c r="N552" s="32"/>
      <c r="O552" s="24"/>
      <c r="P552" s="33"/>
      <c r="Q552" s="34"/>
      <c r="R552" s="35"/>
      <c r="S552" s="36"/>
      <c r="T552" s="37"/>
      <c r="U552" s="38"/>
      <c r="V552" s="22"/>
    </row>
    <row r="553" spans="3:22" x14ac:dyDescent="0.25">
      <c r="C553" s="33"/>
      <c r="D553" s="142"/>
      <c r="E553" s="45"/>
      <c r="F553" s="24"/>
      <c r="G553" s="25"/>
      <c r="H553" s="26"/>
      <c r="I553" s="27"/>
      <c r="J553" s="28"/>
      <c r="K553" s="29"/>
      <c r="L553" s="30"/>
      <c r="M553" s="31"/>
      <c r="N553" s="32"/>
      <c r="O553" s="24"/>
      <c r="P553" s="33"/>
      <c r="Q553" s="34"/>
      <c r="R553" s="35"/>
      <c r="S553" s="36"/>
      <c r="T553" s="37"/>
      <c r="U553" s="38"/>
      <c r="V553" s="22"/>
    </row>
    <row r="554" spans="3:22" x14ac:dyDescent="0.25">
      <c r="C554" s="33"/>
      <c r="D554" s="142"/>
      <c r="E554" s="45"/>
      <c r="F554" s="24"/>
      <c r="G554" s="25"/>
      <c r="H554" s="26"/>
      <c r="I554" s="27"/>
      <c r="J554" s="28"/>
      <c r="K554" s="29"/>
      <c r="L554" s="30"/>
      <c r="M554" s="31"/>
      <c r="N554" s="32"/>
      <c r="O554" s="24"/>
      <c r="P554" s="33"/>
      <c r="Q554" s="34"/>
      <c r="R554" s="35"/>
      <c r="S554" s="36"/>
      <c r="T554" s="37"/>
      <c r="U554" s="38"/>
      <c r="V554" s="22"/>
    </row>
    <row r="555" spans="3:22" x14ac:dyDescent="0.25">
      <c r="C555" s="33"/>
      <c r="D555" s="142"/>
      <c r="E555" s="45"/>
      <c r="F555" s="24"/>
      <c r="G555" s="25"/>
      <c r="H555" s="26"/>
      <c r="I555" s="27"/>
      <c r="J555" s="28"/>
      <c r="K555" s="29"/>
      <c r="L555" s="30"/>
      <c r="M555" s="31"/>
      <c r="N555" s="32"/>
      <c r="O555" s="24"/>
      <c r="P555" s="33"/>
      <c r="Q555" s="34"/>
      <c r="R555" s="35"/>
      <c r="S555" s="36"/>
      <c r="T555" s="37"/>
      <c r="U555" s="38"/>
      <c r="V555" s="22"/>
    </row>
    <row r="556" spans="3:22" x14ac:dyDescent="0.25">
      <c r="C556" s="33"/>
      <c r="D556" s="142"/>
      <c r="E556" s="45"/>
      <c r="F556" s="24"/>
      <c r="G556" s="25"/>
      <c r="H556" s="26"/>
      <c r="I556" s="27"/>
      <c r="J556" s="28"/>
      <c r="K556" s="29"/>
      <c r="L556" s="30"/>
      <c r="M556" s="31"/>
      <c r="N556" s="32"/>
      <c r="O556" s="24"/>
      <c r="P556" s="33"/>
      <c r="Q556" s="34"/>
      <c r="R556" s="35"/>
      <c r="S556" s="36"/>
      <c r="T556" s="37"/>
      <c r="U556" s="38"/>
      <c r="V556" s="22"/>
    </row>
    <row r="557" spans="3:22" x14ac:dyDescent="0.25">
      <c r="C557" s="33"/>
      <c r="D557" s="142"/>
      <c r="E557" s="45"/>
      <c r="F557" s="24"/>
      <c r="G557" s="25"/>
      <c r="H557" s="26"/>
      <c r="I557" s="27"/>
      <c r="J557" s="28"/>
      <c r="K557" s="29"/>
      <c r="L557" s="30"/>
      <c r="M557" s="31"/>
      <c r="N557" s="32"/>
      <c r="O557" s="24"/>
      <c r="P557" s="33"/>
      <c r="Q557" s="34"/>
      <c r="R557" s="35"/>
      <c r="S557" s="36"/>
      <c r="T557" s="37"/>
      <c r="U557" s="38"/>
      <c r="V557" s="22"/>
    </row>
    <row r="558" spans="3:22" x14ac:dyDescent="0.25">
      <c r="C558" s="33"/>
      <c r="D558" s="142"/>
      <c r="E558" s="45"/>
      <c r="F558" s="24"/>
      <c r="G558" s="25"/>
      <c r="H558" s="26"/>
      <c r="I558" s="27"/>
      <c r="J558" s="28"/>
      <c r="K558" s="29"/>
      <c r="L558" s="30"/>
      <c r="M558" s="31"/>
      <c r="N558" s="32"/>
      <c r="O558" s="24"/>
      <c r="P558" s="33"/>
      <c r="Q558" s="34"/>
      <c r="R558" s="35"/>
      <c r="S558" s="36"/>
      <c r="T558" s="37"/>
      <c r="U558" s="38"/>
      <c r="V558" s="22"/>
    </row>
    <row r="559" spans="3:22" x14ac:dyDescent="0.25">
      <c r="C559" s="33"/>
      <c r="D559" s="142"/>
      <c r="E559" s="45"/>
      <c r="F559" s="24"/>
      <c r="G559" s="25"/>
      <c r="H559" s="26"/>
      <c r="I559" s="27"/>
      <c r="J559" s="28"/>
      <c r="K559" s="29"/>
      <c r="L559" s="30"/>
      <c r="M559" s="31"/>
      <c r="N559" s="32"/>
      <c r="O559" s="24"/>
      <c r="P559" s="33"/>
      <c r="Q559" s="34"/>
      <c r="R559" s="35"/>
      <c r="S559" s="36"/>
      <c r="T559" s="37"/>
      <c r="U559" s="38"/>
      <c r="V559" s="22"/>
    </row>
    <row r="560" spans="3:22" x14ac:dyDescent="0.25">
      <c r="C560" s="33"/>
      <c r="D560" s="142"/>
      <c r="E560" s="45"/>
      <c r="F560" s="24"/>
      <c r="G560" s="25"/>
      <c r="H560" s="26"/>
      <c r="I560" s="27"/>
      <c r="J560" s="28"/>
      <c r="K560" s="29"/>
      <c r="L560" s="30"/>
      <c r="M560" s="31"/>
      <c r="N560" s="32"/>
      <c r="O560" s="24"/>
      <c r="P560" s="33"/>
      <c r="Q560" s="34"/>
      <c r="R560" s="35"/>
      <c r="S560" s="36"/>
      <c r="T560" s="37"/>
      <c r="U560" s="38"/>
      <c r="V560" s="22"/>
    </row>
    <row r="561" spans="3:22" x14ac:dyDescent="0.25">
      <c r="C561" s="33"/>
      <c r="D561" s="142"/>
      <c r="E561" s="45"/>
      <c r="F561" s="24"/>
      <c r="G561" s="25"/>
      <c r="H561" s="26"/>
      <c r="I561" s="27"/>
      <c r="J561" s="28"/>
      <c r="K561" s="29"/>
      <c r="L561" s="30"/>
      <c r="M561" s="31"/>
      <c r="N561" s="32"/>
      <c r="O561" s="24"/>
      <c r="P561" s="33"/>
      <c r="Q561" s="34"/>
      <c r="R561" s="35"/>
      <c r="S561" s="36"/>
      <c r="T561" s="37"/>
      <c r="U561" s="38"/>
      <c r="V561" s="22"/>
    </row>
    <row r="562" spans="3:22" x14ac:dyDescent="0.25">
      <c r="C562" s="33"/>
      <c r="D562" s="142"/>
      <c r="E562" s="45"/>
      <c r="F562" s="24"/>
      <c r="G562" s="25"/>
      <c r="H562" s="26"/>
      <c r="I562" s="27"/>
      <c r="J562" s="28"/>
      <c r="K562" s="29"/>
      <c r="L562" s="30"/>
      <c r="M562" s="31"/>
      <c r="N562" s="32"/>
      <c r="O562" s="24"/>
      <c r="P562" s="33"/>
      <c r="Q562" s="34"/>
      <c r="R562" s="35"/>
      <c r="S562" s="36"/>
      <c r="T562" s="37"/>
      <c r="U562" s="38"/>
      <c r="V562" s="22"/>
    </row>
    <row r="563" spans="3:22" x14ac:dyDescent="0.25">
      <c r="C563" s="33"/>
      <c r="D563" s="142"/>
      <c r="E563" s="45"/>
      <c r="F563" s="24"/>
      <c r="G563" s="25"/>
      <c r="H563" s="26"/>
      <c r="I563" s="27"/>
      <c r="J563" s="28"/>
      <c r="K563" s="29"/>
      <c r="L563" s="30"/>
      <c r="M563" s="31"/>
      <c r="N563" s="32"/>
      <c r="O563" s="24"/>
      <c r="P563" s="33"/>
      <c r="Q563" s="34"/>
      <c r="R563" s="35"/>
      <c r="S563" s="36"/>
      <c r="T563" s="37"/>
      <c r="U563" s="38"/>
      <c r="V563" s="22"/>
    </row>
    <row r="564" spans="3:22" x14ac:dyDescent="0.25">
      <c r="C564" s="33"/>
      <c r="D564" s="142"/>
      <c r="E564" s="45"/>
      <c r="F564" s="24"/>
      <c r="G564" s="25"/>
      <c r="H564" s="26"/>
      <c r="I564" s="27"/>
      <c r="J564" s="28"/>
      <c r="K564" s="29"/>
      <c r="L564" s="30"/>
      <c r="M564" s="31"/>
      <c r="N564" s="32"/>
      <c r="O564" s="24"/>
      <c r="P564" s="33"/>
      <c r="Q564" s="34"/>
      <c r="R564" s="35"/>
      <c r="S564" s="36"/>
      <c r="T564" s="37"/>
      <c r="U564" s="38"/>
      <c r="V564" s="22"/>
    </row>
    <row r="565" spans="3:22" x14ac:dyDescent="0.25">
      <c r="C565" s="33"/>
      <c r="D565" s="142"/>
      <c r="E565" s="45"/>
      <c r="F565" s="24"/>
      <c r="G565" s="25"/>
      <c r="H565" s="26"/>
      <c r="I565" s="27"/>
      <c r="J565" s="28"/>
      <c r="K565" s="29"/>
      <c r="L565" s="30"/>
      <c r="M565" s="31"/>
      <c r="N565" s="32"/>
      <c r="O565" s="24"/>
      <c r="P565" s="33"/>
      <c r="Q565" s="34"/>
      <c r="R565" s="35"/>
      <c r="S565" s="36"/>
      <c r="T565" s="37"/>
      <c r="U565" s="38"/>
      <c r="V565" s="22"/>
    </row>
    <row r="566" spans="3:22" x14ac:dyDescent="0.25">
      <c r="C566" s="33"/>
      <c r="D566" s="142"/>
      <c r="E566" s="45"/>
      <c r="F566" s="24"/>
      <c r="G566" s="25"/>
      <c r="H566" s="26"/>
      <c r="I566" s="27"/>
      <c r="J566" s="28"/>
      <c r="K566" s="29"/>
      <c r="L566" s="30"/>
      <c r="M566" s="31"/>
      <c r="N566" s="32"/>
      <c r="O566" s="24"/>
      <c r="P566" s="33"/>
      <c r="Q566" s="34"/>
      <c r="R566" s="35"/>
      <c r="S566" s="36"/>
      <c r="T566" s="37"/>
      <c r="U566" s="38"/>
      <c r="V566" s="22"/>
    </row>
    <row r="567" spans="3:22" x14ac:dyDescent="0.25">
      <c r="C567" s="33"/>
      <c r="D567" s="142"/>
      <c r="E567" s="45"/>
      <c r="F567" s="24"/>
      <c r="G567" s="25"/>
      <c r="H567" s="26"/>
      <c r="I567" s="27"/>
      <c r="J567" s="28"/>
      <c r="K567" s="29"/>
      <c r="L567" s="30"/>
      <c r="M567" s="31"/>
      <c r="N567" s="32"/>
      <c r="O567" s="24"/>
      <c r="P567" s="33"/>
      <c r="Q567" s="34"/>
      <c r="R567" s="35"/>
      <c r="S567" s="36"/>
      <c r="T567" s="37"/>
      <c r="U567" s="38"/>
      <c r="V567" s="22"/>
    </row>
    <row r="568" spans="3:22" x14ac:dyDescent="0.25">
      <c r="C568" s="33"/>
      <c r="D568" s="142"/>
      <c r="E568" s="45"/>
      <c r="F568" s="24"/>
      <c r="G568" s="25"/>
      <c r="H568" s="26"/>
      <c r="I568" s="27"/>
      <c r="J568" s="28"/>
      <c r="K568" s="29"/>
      <c r="L568" s="30"/>
      <c r="M568" s="31"/>
      <c r="N568" s="32"/>
      <c r="O568" s="24"/>
      <c r="P568" s="33"/>
      <c r="Q568" s="34"/>
      <c r="R568" s="35"/>
      <c r="S568" s="36"/>
      <c r="T568" s="37"/>
      <c r="U568" s="38"/>
      <c r="V568" s="22"/>
    </row>
    <row r="569" spans="3:22" x14ac:dyDescent="0.25">
      <c r="C569" s="33"/>
      <c r="D569" s="142"/>
      <c r="E569" s="45"/>
      <c r="F569" s="24"/>
      <c r="G569" s="25"/>
      <c r="H569" s="26"/>
      <c r="I569" s="27"/>
      <c r="J569" s="28"/>
      <c r="K569" s="29"/>
      <c r="L569" s="30"/>
      <c r="M569" s="31"/>
      <c r="N569" s="32"/>
      <c r="O569" s="24"/>
      <c r="P569" s="33"/>
      <c r="Q569" s="34"/>
      <c r="R569" s="35"/>
      <c r="S569" s="36"/>
      <c r="T569" s="37"/>
      <c r="U569" s="38"/>
      <c r="V569" s="22"/>
    </row>
    <row r="570" spans="3:22" x14ac:dyDescent="0.25">
      <c r="C570" s="33"/>
      <c r="D570" s="142"/>
      <c r="E570" s="45"/>
      <c r="F570" s="24"/>
      <c r="G570" s="25"/>
      <c r="H570" s="26"/>
      <c r="I570" s="27"/>
      <c r="J570" s="28"/>
      <c r="K570" s="29"/>
      <c r="L570" s="30"/>
      <c r="M570" s="31"/>
      <c r="N570" s="32"/>
      <c r="O570" s="24"/>
      <c r="P570" s="33"/>
      <c r="Q570" s="34"/>
      <c r="R570" s="35"/>
      <c r="S570" s="36"/>
      <c r="T570" s="37"/>
      <c r="U570" s="38"/>
      <c r="V570" s="22"/>
    </row>
    <row r="571" spans="3:22" x14ac:dyDescent="0.25">
      <c r="C571" s="33"/>
      <c r="D571" s="142"/>
      <c r="E571" s="45"/>
      <c r="F571" s="24"/>
      <c r="G571" s="25"/>
      <c r="H571" s="26"/>
      <c r="I571" s="27"/>
      <c r="J571" s="28"/>
      <c r="K571" s="29"/>
      <c r="L571" s="30"/>
      <c r="M571" s="31"/>
      <c r="N571" s="32"/>
      <c r="O571" s="24"/>
      <c r="P571" s="33"/>
      <c r="Q571" s="34"/>
      <c r="R571" s="35"/>
      <c r="S571" s="36"/>
      <c r="T571" s="37"/>
      <c r="U571" s="38"/>
      <c r="V571" s="22"/>
    </row>
    <row r="572" spans="3:22" x14ac:dyDescent="0.25">
      <c r="C572" s="33"/>
      <c r="D572" s="142"/>
      <c r="E572" s="45"/>
      <c r="F572" s="24"/>
      <c r="G572" s="25"/>
      <c r="H572" s="26"/>
      <c r="I572" s="27"/>
      <c r="J572" s="28"/>
      <c r="K572" s="29"/>
      <c r="L572" s="30"/>
      <c r="M572" s="31"/>
      <c r="N572" s="32"/>
      <c r="O572" s="24"/>
      <c r="P572" s="33"/>
      <c r="Q572" s="34"/>
      <c r="R572" s="35"/>
      <c r="S572" s="36"/>
      <c r="T572" s="37"/>
      <c r="U572" s="38"/>
      <c r="V572" s="22"/>
    </row>
    <row r="573" spans="3:22" x14ac:dyDescent="0.25">
      <c r="C573" s="33"/>
      <c r="D573" s="142"/>
      <c r="E573" s="45"/>
      <c r="F573" s="24"/>
      <c r="G573" s="25"/>
      <c r="H573" s="26"/>
      <c r="I573" s="27"/>
      <c r="J573" s="28"/>
      <c r="K573" s="29"/>
      <c r="L573" s="30"/>
      <c r="M573" s="31"/>
      <c r="N573" s="32"/>
      <c r="O573" s="24"/>
      <c r="P573" s="33"/>
      <c r="Q573" s="34"/>
      <c r="R573" s="35"/>
      <c r="S573" s="36"/>
      <c r="T573" s="37"/>
      <c r="U573" s="38"/>
      <c r="V573" s="22"/>
    </row>
    <row r="574" spans="3:22" x14ac:dyDescent="0.25">
      <c r="C574" s="33"/>
      <c r="D574" s="142"/>
      <c r="E574" s="45"/>
      <c r="F574" s="24"/>
      <c r="G574" s="25"/>
      <c r="H574" s="26"/>
      <c r="I574" s="27"/>
      <c r="J574" s="28"/>
      <c r="K574" s="29"/>
      <c r="L574" s="30"/>
      <c r="M574" s="31"/>
      <c r="N574" s="32"/>
      <c r="O574" s="24"/>
      <c r="P574" s="33"/>
      <c r="Q574" s="34"/>
      <c r="R574" s="35"/>
      <c r="S574" s="36"/>
      <c r="T574" s="37"/>
      <c r="U574" s="38"/>
      <c r="V574" s="22"/>
    </row>
    <row r="575" spans="3:22" x14ac:dyDescent="0.25">
      <c r="C575" s="33"/>
      <c r="D575" s="142"/>
      <c r="E575" s="45"/>
      <c r="F575" s="24"/>
      <c r="G575" s="25"/>
      <c r="H575" s="26"/>
      <c r="I575" s="27"/>
      <c r="J575" s="28"/>
      <c r="K575" s="29"/>
      <c r="L575" s="30"/>
      <c r="M575" s="31"/>
      <c r="N575" s="32"/>
      <c r="O575" s="24"/>
      <c r="P575" s="33"/>
      <c r="Q575" s="34"/>
      <c r="R575" s="35"/>
      <c r="S575" s="36"/>
      <c r="T575" s="37"/>
      <c r="U575" s="38"/>
      <c r="V575" s="22"/>
    </row>
    <row r="576" spans="3:22" x14ac:dyDescent="0.25">
      <c r="C576" s="33"/>
      <c r="D576" s="142"/>
      <c r="E576" s="45"/>
      <c r="F576" s="24"/>
      <c r="G576" s="25"/>
      <c r="H576" s="26"/>
      <c r="I576" s="27"/>
      <c r="J576" s="28"/>
      <c r="K576" s="29"/>
      <c r="L576" s="30"/>
      <c r="M576" s="31"/>
      <c r="N576" s="32"/>
      <c r="O576" s="24"/>
      <c r="P576" s="33"/>
      <c r="Q576" s="34"/>
      <c r="R576" s="35"/>
      <c r="S576" s="36"/>
      <c r="T576" s="37"/>
      <c r="U576" s="38"/>
      <c r="V576" s="22"/>
    </row>
    <row r="577" spans="3:22" x14ac:dyDescent="0.25">
      <c r="C577" s="33"/>
      <c r="D577" s="142"/>
      <c r="E577" s="45"/>
      <c r="F577" s="24"/>
      <c r="G577" s="25"/>
      <c r="H577" s="26"/>
      <c r="I577" s="27"/>
      <c r="J577" s="28"/>
      <c r="K577" s="29"/>
      <c r="L577" s="30"/>
      <c r="M577" s="31"/>
      <c r="N577" s="32"/>
      <c r="O577" s="24"/>
      <c r="P577" s="33"/>
      <c r="Q577" s="34"/>
      <c r="R577" s="35"/>
      <c r="S577" s="36"/>
      <c r="T577" s="37"/>
      <c r="U577" s="38"/>
      <c r="V577" s="22"/>
    </row>
    <row r="578" spans="3:22" x14ac:dyDescent="0.25">
      <c r="C578" s="33"/>
      <c r="D578" s="142"/>
      <c r="E578" s="45"/>
      <c r="F578" s="24"/>
      <c r="G578" s="25"/>
      <c r="H578" s="26"/>
      <c r="I578" s="27"/>
      <c r="J578" s="28"/>
      <c r="K578" s="29"/>
      <c r="L578" s="30"/>
      <c r="M578" s="31"/>
      <c r="N578" s="32"/>
      <c r="O578" s="24"/>
      <c r="P578" s="33"/>
      <c r="Q578" s="34"/>
      <c r="R578" s="35"/>
      <c r="S578" s="36"/>
      <c r="T578" s="37"/>
      <c r="U578" s="38"/>
      <c r="V578" s="22"/>
    </row>
    <row r="579" spans="3:22" x14ac:dyDescent="0.25">
      <c r="C579" s="33"/>
      <c r="D579" s="142"/>
      <c r="E579" s="45"/>
      <c r="F579" s="24"/>
      <c r="G579" s="25"/>
      <c r="H579" s="26"/>
      <c r="I579" s="27"/>
      <c r="J579" s="28"/>
      <c r="K579" s="29"/>
      <c r="L579" s="30"/>
      <c r="M579" s="31"/>
      <c r="N579" s="32"/>
      <c r="O579" s="24"/>
      <c r="P579" s="33"/>
      <c r="Q579" s="34"/>
      <c r="R579" s="35"/>
      <c r="S579" s="36"/>
      <c r="T579" s="37"/>
      <c r="U579" s="38"/>
      <c r="V579" s="22"/>
    </row>
    <row r="580" spans="3:22" x14ac:dyDescent="0.25">
      <c r="C580" s="33"/>
      <c r="D580" s="142"/>
      <c r="E580" s="45"/>
      <c r="F580" s="24"/>
      <c r="G580" s="25"/>
      <c r="H580" s="26"/>
      <c r="I580" s="27"/>
      <c r="J580" s="28"/>
      <c r="K580" s="29"/>
      <c r="L580" s="30"/>
      <c r="M580" s="31"/>
      <c r="N580" s="32"/>
      <c r="O580" s="24"/>
      <c r="P580" s="33"/>
      <c r="Q580" s="34"/>
      <c r="R580" s="35"/>
      <c r="S580" s="36"/>
      <c r="T580" s="37"/>
      <c r="U580" s="38"/>
      <c r="V580" s="22"/>
    </row>
    <row r="581" spans="3:22" x14ac:dyDescent="0.25">
      <c r="C581" s="33"/>
      <c r="D581" s="142"/>
      <c r="E581" s="45"/>
      <c r="F581" s="24"/>
      <c r="G581" s="25"/>
      <c r="H581" s="26"/>
      <c r="I581" s="27"/>
      <c r="J581" s="28"/>
      <c r="K581" s="29"/>
      <c r="L581" s="30"/>
      <c r="M581" s="31"/>
      <c r="N581" s="32"/>
      <c r="O581" s="24"/>
      <c r="P581" s="33"/>
      <c r="Q581" s="34"/>
      <c r="R581" s="35"/>
      <c r="S581" s="36"/>
      <c r="T581" s="37"/>
      <c r="U581" s="38"/>
      <c r="V581" s="22"/>
    </row>
    <row r="582" spans="3:22" x14ac:dyDescent="0.25">
      <c r="C582" s="33"/>
      <c r="D582" s="142"/>
      <c r="E582" s="45"/>
      <c r="F582" s="24"/>
      <c r="G582" s="25"/>
      <c r="H582" s="26"/>
      <c r="I582" s="27"/>
      <c r="J582" s="28"/>
      <c r="K582" s="29"/>
      <c r="L582" s="30"/>
      <c r="M582" s="31"/>
      <c r="N582" s="32"/>
      <c r="O582" s="24"/>
      <c r="P582" s="33"/>
      <c r="Q582" s="34"/>
      <c r="R582" s="35"/>
      <c r="S582" s="36"/>
      <c r="T582" s="37"/>
      <c r="U582" s="38"/>
      <c r="V582" s="22"/>
    </row>
    <row r="583" spans="3:22" x14ac:dyDescent="0.25">
      <c r="C583" s="33"/>
      <c r="D583" s="142"/>
      <c r="E583" s="45"/>
      <c r="F583" s="24"/>
      <c r="G583" s="25"/>
      <c r="H583" s="26"/>
      <c r="I583" s="27"/>
      <c r="J583" s="28"/>
      <c r="K583" s="29"/>
      <c r="L583" s="30"/>
      <c r="M583" s="31"/>
      <c r="N583" s="32"/>
      <c r="O583" s="24"/>
      <c r="P583" s="33"/>
      <c r="Q583" s="34"/>
      <c r="R583" s="35"/>
      <c r="S583" s="36"/>
      <c r="T583" s="37"/>
      <c r="U583" s="38"/>
      <c r="V583" s="22"/>
    </row>
    <row r="584" spans="3:22" x14ac:dyDescent="0.25">
      <c r="C584" s="33"/>
      <c r="D584" s="142"/>
      <c r="E584" s="45"/>
      <c r="F584" s="24"/>
      <c r="G584" s="25"/>
      <c r="H584" s="26"/>
      <c r="I584" s="27"/>
      <c r="J584" s="28"/>
      <c r="K584" s="29"/>
      <c r="L584" s="30"/>
      <c r="M584" s="31"/>
      <c r="N584" s="32"/>
      <c r="O584" s="24"/>
      <c r="P584" s="33"/>
      <c r="Q584" s="34"/>
      <c r="R584" s="35"/>
      <c r="S584" s="36"/>
      <c r="T584" s="37"/>
      <c r="U584" s="38"/>
      <c r="V584" s="22"/>
    </row>
    <row r="585" spans="3:22" x14ac:dyDescent="0.25">
      <c r="C585" s="33"/>
      <c r="D585" s="142"/>
      <c r="E585" s="45"/>
      <c r="F585" s="24"/>
      <c r="G585" s="25"/>
      <c r="H585" s="26"/>
      <c r="I585" s="27"/>
      <c r="J585" s="28"/>
      <c r="K585" s="29"/>
      <c r="L585" s="30"/>
      <c r="M585" s="31"/>
      <c r="N585" s="32"/>
      <c r="O585" s="24"/>
      <c r="P585" s="33"/>
      <c r="Q585" s="34"/>
      <c r="R585" s="35"/>
      <c r="S585" s="36"/>
      <c r="T585" s="37"/>
      <c r="U585" s="38"/>
      <c r="V585" s="22"/>
    </row>
    <row r="586" spans="3:22" x14ac:dyDescent="0.25">
      <c r="C586" s="33"/>
      <c r="D586" s="142"/>
      <c r="E586" s="45"/>
      <c r="F586" s="24"/>
      <c r="G586" s="25"/>
      <c r="H586" s="26"/>
      <c r="I586" s="27"/>
      <c r="J586" s="28"/>
      <c r="K586" s="29"/>
      <c r="L586" s="30"/>
      <c r="M586" s="31"/>
      <c r="N586" s="32"/>
      <c r="O586" s="24"/>
      <c r="P586" s="33"/>
      <c r="Q586" s="34"/>
      <c r="R586" s="35"/>
      <c r="S586" s="36"/>
      <c r="T586" s="37"/>
      <c r="U586" s="38"/>
      <c r="V586" s="22"/>
    </row>
    <row r="587" spans="3:22" x14ac:dyDescent="0.25">
      <c r="C587" s="33"/>
      <c r="D587" s="142"/>
      <c r="E587" s="45"/>
      <c r="F587" s="24"/>
      <c r="G587" s="25"/>
      <c r="H587" s="26"/>
      <c r="I587" s="27"/>
      <c r="J587" s="28"/>
      <c r="K587" s="29"/>
      <c r="L587" s="30"/>
      <c r="M587" s="31"/>
      <c r="N587" s="32"/>
      <c r="O587" s="24"/>
      <c r="P587" s="33"/>
      <c r="Q587" s="34"/>
      <c r="R587" s="35"/>
      <c r="S587" s="36"/>
      <c r="T587" s="37"/>
      <c r="U587" s="38"/>
      <c r="V587" s="22"/>
    </row>
    <row r="588" spans="3:22" x14ac:dyDescent="0.25">
      <c r="C588" s="33"/>
      <c r="D588" s="142"/>
      <c r="E588" s="45"/>
      <c r="F588" s="24"/>
      <c r="G588" s="25"/>
      <c r="H588" s="26"/>
      <c r="I588" s="27"/>
      <c r="J588" s="28"/>
      <c r="K588" s="29"/>
      <c r="L588" s="30"/>
      <c r="M588" s="31"/>
      <c r="N588" s="32"/>
      <c r="O588" s="24"/>
      <c r="P588" s="33"/>
      <c r="Q588" s="34"/>
      <c r="R588" s="35"/>
      <c r="S588" s="36"/>
      <c r="T588" s="37"/>
      <c r="U588" s="38"/>
      <c r="V588" s="22"/>
    </row>
    <row r="589" spans="3:22" x14ac:dyDescent="0.25">
      <c r="C589" s="33"/>
      <c r="D589" s="142"/>
      <c r="E589" s="45"/>
      <c r="F589" s="24"/>
      <c r="G589" s="25"/>
      <c r="H589" s="26"/>
      <c r="I589" s="27"/>
      <c r="J589" s="28"/>
      <c r="K589" s="29"/>
      <c r="L589" s="30"/>
      <c r="M589" s="31"/>
      <c r="N589" s="32"/>
      <c r="O589" s="24"/>
      <c r="P589" s="33"/>
      <c r="Q589" s="34"/>
      <c r="R589" s="35"/>
      <c r="S589" s="36"/>
      <c r="T589" s="37"/>
      <c r="U589" s="38"/>
      <c r="V589" s="22"/>
    </row>
    <row r="590" spans="3:22" x14ac:dyDescent="0.25">
      <c r="C590" s="33"/>
      <c r="D590" s="142"/>
      <c r="E590" s="45"/>
      <c r="F590" s="24"/>
      <c r="G590" s="25"/>
      <c r="H590" s="26"/>
      <c r="I590" s="27"/>
      <c r="J590" s="28"/>
      <c r="K590" s="29"/>
      <c r="L590" s="30"/>
      <c r="M590" s="31"/>
      <c r="N590" s="32"/>
      <c r="O590" s="24"/>
      <c r="P590" s="33"/>
      <c r="Q590" s="34"/>
      <c r="R590" s="35"/>
      <c r="S590" s="36"/>
      <c r="T590" s="37"/>
      <c r="U590" s="38"/>
      <c r="V590" s="22"/>
    </row>
    <row r="591" spans="3:22" x14ac:dyDescent="0.25">
      <c r="C591" s="33"/>
      <c r="D591" s="142"/>
      <c r="E591" s="45"/>
      <c r="F591" s="24"/>
      <c r="G591" s="25"/>
      <c r="H591" s="26"/>
      <c r="I591" s="27"/>
      <c r="J591" s="28"/>
      <c r="K591" s="29"/>
      <c r="L591" s="30"/>
      <c r="M591" s="31"/>
      <c r="N591" s="32"/>
      <c r="O591" s="24"/>
      <c r="P591" s="33"/>
      <c r="Q591" s="34"/>
      <c r="R591" s="35"/>
      <c r="S591" s="36"/>
      <c r="T591" s="37"/>
      <c r="U591" s="38"/>
      <c r="V591" s="22"/>
    </row>
  </sheetData>
  <mergeCells count="1">
    <mergeCell ref="A2:A216"/>
  </mergeCells>
  <hyperlinks>
    <hyperlink ref="D147"/>
    <hyperlink ref="D42" r:id="rId1"/>
    <hyperlink ref="D44" r:id="rId2"/>
    <hyperlink ref="D50" r:id="rId3"/>
    <hyperlink ref="D59" r:id="rId4"/>
    <hyperlink ref="D63" r:id="rId5"/>
    <hyperlink ref="D43" r:id="rId6"/>
    <hyperlink ref="D51" r:id="rId7"/>
    <hyperlink ref="D60" r:id="rId8"/>
    <hyperlink ref="D41" r:id="rId9"/>
    <hyperlink ref="D46" r:id="rId10"/>
    <hyperlink ref="D47" r:id="rId11"/>
    <hyperlink ref="D65" r:id="rId12"/>
    <hyperlink ref="D66" r:id="rId13"/>
    <hyperlink ref="D55" r:id="rId14"/>
    <hyperlink ref="D56" r:id="rId15"/>
    <hyperlink ref="D67" r:id="rId16"/>
    <hyperlink ref="D57" r:id="rId17"/>
    <hyperlink ref="D48" r:id="rId18"/>
    <hyperlink ref="D133" r:id="rId19"/>
    <hyperlink ref="D68" r:id="rId20"/>
    <hyperlink ref="D69" r:id="rId21"/>
    <hyperlink ref="D74" r:id="rId22"/>
    <hyperlink ref="D75" r:id="rId23"/>
    <hyperlink ref="D71" r:id="rId24"/>
    <hyperlink ref="D73" r:id="rId25"/>
    <hyperlink ref="D83" r:id="rId26"/>
    <hyperlink ref="D39" r:id="rId27"/>
    <hyperlink ref="D84" r:id="rId28"/>
    <hyperlink ref="D85" r:id="rId29"/>
    <hyperlink ref="D86" r:id="rId30"/>
    <hyperlink ref="D87" r:id="rId31"/>
    <hyperlink ref="D88" r:id="rId32"/>
    <hyperlink ref="D90" r:id="rId33"/>
    <hyperlink ref="D89" r:id="rId34"/>
    <hyperlink ref="D92" r:id="rId35"/>
    <hyperlink ref="D91" r:id="rId36"/>
    <hyperlink ref="D93" r:id="rId37"/>
    <hyperlink ref="D94" r:id="rId38"/>
    <hyperlink ref="D96" r:id="rId39"/>
    <hyperlink ref="D97" r:id="rId40"/>
    <hyperlink ref="D98" r:id="rId41"/>
    <hyperlink ref="D99" r:id="rId42"/>
    <hyperlink ref="D100" r:id="rId43"/>
    <hyperlink ref="D104" r:id="rId44"/>
    <hyperlink ref="D105" r:id="rId45"/>
    <hyperlink ref="D116" r:id="rId46"/>
    <hyperlink ref="D117" r:id="rId47"/>
    <hyperlink ref="D118" r:id="rId48"/>
    <hyperlink ref="D112" r:id="rId49"/>
    <hyperlink ref="D148" r:id="rId50"/>
    <hyperlink ref="D153" r:id="rId51"/>
    <hyperlink ref="D187"/>
    <hyperlink ref="D188"/>
    <hyperlink ref="D189" r:id="rId52"/>
    <hyperlink ref="D191" r:id="rId53"/>
    <hyperlink ref="D103"/>
    <hyperlink ref="D101"/>
    <hyperlink ref="D102"/>
    <hyperlink ref="D193" r:id="rId54"/>
    <hyperlink ref="D194" r:id="rId55"/>
    <hyperlink ref="D201" r:id="rId56"/>
    <hyperlink ref="D209" r:id="rId57"/>
    <hyperlink ref="D196" r:id="rId58"/>
    <hyperlink ref="D197" r:id="rId59"/>
    <hyperlink ref="D198" r:id="rId60"/>
    <hyperlink ref="D199" r:id="rId61"/>
    <hyperlink ref="D200" r:id="rId62"/>
    <hyperlink ref="D202" r:id="rId63"/>
    <hyperlink ref="D203" r:id="rId64"/>
    <hyperlink ref="D204" r:id="rId65"/>
    <hyperlink ref="D205" r:id="rId66"/>
    <hyperlink ref="D207" r:id="rId67"/>
    <hyperlink ref="D210" r:id="rId68"/>
    <hyperlink ref="D211" r:id="rId69"/>
    <hyperlink ref="D215" r:id="rId70"/>
    <hyperlink ref="D216" r:id="rId71"/>
    <hyperlink ref="D212" r:id="rId72"/>
    <hyperlink ref="D213" r:id="rId73"/>
  </hyperlinks>
  <pageMargins left="0.7" right="0.7" top="0.75" bottom="0.75" header="0.3" footer="0.3"/>
  <pageSetup paperSize="9" orientation="portrait" r:id="rId74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39"/>
  <sheetViews>
    <sheetView topLeftCell="A16" workbookViewId="0">
      <selection activeCell="C39" sqref="C39"/>
    </sheetView>
  </sheetViews>
  <sheetFormatPr defaultRowHeight="15" x14ac:dyDescent="0.25"/>
  <cols>
    <col min="13" max="13" width="9.140625" customWidth="1"/>
  </cols>
  <sheetData>
    <row r="39" spans="3:3" ht="29.25" x14ac:dyDescent="0.4">
      <c r="C39" s="50"/>
    </row>
  </sheetData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148"/>
  <sheetViews>
    <sheetView topLeftCell="F29" zoomScale="55" zoomScaleNormal="55" workbookViewId="0">
      <selection activeCell="L42" sqref="L42"/>
    </sheetView>
  </sheetViews>
  <sheetFormatPr defaultRowHeight="15" x14ac:dyDescent="0.25"/>
  <cols>
    <col min="1" max="1" width="26.85546875" style="48" customWidth="1"/>
    <col min="2" max="2" width="8.85546875" style="7" customWidth="1"/>
    <col min="3" max="3" width="5.85546875" style="3" customWidth="1"/>
    <col min="4" max="4" width="3.5703125" style="9" customWidth="1"/>
    <col min="5" max="5" width="10.7109375" style="10" customWidth="1"/>
    <col min="6" max="6" width="59.85546875" style="8" customWidth="1"/>
    <col min="7" max="7" width="16.85546875" style="11" customWidth="1"/>
    <col min="8" max="8" width="30.140625" style="13" customWidth="1"/>
    <col min="9" max="9" width="13.140625" style="14" customWidth="1"/>
    <col min="10" max="10" width="23.28515625" style="4" customWidth="1"/>
    <col min="11" max="11" width="14.85546875" style="2" customWidth="1"/>
    <col min="12" max="12" width="13.140625" style="5" customWidth="1"/>
    <col min="13" max="13" width="12.42578125" style="6" customWidth="1"/>
    <col min="14" max="14" width="8.85546875" style="10" customWidth="1"/>
    <col min="15" max="15" width="9.140625" style="15" customWidth="1"/>
    <col min="16" max="16" width="9.42578125" style="17" customWidth="1"/>
    <col min="17" max="17" width="13.5703125" style="16" customWidth="1"/>
    <col min="18" max="18" width="10" style="21" customWidth="1"/>
    <col min="19" max="19" width="10.28515625" style="20" customWidth="1"/>
    <col min="20" max="20" width="9.140625" style="18"/>
    <col min="21" max="21" width="9.140625" style="19"/>
    <col min="22" max="16384" width="9.140625" style="1"/>
  </cols>
  <sheetData>
    <row r="1" spans="1:21" s="12" customFormat="1" ht="25.5" x14ac:dyDescent="0.25">
      <c r="A1" s="54" t="s">
        <v>21</v>
      </c>
      <c r="B1" s="55" t="s">
        <v>0</v>
      </c>
      <c r="C1" s="56" t="s">
        <v>22</v>
      </c>
      <c r="D1" s="44" t="s">
        <v>43</v>
      </c>
      <c r="E1" s="57" t="s">
        <v>1</v>
      </c>
      <c r="F1" s="58" t="s">
        <v>2</v>
      </c>
      <c r="G1" s="59" t="s">
        <v>3</v>
      </c>
      <c r="H1" s="60" t="s">
        <v>4</v>
      </c>
      <c r="I1" s="61" t="s">
        <v>5</v>
      </c>
      <c r="J1" s="62" t="s">
        <v>6</v>
      </c>
      <c r="K1" s="63" t="s">
        <v>7</v>
      </c>
      <c r="L1" s="64" t="s">
        <v>8</v>
      </c>
      <c r="M1" s="65" t="s">
        <v>9</v>
      </c>
      <c r="N1" s="57" t="s">
        <v>10</v>
      </c>
      <c r="O1" s="66" t="s">
        <v>11</v>
      </c>
      <c r="P1" s="67" t="s">
        <v>12</v>
      </c>
      <c r="Q1" s="68" t="s">
        <v>13</v>
      </c>
      <c r="R1" s="69" t="s">
        <v>14</v>
      </c>
      <c r="S1" s="70" t="s">
        <v>15</v>
      </c>
      <c r="T1" s="71" t="s">
        <v>17</v>
      </c>
      <c r="U1" s="72" t="s">
        <v>19</v>
      </c>
    </row>
    <row r="2" spans="1:21" ht="12.75" x14ac:dyDescent="0.25">
      <c r="A2" s="167" t="s">
        <v>158</v>
      </c>
      <c r="B2" s="74"/>
      <c r="C2" s="42" t="s">
        <v>43</v>
      </c>
      <c r="D2" s="47" t="s">
        <v>43</v>
      </c>
      <c r="E2" s="75" t="s">
        <v>108</v>
      </c>
      <c r="F2" s="25" t="s">
        <v>24</v>
      </c>
      <c r="G2" s="26"/>
      <c r="H2" s="27">
        <v>1</v>
      </c>
      <c r="I2" s="28">
        <v>0</v>
      </c>
      <c r="J2" s="29" t="s">
        <v>23</v>
      </c>
      <c r="K2" s="30" t="s">
        <v>43</v>
      </c>
      <c r="L2" s="40">
        <v>0.05</v>
      </c>
      <c r="M2" s="32">
        <v>3</v>
      </c>
      <c r="N2" s="24" t="s">
        <v>26</v>
      </c>
      <c r="O2" s="76" t="s">
        <v>25</v>
      </c>
      <c r="P2" s="34"/>
      <c r="Q2" s="35"/>
      <c r="R2" s="36"/>
      <c r="S2" s="37"/>
      <c r="T2" s="38"/>
      <c r="U2" s="22"/>
    </row>
    <row r="3" spans="1:21" ht="12.75" x14ac:dyDescent="0.25">
      <c r="A3" s="168"/>
      <c r="B3" s="39"/>
      <c r="C3" s="42" t="s">
        <v>97</v>
      </c>
      <c r="D3" s="47" t="s">
        <v>43</v>
      </c>
      <c r="E3" s="24" t="s">
        <v>107</v>
      </c>
      <c r="F3" s="41" t="s">
        <v>96</v>
      </c>
      <c r="G3" s="26"/>
      <c r="H3" s="27">
        <v>2</v>
      </c>
      <c r="I3" s="28">
        <v>0</v>
      </c>
      <c r="J3" s="77" t="s">
        <v>27</v>
      </c>
      <c r="K3" s="30" t="s">
        <v>95</v>
      </c>
      <c r="L3" s="40">
        <v>0.01</v>
      </c>
      <c r="M3" s="32" t="s">
        <v>98</v>
      </c>
      <c r="N3" s="24" t="s">
        <v>28</v>
      </c>
      <c r="O3" s="33"/>
      <c r="P3" s="34"/>
      <c r="Q3" s="35"/>
      <c r="R3" s="52">
        <v>2.56</v>
      </c>
      <c r="S3" s="111">
        <f>H3*R3</f>
        <v>5.12</v>
      </c>
      <c r="T3" s="38"/>
      <c r="U3" s="22"/>
    </row>
    <row r="4" spans="1:21" x14ac:dyDescent="0.25">
      <c r="A4" s="168"/>
      <c r="B4" s="39"/>
      <c r="C4" s="49" t="s">
        <v>131</v>
      </c>
      <c r="D4" s="47" t="s">
        <v>43</v>
      </c>
      <c r="E4" s="24" t="s">
        <v>106</v>
      </c>
      <c r="F4" s="41" t="s">
        <v>130</v>
      </c>
      <c r="G4" s="26"/>
      <c r="H4" s="27">
        <v>1</v>
      </c>
      <c r="I4" s="28">
        <v>0</v>
      </c>
      <c r="J4" s="77" t="s">
        <v>129</v>
      </c>
      <c r="K4" s="30">
        <v>27000</v>
      </c>
      <c r="L4" s="40">
        <v>0.01</v>
      </c>
      <c r="M4" s="32" t="s">
        <v>94</v>
      </c>
      <c r="N4" s="24" t="s">
        <v>26</v>
      </c>
      <c r="O4" s="33"/>
      <c r="P4" s="34"/>
      <c r="Q4" s="35"/>
      <c r="R4" s="36"/>
      <c r="S4" s="37"/>
      <c r="T4" s="38"/>
      <c r="U4" s="22"/>
    </row>
    <row r="5" spans="1:21" ht="12.75" x14ac:dyDescent="0.25">
      <c r="A5" s="168"/>
      <c r="B5" s="23"/>
      <c r="C5" s="42" t="s">
        <v>43</v>
      </c>
      <c r="D5" s="47" t="s">
        <v>43</v>
      </c>
      <c r="E5" s="24" t="s">
        <v>105</v>
      </c>
      <c r="F5" s="25" t="s">
        <v>126</v>
      </c>
      <c r="G5" s="26"/>
      <c r="H5" s="27">
        <v>1</v>
      </c>
      <c r="I5" s="28">
        <v>0</v>
      </c>
      <c r="J5" s="77" t="s">
        <v>30</v>
      </c>
      <c r="K5" s="30" t="s">
        <v>127</v>
      </c>
      <c r="L5" s="40">
        <v>0.01</v>
      </c>
      <c r="M5" s="32" t="s">
        <v>29</v>
      </c>
      <c r="N5" s="24" t="s">
        <v>32</v>
      </c>
      <c r="O5" s="33"/>
      <c r="P5" s="34"/>
      <c r="Q5" s="35"/>
      <c r="R5" s="36"/>
      <c r="S5" s="37"/>
      <c r="T5" s="38"/>
      <c r="U5" s="22"/>
    </row>
    <row r="6" spans="1:21" ht="12.75" x14ac:dyDescent="0.25">
      <c r="A6" s="168"/>
      <c r="B6" s="78"/>
      <c r="C6" s="42" t="s">
        <v>43</v>
      </c>
      <c r="D6" s="47" t="s">
        <v>43</v>
      </c>
      <c r="E6" s="24" t="s">
        <v>103</v>
      </c>
      <c r="F6" s="25" t="s">
        <v>33</v>
      </c>
      <c r="G6" s="26"/>
      <c r="H6" s="27">
        <v>2</v>
      </c>
      <c r="I6" s="28">
        <v>0</v>
      </c>
      <c r="J6" s="79" t="s">
        <v>35</v>
      </c>
      <c r="K6" s="30" t="s">
        <v>43</v>
      </c>
      <c r="L6" s="31"/>
      <c r="M6" s="32"/>
      <c r="N6" s="24"/>
      <c r="O6" s="33"/>
      <c r="P6" s="34"/>
      <c r="Q6" s="35"/>
      <c r="R6" s="36"/>
      <c r="S6" s="37"/>
      <c r="T6" s="38"/>
      <c r="U6" s="22"/>
    </row>
    <row r="7" spans="1:21" ht="12.75" x14ac:dyDescent="0.25">
      <c r="A7" s="168"/>
      <c r="B7" s="78"/>
      <c r="C7" s="42" t="s">
        <v>43</v>
      </c>
      <c r="D7" s="47" t="s">
        <v>43</v>
      </c>
      <c r="E7" s="24" t="s">
        <v>104</v>
      </c>
      <c r="F7" s="25" t="s">
        <v>34</v>
      </c>
      <c r="G7" s="26"/>
      <c r="H7" s="27">
        <v>1</v>
      </c>
      <c r="I7" s="28">
        <v>0</v>
      </c>
      <c r="J7" s="79" t="s">
        <v>36</v>
      </c>
      <c r="K7" s="30" t="s">
        <v>43</v>
      </c>
      <c r="L7" s="31"/>
      <c r="M7" s="32"/>
      <c r="N7" s="24"/>
      <c r="O7" s="33"/>
      <c r="P7" s="34"/>
      <c r="Q7" s="35"/>
      <c r="R7" s="36"/>
      <c r="S7" s="37"/>
      <c r="T7" s="38"/>
      <c r="U7" s="22"/>
    </row>
    <row r="8" spans="1:21" ht="12.75" x14ac:dyDescent="0.25">
      <c r="A8" s="168"/>
      <c r="B8" s="39"/>
      <c r="C8" s="42" t="s">
        <v>43</v>
      </c>
      <c r="D8" s="47" t="s">
        <v>43</v>
      </c>
      <c r="E8" s="24"/>
      <c r="F8" s="41" t="s">
        <v>37</v>
      </c>
      <c r="G8" s="26"/>
      <c r="H8" s="27">
        <v>1</v>
      </c>
      <c r="I8" s="28">
        <v>0</v>
      </c>
      <c r="J8" s="77" t="s">
        <v>38</v>
      </c>
      <c r="K8" s="30" t="s">
        <v>39</v>
      </c>
      <c r="L8" s="40">
        <v>0.05</v>
      </c>
      <c r="M8" s="32" t="s">
        <v>31</v>
      </c>
      <c r="N8" s="24"/>
      <c r="O8" s="33"/>
      <c r="P8" s="34"/>
      <c r="Q8" s="35"/>
      <c r="R8" s="36"/>
      <c r="S8" s="37"/>
      <c r="T8" s="38"/>
      <c r="U8" s="22"/>
    </row>
    <row r="9" spans="1:21" ht="12.75" x14ac:dyDescent="0.25">
      <c r="A9" s="168"/>
      <c r="B9" s="23"/>
      <c r="C9" s="42" t="s">
        <v>43</v>
      </c>
      <c r="D9" s="47" t="s">
        <v>43</v>
      </c>
      <c r="E9" s="24"/>
      <c r="F9" s="25" t="s">
        <v>40</v>
      </c>
      <c r="G9" s="26"/>
      <c r="H9" s="27">
        <v>3</v>
      </c>
      <c r="I9" s="28">
        <v>0</v>
      </c>
      <c r="J9" s="77" t="s">
        <v>41</v>
      </c>
      <c r="K9" s="30" t="s">
        <v>42</v>
      </c>
      <c r="L9" s="40">
        <v>0.05</v>
      </c>
      <c r="M9" s="32" t="s">
        <v>31</v>
      </c>
      <c r="N9" s="24"/>
      <c r="O9" s="33"/>
      <c r="P9" s="34"/>
      <c r="Q9" s="35"/>
      <c r="R9" s="36"/>
      <c r="S9" s="37"/>
      <c r="T9" s="38"/>
      <c r="U9" s="22"/>
    </row>
    <row r="10" spans="1:21" ht="12.75" x14ac:dyDescent="0.25">
      <c r="A10" s="169"/>
      <c r="B10" s="23"/>
      <c r="C10" s="42" t="s">
        <v>43</v>
      </c>
      <c r="D10" s="47" t="s">
        <v>43</v>
      </c>
      <c r="E10" s="24" t="s">
        <v>102</v>
      </c>
      <c r="F10" s="25"/>
      <c r="G10" s="26" t="s">
        <v>43</v>
      </c>
      <c r="H10" s="27"/>
      <c r="I10" s="28"/>
      <c r="J10" s="29"/>
      <c r="K10" s="30" t="s">
        <v>43</v>
      </c>
      <c r="L10" s="31"/>
      <c r="M10" s="32"/>
      <c r="N10" s="24"/>
      <c r="O10" s="33"/>
      <c r="P10" s="34"/>
      <c r="Q10" s="35"/>
      <c r="R10" s="36"/>
      <c r="S10" s="37"/>
      <c r="T10" s="38"/>
      <c r="U10" s="22"/>
    </row>
    <row r="11" spans="1:21" x14ac:dyDescent="0.25">
      <c r="A11" s="176" t="s">
        <v>159</v>
      </c>
      <c r="B11" s="39"/>
      <c r="C11" s="49" t="s">
        <v>97</v>
      </c>
      <c r="D11" s="45" t="s">
        <v>43</v>
      </c>
      <c r="E11" s="24" t="s">
        <v>107</v>
      </c>
      <c r="F11" s="41" t="s">
        <v>96</v>
      </c>
      <c r="G11" s="26"/>
      <c r="H11" s="27">
        <v>2</v>
      </c>
      <c r="I11" s="28">
        <v>0</v>
      </c>
      <c r="J11" s="77" t="s">
        <v>27</v>
      </c>
      <c r="K11" s="30" t="s">
        <v>95</v>
      </c>
      <c r="L11" s="40">
        <v>0.01</v>
      </c>
      <c r="M11" s="32" t="s">
        <v>98</v>
      </c>
      <c r="N11" s="24" t="s">
        <v>28</v>
      </c>
      <c r="O11" s="33"/>
      <c r="P11" s="34"/>
      <c r="Q11" s="35"/>
      <c r="R11" s="52">
        <v>2.56</v>
      </c>
      <c r="S11" s="111">
        <f>H11*R11</f>
        <v>5.12</v>
      </c>
      <c r="T11" s="38"/>
      <c r="U11" s="22"/>
    </row>
    <row r="12" spans="1:21" x14ac:dyDescent="0.25">
      <c r="A12" s="177"/>
      <c r="B12" s="23"/>
      <c r="C12" s="49" t="s">
        <v>161</v>
      </c>
      <c r="D12" s="47" t="s">
        <v>43</v>
      </c>
      <c r="E12" s="24" t="s">
        <v>107</v>
      </c>
      <c r="F12" s="41" t="s">
        <v>166</v>
      </c>
      <c r="G12" s="26"/>
      <c r="H12" s="27">
        <v>2</v>
      </c>
      <c r="I12" s="28">
        <v>0</v>
      </c>
      <c r="J12" s="77" t="s">
        <v>168</v>
      </c>
      <c r="K12" s="30" t="s">
        <v>95</v>
      </c>
      <c r="L12" s="40">
        <v>0.01</v>
      </c>
      <c r="M12" s="32" t="s">
        <v>98</v>
      </c>
      <c r="N12" s="24" t="s">
        <v>164</v>
      </c>
      <c r="O12" s="33"/>
      <c r="P12" s="34" t="s">
        <v>165</v>
      </c>
      <c r="Q12" s="35"/>
      <c r="R12" s="52">
        <f>1.59/2</f>
        <v>0.79500000000000004</v>
      </c>
      <c r="S12" s="111">
        <f>H12*R12</f>
        <v>1.59</v>
      </c>
      <c r="T12" s="38"/>
      <c r="U12" s="22"/>
    </row>
    <row r="13" spans="1:21" x14ac:dyDescent="0.25">
      <c r="A13" s="176" t="s">
        <v>160</v>
      </c>
      <c r="B13" s="23"/>
      <c r="C13" s="49" t="s">
        <v>161</v>
      </c>
      <c r="D13" s="47" t="s">
        <v>43</v>
      </c>
      <c r="E13" s="133" t="s">
        <v>107</v>
      </c>
      <c r="F13" s="134" t="s">
        <v>167</v>
      </c>
      <c r="G13" s="135"/>
      <c r="H13" s="27">
        <v>14</v>
      </c>
      <c r="I13" s="28">
        <v>0</v>
      </c>
      <c r="J13" s="29" t="s">
        <v>155</v>
      </c>
      <c r="K13" s="30" t="s">
        <v>162</v>
      </c>
      <c r="L13" s="40">
        <v>0.01</v>
      </c>
      <c r="M13" s="32" t="s">
        <v>163</v>
      </c>
      <c r="N13" s="24" t="s">
        <v>164</v>
      </c>
      <c r="O13" s="33"/>
      <c r="P13" s="34" t="s">
        <v>165</v>
      </c>
      <c r="Q13" s="35"/>
      <c r="R13" s="52">
        <v>0.97</v>
      </c>
      <c r="S13" s="111">
        <f>R13*H13</f>
        <v>13.58</v>
      </c>
      <c r="T13" s="38"/>
      <c r="U13" s="22"/>
    </row>
    <row r="14" spans="1:21" ht="13.5" thickBot="1" x14ac:dyDescent="0.3">
      <c r="A14" s="177"/>
      <c r="B14" s="23"/>
      <c r="C14" s="42"/>
      <c r="D14" s="132"/>
      <c r="E14" s="133"/>
      <c r="F14" s="134"/>
      <c r="G14" s="135"/>
      <c r="H14" s="27"/>
      <c r="I14" s="28"/>
      <c r="J14" s="29"/>
      <c r="K14" s="30"/>
      <c r="L14" s="31"/>
      <c r="M14" s="32"/>
      <c r="N14" s="24"/>
      <c r="O14" s="33"/>
      <c r="P14" s="34"/>
      <c r="Q14" s="35"/>
      <c r="R14" s="36"/>
      <c r="S14" s="37"/>
      <c r="T14" s="38"/>
      <c r="U14" s="22"/>
    </row>
    <row r="15" spans="1:21" ht="12.75" x14ac:dyDescent="0.25">
      <c r="A15" s="96"/>
      <c r="B15" s="81"/>
      <c r="C15" s="82" t="s">
        <v>169</v>
      </c>
      <c r="D15" s="97"/>
      <c r="E15" s="171" t="s">
        <v>99</v>
      </c>
      <c r="F15" s="172"/>
      <c r="G15" s="172"/>
      <c r="H15" s="173"/>
      <c r="I15" s="138"/>
      <c r="J15" s="81" t="s">
        <v>170</v>
      </c>
      <c r="K15" s="81"/>
      <c r="L15" s="81"/>
      <c r="M15" s="81"/>
      <c r="N15" s="81"/>
      <c r="O15" s="81"/>
      <c r="P15" s="81"/>
      <c r="Q15" s="81"/>
      <c r="R15" s="81"/>
      <c r="S15" s="81"/>
      <c r="T15" s="81"/>
      <c r="U15" s="81"/>
    </row>
    <row r="16" spans="1:21" ht="12.75" x14ac:dyDescent="0.25">
      <c r="A16" s="96"/>
      <c r="B16" s="81"/>
      <c r="C16" s="82"/>
      <c r="D16" s="97"/>
      <c r="E16" s="114"/>
      <c r="F16" s="112" t="s">
        <v>100</v>
      </c>
      <c r="G16" s="112" t="s">
        <v>101</v>
      </c>
      <c r="H16" s="115" t="s">
        <v>132</v>
      </c>
      <c r="I16" s="98"/>
      <c r="J16" s="81"/>
      <c r="K16" s="81"/>
      <c r="L16" s="81"/>
      <c r="M16" s="81"/>
      <c r="N16" s="81"/>
      <c r="O16" s="81"/>
      <c r="P16" s="81"/>
      <c r="Q16" s="81"/>
      <c r="R16" s="81"/>
      <c r="S16" s="81"/>
      <c r="T16" s="81"/>
      <c r="U16" s="81"/>
    </row>
    <row r="17" spans="1:22" ht="12.75" x14ac:dyDescent="0.25">
      <c r="A17" s="96"/>
      <c r="B17" s="81"/>
      <c r="C17" s="82"/>
      <c r="D17" s="97"/>
      <c r="E17" s="101"/>
      <c r="F17" s="81" t="s">
        <v>62</v>
      </c>
      <c r="G17" s="81">
        <v>1.2</v>
      </c>
      <c r="H17" s="102">
        <v>1.2</v>
      </c>
      <c r="I17" s="98"/>
      <c r="J17" s="81"/>
      <c r="K17" s="81"/>
      <c r="L17" s="81"/>
      <c r="M17" s="81"/>
      <c r="N17" s="81"/>
      <c r="O17" s="81"/>
      <c r="P17" s="81"/>
      <c r="Q17" s="81"/>
      <c r="R17" s="81"/>
      <c r="S17" s="81"/>
      <c r="T17" s="81"/>
      <c r="U17" s="81"/>
    </row>
    <row r="18" spans="1:22" ht="12.75" x14ac:dyDescent="0.25">
      <c r="A18" s="96"/>
      <c r="B18" s="81"/>
      <c r="C18" s="82"/>
      <c r="D18" s="97"/>
      <c r="E18" s="101"/>
      <c r="F18" s="81" t="s">
        <v>47</v>
      </c>
      <c r="G18" s="91">
        <v>7.9999999999999996E-7</v>
      </c>
      <c r="H18" s="103">
        <v>7.9999999999999996E-7</v>
      </c>
      <c r="I18" s="98"/>
      <c r="J18" s="81"/>
      <c r="K18" s="81"/>
      <c r="L18" s="81"/>
      <c r="M18" s="81"/>
      <c r="N18" s="81"/>
      <c r="O18" s="81"/>
      <c r="P18" s="81"/>
      <c r="Q18" s="81"/>
      <c r="R18" s="81"/>
      <c r="S18" s="81"/>
      <c r="T18" s="81"/>
      <c r="U18" s="81"/>
    </row>
    <row r="19" spans="1:22" ht="12.75" x14ac:dyDescent="0.25">
      <c r="A19" s="96"/>
      <c r="B19" s="81"/>
      <c r="C19" s="82"/>
      <c r="D19" s="97"/>
      <c r="E19" s="101"/>
      <c r="F19" s="81" t="s">
        <v>45</v>
      </c>
      <c r="G19" s="81">
        <v>20000</v>
      </c>
      <c r="H19" s="102">
        <v>250000</v>
      </c>
      <c r="I19" s="98"/>
      <c r="J19" s="81"/>
      <c r="K19" s="81"/>
      <c r="L19" s="81"/>
      <c r="M19" s="81"/>
      <c r="N19" s="81"/>
      <c r="O19" s="81"/>
      <c r="P19" s="81"/>
      <c r="Q19" s="81"/>
      <c r="R19" s="81"/>
      <c r="S19" s="81"/>
      <c r="T19" s="81"/>
      <c r="U19" s="81"/>
    </row>
    <row r="20" spans="1:22" ht="12.75" x14ac:dyDescent="0.25">
      <c r="A20" s="96"/>
      <c r="B20" s="81"/>
      <c r="C20" s="82"/>
      <c r="D20" s="97"/>
      <c r="E20" s="101"/>
      <c r="F20" s="81" t="s">
        <v>46</v>
      </c>
      <c r="G20" s="81">
        <v>1000</v>
      </c>
      <c r="H20" s="102">
        <v>50000</v>
      </c>
      <c r="I20" s="98"/>
      <c r="J20" s="81"/>
      <c r="K20" s="81"/>
      <c r="L20" s="81"/>
      <c r="M20" s="81"/>
      <c r="N20" s="81"/>
      <c r="O20" s="81"/>
      <c r="P20" s="81"/>
      <c r="Q20" s="81"/>
      <c r="R20" s="81"/>
      <c r="S20" s="81"/>
      <c r="T20" s="81"/>
      <c r="U20" s="81"/>
    </row>
    <row r="21" spans="1:22" ht="12.75" x14ac:dyDescent="0.25">
      <c r="A21" s="96"/>
      <c r="B21" s="81"/>
      <c r="C21" s="82"/>
      <c r="D21" s="97"/>
      <c r="E21" s="101"/>
      <c r="F21" s="81" t="s">
        <v>48</v>
      </c>
      <c r="G21" s="81">
        <v>2.7</v>
      </c>
      <c r="H21" s="102">
        <v>2.7</v>
      </c>
      <c r="I21" s="98"/>
      <c r="J21" s="81"/>
      <c r="K21" s="81"/>
      <c r="L21" s="81"/>
      <c r="M21" s="81"/>
      <c r="N21" s="81"/>
      <c r="O21" s="81"/>
      <c r="P21" s="81"/>
      <c r="Q21" s="81"/>
      <c r="R21" s="81"/>
      <c r="S21" s="81"/>
      <c r="T21" s="81"/>
      <c r="U21" s="81"/>
    </row>
    <row r="22" spans="1:22" ht="12.75" x14ac:dyDescent="0.25">
      <c r="A22" s="96"/>
      <c r="B22" s="84"/>
      <c r="C22" s="82"/>
      <c r="D22" s="97"/>
      <c r="E22" s="101"/>
      <c r="F22" s="81" t="s">
        <v>49</v>
      </c>
      <c r="G22" s="81"/>
      <c r="H22" s="102"/>
      <c r="I22" s="98"/>
      <c r="J22" s="81"/>
      <c r="K22" s="81"/>
      <c r="L22" s="86"/>
      <c r="M22" s="81"/>
      <c r="N22" s="81"/>
      <c r="O22" s="81"/>
      <c r="P22" s="81"/>
      <c r="Q22" s="81"/>
      <c r="R22" s="81"/>
      <c r="S22" s="81"/>
      <c r="T22" s="81"/>
      <c r="U22" s="81"/>
    </row>
    <row r="23" spans="1:22" ht="12.75" x14ac:dyDescent="0.25">
      <c r="A23" s="96"/>
      <c r="B23" s="81"/>
      <c r="C23" s="82"/>
      <c r="D23" s="97"/>
      <c r="E23" s="101"/>
      <c r="F23" s="81" t="s">
        <v>50</v>
      </c>
      <c r="G23" s="27">
        <f>G19/G21</f>
        <v>7407.4074074074069</v>
      </c>
      <c r="H23" s="104">
        <f>H19/H21</f>
        <v>92592.592592592584</v>
      </c>
      <c r="I23" s="98"/>
      <c r="J23" s="81"/>
      <c r="K23" s="81"/>
      <c r="L23" s="81"/>
      <c r="M23" s="81"/>
      <c r="N23" s="81"/>
      <c r="O23" s="81"/>
      <c r="P23" s="81"/>
      <c r="Q23" s="81"/>
      <c r="R23" s="81"/>
      <c r="S23" s="81"/>
      <c r="T23" s="81"/>
      <c r="U23" s="81"/>
    </row>
    <row r="24" spans="1:22" ht="12.75" x14ac:dyDescent="0.25">
      <c r="A24" s="96"/>
      <c r="B24" s="81"/>
      <c r="C24" s="82"/>
      <c r="D24" s="97"/>
      <c r="E24" s="101"/>
      <c r="F24" s="85" t="s">
        <v>51</v>
      </c>
      <c r="G24" s="81">
        <v>6</v>
      </c>
      <c r="H24" s="102">
        <v>4</v>
      </c>
      <c r="I24" s="98"/>
      <c r="J24" s="81"/>
      <c r="K24" s="81"/>
      <c r="L24" s="81"/>
      <c r="M24" s="81"/>
      <c r="N24" s="81"/>
      <c r="O24" s="81"/>
      <c r="P24" s="81"/>
      <c r="Q24" s="81"/>
      <c r="R24" s="81"/>
      <c r="S24" s="81"/>
      <c r="T24" s="81"/>
      <c r="U24" s="81"/>
    </row>
    <row r="25" spans="1:22" ht="12.75" customHeight="1" thickBot="1" x14ac:dyDescent="0.3">
      <c r="A25" s="96"/>
      <c r="B25" s="81"/>
      <c r="C25" s="82"/>
      <c r="D25" s="97"/>
      <c r="E25" s="101"/>
      <c r="F25" s="81" t="s">
        <v>52</v>
      </c>
      <c r="G25" s="92">
        <f>G24*G18</f>
        <v>4.7999999999999998E-6</v>
      </c>
      <c r="H25" s="92">
        <f>H24*H18</f>
        <v>3.1999999999999999E-6</v>
      </c>
      <c r="I25" s="98"/>
      <c r="J25" s="99"/>
      <c r="K25" s="99"/>
      <c r="L25" s="81"/>
      <c r="M25" s="81"/>
      <c r="N25" s="81"/>
      <c r="O25" s="81"/>
      <c r="P25" s="81"/>
      <c r="Q25" s="81"/>
      <c r="R25" s="81"/>
      <c r="S25" s="81"/>
      <c r="T25" s="81"/>
      <c r="U25" s="81"/>
    </row>
    <row r="26" spans="1:22" ht="12.75" x14ac:dyDescent="0.25">
      <c r="A26" s="96"/>
      <c r="B26" s="80"/>
      <c r="C26" s="82"/>
      <c r="D26" s="97"/>
      <c r="E26" s="101"/>
      <c r="F26" s="81" t="s">
        <v>134</v>
      </c>
      <c r="G26" s="92">
        <f>G19/G25</f>
        <v>4166666666.666667</v>
      </c>
      <c r="H26" s="92">
        <f>H19/H25</f>
        <v>78125000000</v>
      </c>
      <c r="I26" s="118"/>
      <c r="J26" s="174" t="s">
        <v>144</v>
      </c>
      <c r="K26" s="175"/>
      <c r="L26" s="119"/>
      <c r="M26" s="81"/>
      <c r="N26" s="81"/>
      <c r="O26" s="80"/>
      <c r="P26" s="81"/>
      <c r="Q26" s="81"/>
      <c r="R26" s="81"/>
      <c r="S26" s="81"/>
      <c r="T26" s="81"/>
      <c r="U26" s="81"/>
    </row>
    <row r="27" spans="1:22" ht="12.75" x14ac:dyDescent="0.25">
      <c r="A27" s="96"/>
      <c r="B27" s="80"/>
      <c r="C27" s="82"/>
      <c r="D27" s="97"/>
      <c r="E27" s="101"/>
      <c r="F27" s="81" t="s">
        <v>133</v>
      </c>
      <c r="G27" s="92">
        <f>POWER(G19, 2)/G26</f>
        <v>9.5999999999999988E-2</v>
      </c>
      <c r="H27" s="92">
        <f>POWER(H19, 2)/H26</f>
        <v>0.8</v>
      </c>
      <c r="I27" s="118"/>
      <c r="J27" s="101" t="s">
        <v>141</v>
      </c>
      <c r="K27" s="102">
        <v>200000</v>
      </c>
      <c r="L27" s="102">
        <v>250000</v>
      </c>
      <c r="M27" s="81"/>
      <c r="N27" s="81"/>
      <c r="O27" s="81"/>
      <c r="P27" s="80"/>
      <c r="Q27" s="81"/>
      <c r="R27" s="81"/>
      <c r="S27" s="81"/>
      <c r="T27" s="81"/>
      <c r="U27" s="81"/>
      <c r="V27" s="81"/>
    </row>
    <row r="28" spans="1:22" ht="12.75" customHeight="1" x14ac:dyDescent="0.25">
      <c r="A28" s="96"/>
      <c r="B28" s="84"/>
      <c r="C28" s="82"/>
      <c r="D28" s="97"/>
      <c r="E28" s="170" t="s">
        <v>58</v>
      </c>
      <c r="F28" s="81" t="s">
        <v>135</v>
      </c>
      <c r="G28" s="81">
        <f>G19*G17/G42</f>
        <v>12000</v>
      </c>
      <c r="H28" s="81">
        <f>H19*H17/H42</f>
        <v>23076.923076923078</v>
      </c>
      <c r="I28" s="118"/>
      <c r="J28" s="120" t="s">
        <v>140</v>
      </c>
      <c r="K28" s="102">
        <v>1.2</v>
      </c>
      <c r="L28" s="102">
        <v>1.2</v>
      </c>
      <c r="M28" s="81"/>
      <c r="N28" s="81"/>
      <c r="O28" s="81"/>
      <c r="P28" s="81"/>
      <c r="Q28" s="86"/>
      <c r="R28" s="81"/>
      <c r="S28" s="122"/>
      <c r="T28" s="122"/>
      <c r="U28" s="81"/>
      <c r="V28" s="81"/>
    </row>
    <row r="29" spans="1:22" ht="14.25" customHeight="1" x14ac:dyDescent="0.25">
      <c r="A29" s="96"/>
      <c r="B29" s="84"/>
      <c r="C29" s="82"/>
      <c r="D29" s="97"/>
      <c r="E29" s="170"/>
      <c r="F29" s="81" t="s">
        <v>56</v>
      </c>
      <c r="G29" s="91">
        <v>100000000</v>
      </c>
      <c r="H29" s="103">
        <v>1000000000</v>
      </c>
      <c r="I29" s="118"/>
      <c r="J29" s="120" t="s">
        <v>137</v>
      </c>
      <c r="K29" s="102">
        <v>13500000000</v>
      </c>
      <c r="L29" s="102">
        <v>300000</v>
      </c>
      <c r="M29" s="81"/>
      <c r="N29" s="81"/>
      <c r="O29" s="81"/>
      <c r="P29" s="81"/>
      <c r="Q29" s="81"/>
      <c r="R29" s="81"/>
      <c r="S29" s="81"/>
      <c r="T29" s="81"/>
      <c r="U29" s="81"/>
    </row>
    <row r="30" spans="1:22" ht="14.25" customHeight="1" x14ac:dyDescent="0.25">
      <c r="A30" s="96"/>
      <c r="B30" s="84"/>
      <c r="C30" s="82"/>
      <c r="D30" s="97"/>
      <c r="E30" s="170"/>
      <c r="F30" s="81" t="s">
        <v>136</v>
      </c>
      <c r="G30" s="91">
        <v>15800</v>
      </c>
      <c r="H30" s="103">
        <v>25000</v>
      </c>
      <c r="I30" s="118"/>
      <c r="J30" s="120" t="s">
        <v>138</v>
      </c>
      <c r="K30" s="102">
        <v>25000</v>
      </c>
      <c r="L30" s="102">
        <v>25000</v>
      </c>
      <c r="M30" s="81"/>
      <c r="N30" s="81"/>
      <c r="O30" s="81"/>
      <c r="P30" s="81"/>
      <c r="Q30" s="81"/>
      <c r="R30" s="81"/>
      <c r="S30" s="81"/>
      <c r="T30" s="81"/>
      <c r="U30" s="81"/>
    </row>
    <row r="31" spans="1:22" ht="14.25" customHeight="1" x14ac:dyDescent="0.25">
      <c r="A31" s="96"/>
      <c r="B31" s="84"/>
      <c r="C31" s="82"/>
      <c r="D31" s="97"/>
      <c r="E31" s="170"/>
      <c r="F31" s="81" t="s">
        <v>57</v>
      </c>
      <c r="G31" s="81">
        <v>1</v>
      </c>
      <c r="H31" s="102">
        <v>1</v>
      </c>
      <c r="I31" s="118"/>
      <c r="J31" s="120" t="s">
        <v>139</v>
      </c>
      <c r="K31" s="131">
        <f>ROUNDUP(K27/(K30/K28),0)</f>
        <v>10</v>
      </c>
      <c r="L31" s="131">
        <f>ROUNDUP(L27/(L30/L28),0)</f>
        <v>12</v>
      </c>
      <c r="M31" s="81"/>
      <c r="N31" s="81"/>
      <c r="O31" s="81"/>
      <c r="P31" s="81"/>
      <c r="Q31" s="81"/>
      <c r="R31" s="81"/>
      <c r="S31" s="81"/>
      <c r="T31" s="81"/>
      <c r="U31" s="81"/>
    </row>
    <row r="32" spans="1:22" ht="15" customHeight="1" x14ac:dyDescent="0.25">
      <c r="A32" s="96"/>
      <c r="B32" s="84"/>
      <c r="C32" s="82"/>
      <c r="D32" s="97"/>
      <c r="E32" s="170"/>
      <c r="F32" s="81" t="s">
        <v>81</v>
      </c>
      <c r="G32" s="81">
        <v>2.5</v>
      </c>
      <c r="H32" s="102">
        <v>3.5</v>
      </c>
      <c r="I32" s="118"/>
      <c r="J32" s="137" t="s">
        <v>156</v>
      </c>
      <c r="K32" s="102">
        <v>13</v>
      </c>
      <c r="L32" s="102">
        <v>15</v>
      </c>
      <c r="M32" s="81"/>
      <c r="N32" s="81"/>
      <c r="O32" s="81"/>
      <c r="P32" s="81"/>
      <c r="Q32" s="81"/>
      <c r="R32" s="81"/>
      <c r="S32" s="81"/>
      <c r="T32" s="81"/>
      <c r="U32" s="81"/>
    </row>
    <row r="33" spans="1:24" ht="12.75" customHeight="1" x14ac:dyDescent="0.25">
      <c r="A33" s="96"/>
      <c r="B33" s="84"/>
      <c r="C33" s="82"/>
      <c r="D33" s="97"/>
      <c r="E33" s="170"/>
      <c r="F33" s="81" t="s">
        <v>91</v>
      </c>
      <c r="G33" s="81" t="s">
        <v>96</v>
      </c>
      <c r="H33" s="102" t="s">
        <v>157</v>
      </c>
      <c r="I33" s="118"/>
      <c r="J33" s="120" t="s">
        <v>142</v>
      </c>
      <c r="K33" s="102">
        <f>K29/K32</f>
        <v>1038461538.4615384</v>
      </c>
      <c r="L33" s="102">
        <f>L29/L32</f>
        <v>20000</v>
      </c>
      <c r="M33" s="81"/>
      <c r="N33" s="81"/>
      <c r="O33" s="81"/>
      <c r="P33" s="81"/>
      <c r="Q33" s="81"/>
      <c r="R33" s="81"/>
      <c r="S33" s="81"/>
      <c r="T33" s="81"/>
      <c r="U33" s="81"/>
      <c r="X33" s="51"/>
    </row>
    <row r="34" spans="1:24" ht="16.5" customHeight="1" thickBot="1" x14ac:dyDescent="0.3">
      <c r="A34" s="96"/>
      <c r="B34" s="81"/>
      <c r="C34" s="82"/>
      <c r="D34" s="97"/>
      <c r="E34" s="170" t="s">
        <v>65</v>
      </c>
      <c r="F34" s="81" t="s">
        <v>74</v>
      </c>
      <c r="G34" s="91">
        <f>G44/G23</f>
        <v>27000</v>
      </c>
      <c r="H34" s="103">
        <f>H29/H23</f>
        <v>10800.000000000002</v>
      </c>
      <c r="I34" s="118"/>
      <c r="J34" s="121" t="s">
        <v>143</v>
      </c>
      <c r="K34" s="110">
        <f>K33/1000000</f>
        <v>1038.4615384615383</v>
      </c>
      <c r="L34" s="110">
        <f>L33/1000000</f>
        <v>0.02</v>
      </c>
      <c r="M34" s="81"/>
      <c r="N34" s="81"/>
      <c r="O34" s="81"/>
      <c r="P34" s="81"/>
      <c r="Q34" s="81"/>
      <c r="R34" s="81"/>
      <c r="S34" s="81"/>
      <c r="T34" s="81"/>
      <c r="U34" s="81"/>
    </row>
    <row r="35" spans="1:24" ht="14.25" customHeight="1" x14ac:dyDescent="0.25">
      <c r="A35" s="96"/>
      <c r="B35" s="87"/>
      <c r="C35" s="82"/>
      <c r="D35" s="97"/>
      <c r="E35" s="170"/>
      <c r="F35" s="81" t="s">
        <v>68</v>
      </c>
      <c r="G35" s="81">
        <v>300</v>
      </c>
      <c r="H35" s="102"/>
      <c r="I35" s="118"/>
      <c r="J35" s="124" t="s">
        <v>145</v>
      </c>
      <c r="K35" s="125">
        <f>K27/K32</f>
        <v>15384.615384615385</v>
      </c>
      <c r="L35" s="125">
        <f>L27/L32</f>
        <v>16666.666666666668</v>
      </c>
      <c r="M35" s="81"/>
      <c r="N35" s="81"/>
      <c r="O35" s="81"/>
      <c r="P35" s="81"/>
      <c r="Q35" s="81"/>
      <c r="R35" s="81"/>
      <c r="S35" s="81"/>
      <c r="T35" s="81"/>
      <c r="U35" s="81"/>
    </row>
    <row r="36" spans="1:24" ht="14.25" customHeight="1" x14ac:dyDescent="0.25">
      <c r="A36" s="96"/>
      <c r="B36" s="87"/>
      <c r="C36" s="82"/>
      <c r="D36" s="97"/>
      <c r="E36" s="170"/>
      <c r="F36" s="81" t="s">
        <v>69</v>
      </c>
      <c r="G36" s="91">
        <f>G34</f>
        <v>27000</v>
      </c>
      <c r="H36" s="103">
        <v>18200</v>
      </c>
      <c r="I36" s="118"/>
      <c r="J36" s="126" t="s">
        <v>146</v>
      </c>
      <c r="K36" s="102">
        <f>POWER(K35, 2)/K33</f>
        <v>0.22792022792022792</v>
      </c>
      <c r="L36" s="102">
        <f>POWER(L35, 2)/L33</f>
        <v>13888.888888888889</v>
      </c>
      <c r="M36" s="81"/>
      <c r="N36" s="81"/>
      <c r="O36" s="81"/>
      <c r="P36" s="81"/>
      <c r="Q36" s="81"/>
      <c r="R36" s="81"/>
      <c r="S36" s="81"/>
      <c r="T36" s="81"/>
      <c r="U36" s="81"/>
    </row>
    <row r="37" spans="1:24" x14ac:dyDescent="0.25">
      <c r="A37" s="96"/>
      <c r="B37" s="84"/>
      <c r="C37" s="82"/>
      <c r="D37" s="97"/>
      <c r="E37" s="170"/>
      <c r="F37" s="81" t="s">
        <v>70</v>
      </c>
      <c r="G37" s="81">
        <v>1</v>
      </c>
      <c r="H37" s="102">
        <v>1</v>
      </c>
      <c r="I37" s="118"/>
      <c r="J37" s="101" t="s">
        <v>22</v>
      </c>
      <c r="K37" s="136" t="s">
        <v>147</v>
      </c>
      <c r="L37" s="136" t="s">
        <v>147</v>
      </c>
      <c r="M37" s="81"/>
      <c r="N37" s="81"/>
      <c r="O37" s="81"/>
      <c r="P37" s="81"/>
      <c r="Q37" s="81"/>
      <c r="R37" s="81"/>
      <c r="S37" s="81"/>
      <c r="T37" s="81"/>
      <c r="U37" s="81"/>
    </row>
    <row r="38" spans="1:24" ht="12.75" x14ac:dyDescent="0.2">
      <c r="A38" s="96"/>
      <c r="B38" s="81"/>
      <c r="C38" s="82"/>
      <c r="D38" s="97"/>
      <c r="E38" s="170"/>
      <c r="F38" s="81" t="s">
        <v>80</v>
      </c>
      <c r="G38" s="81">
        <v>0.25</v>
      </c>
      <c r="H38" s="102">
        <v>0.25</v>
      </c>
      <c r="I38" s="118"/>
      <c r="J38" s="127" t="s">
        <v>154</v>
      </c>
      <c r="K38" s="128" t="s">
        <v>155</v>
      </c>
      <c r="L38" s="128" t="s">
        <v>155</v>
      </c>
      <c r="M38" s="123"/>
      <c r="N38" s="123"/>
      <c r="O38" s="81"/>
      <c r="P38" s="81"/>
      <c r="Q38" s="81"/>
      <c r="R38" s="81"/>
      <c r="S38" s="81"/>
      <c r="T38" s="81"/>
      <c r="U38" s="81"/>
    </row>
    <row r="39" spans="1:24" ht="12.75" x14ac:dyDescent="0.25">
      <c r="A39" s="96"/>
      <c r="B39" s="81"/>
      <c r="C39" s="82"/>
      <c r="D39" s="97"/>
      <c r="E39" s="170"/>
      <c r="F39" s="81" t="s">
        <v>91</v>
      </c>
      <c r="G39" s="81" t="s">
        <v>93</v>
      </c>
      <c r="H39" s="102"/>
      <c r="I39" s="118"/>
      <c r="J39" s="120" t="s">
        <v>54</v>
      </c>
      <c r="K39" s="102">
        <v>25000</v>
      </c>
      <c r="L39" s="102">
        <v>25000</v>
      </c>
      <c r="M39" s="81"/>
      <c r="N39" s="81"/>
      <c r="O39" s="81"/>
      <c r="P39" s="81"/>
      <c r="Q39" s="81"/>
      <c r="R39" s="81"/>
      <c r="S39" s="81"/>
      <c r="T39" s="81"/>
      <c r="U39" s="81"/>
    </row>
    <row r="40" spans="1:24" ht="15" customHeight="1" x14ac:dyDescent="0.25">
      <c r="A40" s="96"/>
      <c r="B40" s="81"/>
      <c r="C40" s="82"/>
      <c r="D40" s="97"/>
      <c r="E40" s="101"/>
      <c r="F40" s="81" t="s">
        <v>85</v>
      </c>
      <c r="G40" s="81">
        <f>G29*(1+G43)</f>
        <v>101000000</v>
      </c>
      <c r="H40" s="102">
        <f>H29*(1+H43)</f>
        <v>1010000000</v>
      </c>
      <c r="I40" s="118"/>
      <c r="J40" s="101" t="s">
        <v>53</v>
      </c>
      <c r="K40" s="129">
        <v>0.01</v>
      </c>
      <c r="L40" s="129">
        <v>0.01</v>
      </c>
      <c r="M40" s="86"/>
      <c r="N40" s="86"/>
      <c r="O40" s="81"/>
      <c r="P40" s="81"/>
      <c r="Q40" s="81"/>
      <c r="R40" s="81"/>
      <c r="S40" s="81"/>
      <c r="T40" s="81"/>
      <c r="U40" s="81"/>
    </row>
    <row r="41" spans="1:24" ht="12.75" x14ac:dyDescent="0.25">
      <c r="A41" s="96"/>
      <c r="B41" s="81"/>
      <c r="C41" s="82"/>
      <c r="D41" s="97"/>
      <c r="E41" s="101"/>
      <c r="F41" s="81" t="s">
        <v>84</v>
      </c>
      <c r="G41" s="81">
        <f>G29*(1-G43)</f>
        <v>99000000</v>
      </c>
      <c r="H41" s="102">
        <f>H29*(1-H43)</f>
        <v>990000000</v>
      </c>
      <c r="I41" s="118"/>
      <c r="J41" s="101" t="s">
        <v>55</v>
      </c>
      <c r="K41" s="102" t="s">
        <v>148</v>
      </c>
      <c r="L41" s="102" t="s">
        <v>174</v>
      </c>
      <c r="M41" s="81"/>
      <c r="N41" s="81"/>
      <c r="O41" s="81"/>
      <c r="P41" s="81"/>
      <c r="Q41" s="81"/>
      <c r="R41" s="81"/>
      <c r="S41" s="81"/>
      <c r="T41" s="81"/>
      <c r="U41" s="81"/>
    </row>
    <row r="42" spans="1:24" ht="12.75" x14ac:dyDescent="0.25">
      <c r="A42" s="96"/>
      <c r="B42" s="81"/>
      <c r="C42" s="82"/>
      <c r="D42" s="97"/>
      <c r="E42" s="101"/>
      <c r="F42" s="81" t="s">
        <v>59</v>
      </c>
      <c r="G42" s="81">
        <v>2</v>
      </c>
      <c r="H42" s="102">
        <v>13</v>
      </c>
      <c r="I42" s="118"/>
      <c r="J42" s="101" t="s">
        <v>149</v>
      </c>
      <c r="K42" s="130">
        <v>0.97</v>
      </c>
      <c r="L42" s="130"/>
      <c r="M42" s="122"/>
      <c r="N42" s="122"/>
      <c r="O42" s="81"/>
      <c r="P42" s="81"/>
      <c r="Q42" s="81"/>
      <c r="R42" s="81"/>
      <c r="S42" s="81"/>
      <c r="T42" s="81"/>
      <c r="U42" s="81"/>
    </row>
    <row r="43" spans="1:24" ht="12.75" x14ac:dyDescent="0.25">
      <c r="A43" s="96"/>
      <c r="B43" s="81"/>
      <c r="C43" s="82"/>
      <c r="D43" s="97"/>
      <c r="E43" s="101"/>
      <c r="F43" s="81" t="s">
        <v>76</v>
      </c>
      <c r="G43" s="93">
        <f>G31*0.01</f>
        <v>0.01</v>
      </c>
      <c r="H43" s="105">
        <f>H31*0.01</f>
        <v>0.01</v>
      </c>
      <c r="I43" s="118"/>
      <c r="J43" s="101" t="s">
        <v>150</v>
      </c>
      <c r="K43" s="130">
        <f>K32*K42</f>
        <v>12.61</v>
      </c>
      <c r="L43" s="130"/>
      <c r="M43" s="122"/>
      <c r="N43" s="122"/>
      <c r="O43" s="81"/>
      <c r="P43" s="81"/>
      <c r="Q43" s="81"/>
      <c r="R43" s="81"/>
      <c r="S43" s="81"/>
      <c r="T43" s="81"/>
      <c r="U43" s="81"/>
    </row>
    <row r="44" spans="1:24" ht="12.75" x14ac:dyDescent="0.25">
      <c r="A44" s="96"/>
      <c r="B44" s="89"/>
      <c r="C44" s="82"/>
      <c r="D44" s="97"/>
      <c r="E44" s="101"/>
      <c r="F44" s="81" t="s">
        <v>71</v>
      </c>
      <c r="G44" s="94">
        <f>G29*G42</f>
        <v>200000000</v>
      </c>
      <c r="H44" s="106">
        <f>H29*H42</f>
        <v>13000000000</v>
      </c>
      <c r="I44" s="118"/>
      <c r="J44" s="101" t="s">
        <v>151</v>
      </c>
      <c r="K44" s="102" t="s">
        <v>152</v>
      </c>
      <c r="L44" s="102" t="s">
        <v>152</v>
      </c>
      <c r="M44" s="81"/>
      <c r="N44" s="81"/>
      <c r="O44" s="81"/>
      <c r="P44" s="81"/>
      <c r="Q44" s="81"/>
      <c r="R44" s="81"/>
      <c r="S44" s="81"/>
      <c r="T44" s="81"/>
      <c r="U44" s="81"/>
    </row>
    <row r="45" spans="1:24" ht="13.5" thickBot="1" x14ac:dyDescent="0.3">
      <c r="A45" s="96"/>
      <c r="B45" s="81"/>
      <c r="C45" s="82"/>
      <c r="D45" s="97"/>
      <c r="E45" s="101"/>
      <c r="F45" s="81" t="s">
        <v>72</v>
      </c>
      <c r="G45" s="93">
        <f>G44*(1+G43)</f>
        <v>202000000</v>
      </c>
      <c r="H45" s="105">
        <f>H44*(1+H43)</f>
        <v>13130000000</v>
      </c>
      <c r="I45" s="118"/>
      <c r="J45" s="108" t="s">
        <v>153</v>
      </c>
      <c r="K45" s="110">
        <v>50</v>
      </c>
      <c r="L45" s="110">
        <v>51</v>
      </c>
      <c r="M45" s="81"/>
      <c r="N45" s="81"/>
      <c r="O45" s="81"/>
      <c r="P45" s="81"/>
      <c r="Q45" s="81"/>
      <c r="R45" s="81"/>
      <c r="S45" s="81"/>
      <c r="T45" s="81"/>
      <c r="U45" s="81"/>
    </row>
    <row r="46" spans="1:24" ht="12.75" x14ac:dyDescent="0.25">
      <c r="A46" s="96"/>
      <c r="B46" s="81"/>
      <c r="C46" s="84"/>
      <c r="D46" s="97"/>
      <c r="E46" s="101"/>
      <c r="F46" s="85" t="s">
        <v>73</v>
      </c>
      <c r="G46" s="93">
        <f>G44*(1-G43)</f>
        <v>198000000</v>
      </c>
      <c r="H46" s="105">
        <f>H44*(1-H43)</f>
        <v>12870000000</v>
      </c>
      <c r="I46" s="98"/>
      <c r="J46" s="100"/>
      <c r="K46" s="100"/>
      <c r="L46" s="81"/>
      <c r="M46" s="81"/>
      <c r="N46" s="81"/>
      <c r="O46" s="81"/>
      <c r="P46" s="81"/>
      <c r="Q46" s="81"/>
      <c r="R46" s="81"/>
      <c r="S46" s="81"/>
      <c r="T46" s="81"/>
      <c r="U46" s="81"/>
    </row>
    <row r="47" spans="1:24" ht="12.75" x14ac:dyDescent="0.25">
      <c r="A47" s="96"/>
      <c r="B47" s="81"/>
      <c r="C47" s="84"/>
      <c r="D47" s="97"/>
      <c r="E47" s="101"/>
      <c r="F47" s="81" t="s">
        <v>60</v>
      </c>
      <c r="G47" s="94">
        <f>G30*G42</f>
        <v>31600</v>
      </c>
      <c r="H47" s="94">
        <f>H30*H42</f>
        <v>325000</v>
      </c>
      <c r="I47" s="98"/>
      <c r="J47" s="81"/>
      <c r="K47" s="81"/>
      <c r="L47" s="81"/>
      <c r="M47" s="81"/>
      <c r="N47" s="81"/>
      <c r="O47" s="81"/>
      <c r="P47" s="81"/>
      <c r="Q47" s="81"/>
      <c r="R47" s="81"/>
      <c r="S47" s="81"/>
      <c r="T47" s="81"/>
      <c r="U47" s="81"/>
    </row>
    <row r="48" spans="1:24" ht="12.75" x14ac:dyDescent="0.25">
      <c r="A48" s="96"/>
      <c r="B48" s="81"/>
      <c r="C48" s="84"/>
      <c r="D48" s="97"/>
      <c r="E48" s="101"/>
      <c r="F48" s="81" t="s">
        <v>61</v>
      </c>
      <c r="G48" s="93">
        <f>G47/G17</f>
        <v>26333.333333333336</v>
      </c>
      <c r="H48" s="93">
        <f>H47/H17</f>
        <v>270833.33333333337</v>
      </c>
      <c r="I48" s="98"/>
      <c r="J48" s="81"/>
      <c r="K48" s="81"/>
      <c r="L48" s="81"/>
      <c r="M48" s="81"/>
      <c r="N48" s="81"/>
      <c r="O48" s="81"/>
      <c r="P48" s="81"/>
      <c r="Q48" s="81"/>
      <c r="R48" s="81"/>
      <c r="S48" s="81"/>
      <c r="T48" s="81"/>
      <c r="U48" s="81"/>
    </row>
    <row r="49" spans="1:21" ht="12.75" x14ac:dyDescent="0.25">
      <c r="A49" s="96"/>
      <c r="B49" s="81"/>
      <c r="C49" s="84"/>
      <c r="D49" s="97"/>
      <c r="E49" s="101"/>
      <c r="F49" s="81" t="s">
        <v>76</v>
      </c>
      <c r="G49" s="93">
        <f>G37*0.01</f>
        <v>0.01</v>
      </c>
      <c r="H49" s="105">
        <f>H37*0.01</f>
        <v>0.01</v>
      </c>
      <c r="I49" s="98"/>
      <c r="J49" s="81"/>
      <c r="K49" s="81"/>
      <c r="L49" s="81"/>
      <c r="M49" s="81"/>
      <c r="N49" s="81"/>
      <c r="O49" s="81"/>
      <c r="P49" s="81"/>
      <c r="Q49" s="81"/>
      <c r="R49" s="81"/>
      <c r="S49" s="81"/>
      <c r="T49" s="81"/>
      <c r="U49" s="81"/>
    </row>
    <row r="50" spans="1:21" ht="12.75" x14ac:dyDescent="0.25">
      <c r="A50" s="96"/>
      <c r="B50" s="81"/>
      <c r="C50" s="84"/>
      <c r="D50" s="97"/>
      <c r="E50" s="101"/>
      <c r="F50" s="81" t="s">
        <v>75</v>
      </c>
      <c r="G50" s="93">
        <f>G36*(1+G49)</f>
        <v>27270</v>
      </c>
      <c r="H50" s="105">
        <f>H36*(1+H49)</f>
        <v>18382</v>
      </c>
      <c r="I50" s="98"/>
      <c r="J50" s="81"/>
      <c r="K50" s="81"/>
      <c r="L50" s="81"/>
      <c r="M50" s="81"/>
      <c r="N50" s="81"/>
      <c r="O50" s="81"/>
      <c r="P50" s="81"/>
      <c r="Q50" s="81"/>
      <c r="R50" s="81"/>
      <c r="S50" s="81"/>
      <c r="T50" s="81"/>
      <c r="U50" s="81"/>
    </row>
    <row r="51" spans="1:21" ht="12.75" x14ac:dyDescent="0.25">
      <c r="A51" s="96"/>
      <c r="B51" s="81"/>
      <c r="C51" s="82"/>
      <c r="D51" s="97"/>
      <c r="E51" s="101"/>
      <c r="F51" s="81" t="s">
        <v>77</v>
      </c>
      <c r="G51" s="93">
        <f>G36*(1-G49)</f>
        <v>26730</v>
      </c>
      <c r="H51" s="105">
        <f>H36*(1-H49)</f>
        <v>18018</v>
      </c>
      <c r="I51" s="98"/>
      <c r="J51" s="81"/>
      <c r="K51" s="81"/>
      <c r="L51" s="81"/>
      <c r="M51" s="81"/>
      <c r="N51" s="81"/>
      <c r="O51" s="81"/>
      <c r="P51" s="81"/>
      <c r="Q51" s="81"/>
      <c r="R51" s="81"/>
      <c r="S51" s="81"/>
      <c r="T51" s="81"/>
      <c r="U51" s="81"/>
    </row>
    <row r="52" spans="1:21" ht="12.75" x14ac:dyDescent="0.25">
      <c r="A52" s="96"/>
      <c r="B52" s="81"/>
      <c r="C52" s="82"/>
      <c r="D52" s="97"/>
      <c r="E52" s="101"/>
      <c r="F52" s="81" t="s">
        <v>66</v>
      </c>
      <c r="G52" s="95" t="b">
        <f>G48&gt;G19</f>
        <v>1</v>
      </c>
      <c r="H52" s="107" t="b">
        <f>H48&gt;H19</f>
        <v>1</v>
      </c>
      <c r="I52" s="98"/>
      <c r="J52" s="81"/>
      <c r="K52" s="81"/>
      <c r="L52" s="81"/>
      <c r="M52" s="81"/>
      <c r="N52" s="81"/>
      <c r="O52" s="81"/>
      <c r="P52" s="81"/>
      <c r="Q52" s="81"/>
      <c r="R52" s="81"/>
      <c r="S52" s="81"/>
      <c r="T52" s="81"/>
      <c r="U52" s="81"/>
    </row>
    <row r="53" spans="1:21" ht="12.75" x14ac:dyDescent="0.25">
      <c r="A53" s="96"/>
      <c r="B53" s="85"/>
      <c r="C53" s="82"/>
      <c r="D53" s="97"/>
      <c r="E53" s="101"/>
      <c r="F53" s="81" t="s">
        <v>67</v>
      </c>
      <c r="G53" s="93"/>
      <c r="H53" s="105"/>
      <c r="I53" s="98"/>
      <c r="J53" s="81"/>
      <c r="K53" s="81"/>
      <c r="L53" s="81"/>
      <c r="M53" s="81"/>
      <c r="N53" s="81"/>
      <c r="O53" s="81"/>
      <c r="P53" s="81"/>
      <c r="Q53" s="81"/>
      <c r="R53" s="81"/>
      <c r="S53" s="81"/>
      <c r="T53" s="81"/>
      <c r="U53" s="81"/>
    </row>
    <row r="54" spans="1:21" ht="12.75" x14ac:dyDescent="0.25">
      <c r="A54" s="96"/>
      <c r="B54" s="85"/>
      <c r="C54" s="82"/>
      <c r="D54" s="97"/>
      <c r="E54" s="101"/>
      <c r="F54" s="81" t="s">
        <v>79</v>
      </c>
      <c r="G54" s="93">
        <f>G20/(G45+G36)</f>
        <v>4.9498334381048076E-6</v>
      </c>
      <c r="H54" s="105">
        <f>H20/(H45+H36)</f>
        <v>3.8080678364939356E-6</v>
      </c>
      <c r="I54" s="98"/>
      <c r="J54" s="81"/>
      <c r="K54" s="81"/>
      <c r="L54" s="81"/>
      <c r="M54" s="81"/>
      <c r="N54" s="81"/>
      <c r="O54" s="81"/>
      <c r="P54" s="81"/>
      <c r="Q54" s="81"/>
      <c r="R54" s="81"/>
      <c r="S54" s="81"/>
      <c r="T54" s="81"/>
      <c r="U54" s="81"/>
    </row>
    <row r="55" spans="1:21" ht="12.75" x14ac:dyDescent="0.25">
      <c r="A55" s="96"/>
      <c r="B55" s="81"/>
      <c r="C55" s="82"/>
      <c r="D55" s="97"/>
      <c r="E55" s="101"/>
      <c r="F55" s="81" t="s">
        <v>78</v>
      </c>
      <c r="G55" s="93">
        <f>G19/(G46+G51)</f>
        <v>1.0099646648712525E-4</v>
      </c>
      <c r="H55" s="105">
        <f>H19/(H46+H51)</f>
        <v>1.9424992230030302E-5</v>
      </c>
      <c r="I55" s="98"/>
      <c r="J55" s="81"/>
      <c r="K55" s="81"/>
      <c r="L55" s="81"/>
      <c r="M55" s="81"/>
      <c r="N55" s="81"/>
      <c r="O55" s="81"/>
      <c r="P55" s="81"/>
      <c r="Q55" s="81"/>
      <c r="R55" s="81"/>
      <c r="S55" s="81"/>
      <c r="T55" s="81"/>
      <c r="U55" s="81"/>
    </row>
    <row r="56" spans="1:21" ht="12.75" x14ac:dyDescent="0.25">
      <c r="A56" s="96"/>
      <c r="B56" s="85"/>
      <c r="C56" s="82"/>
      <c r="D56" s="97"/>
      <c r="E56" s="101"/>
      <c r="F56" s="81" t="s">
        <v>63</v>
      </c>
      <c r="G56" s="95" t="b">
        <f>G54&gt;G25</f>
        <v>1</v>
      </c>
      <c r="H56" s="107" t="b">
        <f>H54&gt;H25</f>
        <v>1</v>
      </c>
      <c r="I56" s="98"/>
      <c r="J56" s="81"/>
      <c r="K56" s="81"/>
      <c r="L56" s="81"/>
      <c r="M56" s="81"/>
      <c r="N56" s="81"/>
      <c r="O56" s="81"/>
      <c r="P56" s="81"/>
      <c r="Q56" s="81"/>
      <c r="R56" s="81"/>
      <c r="S56" s="81"/>
      <c r="T56" s="81"/>
      <c r="U56" s="81"/>
    </row>
    <row r="57" spans="1:21" ht="12.75" x14ac:dyDescent="0.25">
      <c r="A57" s="96"/>
      <c r="B57" s="81"/>
      <c r="C57" s="82"/>
      <c r="D57" s="97"/>
      <c r="E57" s="101"/>
      <c r="F57" s="81" t="s">
        <v>64</v>
      </c>
      <c r="G57" s="93" t="str">
        <f>IF(G20/G45&gt;G25, "", (G20/G45)/G25)</f>
        <v/>
      </c>
      <c r="H57" s="106">
        <f>(H20/H45)/H25</f>
        <v>1.1900228484386901</v>
      </c>
      <c r="I57" s="98"/>
      <c r="J57" s="81"/>
      <c r="K57" s="81"/>
      <c r="L57" s="81"/>
      <c r="M57" s="81"/>
      <c r="N57" s="81"/>
      <c r="O57" s="81"/>
      <c r="P57" s="81"/>
      <c r="Q57" s="81"/>
      <c r="R57" s="81"/>
      <c r="S57" s="81"/>
      <c r="T57" s="81"/>
      <c r="U57" s="81"/>
    </row>
    <row r="58" spans="1:21" ht="12.75" x14ac:dyDescent="0.25">
      <c r="A58" s="96"/>
      <c r="B58" s="81"/>
      <c r="C58" s="82"/>
      <c r="D58" s="97"/>
      <c r="E58" s="101"/>
      <c r="F58" s="81" t="s">
        <v>82</v>
      </c>
      <c r="G58" s="93">
        <f>POWER(G55, 2)*G40</f>
        <v>1.0302289105313864</v>
      </c>
      <c r="H58" s="93">
        <f>POWER(H55, 2)*H40</f>
        <v>0.38110362636810496</v>
      </c>
      <c r="I58" s="98"/>
      <c r="J58" s="81"/>
      <c r="K58" s="81"/>
      <c r="L58" s="81"/>
      <c r="M58" s="81"/>
      <c r="N58" s="81"/>
      <c r="O58" s="81"/>
      <c r="P58" s="81"/>
      <c r="Q58" s="81"/>
      <c r="R58" s="81"/>
      <c r="S58" s="81"/>
      <c r="T58" s="81"/>
      <c r="U58" s="81"/>
    </row>
    <row r="59" spans="1:21" ht="12.75" x14ac:dyDescent="0.25">
      <c r="A59" s="96"/>
      <c r="B59" s="81"/>
      <c r="C59" s="82"/>
      <c r="D59" s="97"/>
      <c r="E59" s="101"/>
      <c r="F59" s="81" t="s">
        <v>83</v>
      </c>
      <c r="G59" s="93">
        <f>POWER(G55, 2)*G50</f>
        <v>2.7816180584347433E-4</v>
      </c>
      <c r="H59" s="93">
        <f>POWER(H55, 2)*H50</f>
        <v>6.9360859998995101E-6</v>
      </c>
      <c r="I59" s="98"/>
      <c r="J59" s="81"/>
      <c r="K59" s="81"/>
      <c r="L59" s="81"/>
      <c r="M59" s="81"/>
      <c r="N59" s="81"/>
      <c r="O59" s="81"/>
      <c r="P59" s="81"/>
      <c r="Q59" s="81"/>
      <c r="R59" s="81"/>
      <c r="S59" s="81"/>
      <c r="T59" s="81"/>
      <c r="U59" s="81"/>
    </row>
    <row r="60" spans="1:21" ht="12.75" x14ac:dyDescent="0.25">
      <c r="A60" s="96"/>
      <c r="B60" s="81"/>
      <c r="C60" s="82"/>
      <c r="D60" s="97"/>
      <c r="E60" s="101"/>
      <c r="F60" s="81" t="s">
        <v>87</v>
      </c>
      <c r="G60" s="93">
        <f>G32/G17</f>
        <v>2.0833333333333335</v>
      </c>
      <c r="H60" s="93">
        <f>H32/H17</f>
        <v>2.916666666666667</v>
      </c>
      <c r="I60" s="98"/>
      <c r="J60" s="81"/>
      <c r="K60" s="81"/>
      <c r="L60" s="81"/>
      <c r="M60" s="81"/>
      <c r="N60" s="81"/>
      <c r="O60" s="81"/>
      <c r="P60" s="81"/>
      <c r="Q60" s="81"/>
      <c r="R60" s="81"/>
      <c r="S60" s="81"/>
      <c r="T60" s="81"/>
      <c r="U60" s="81"/>
    </row>
    <row r="61" spans="1:21" ht="12.75" x14ac:dyDescent="0.25">
      <c r="A61" s="96"/>
      <c r="B61" s="80"/>
      <c r="C61" s="84"/>
      <c r="D61" s="97"/>
      <c r="E61" s="101"/>
      <c r="F61" s="81" t="s">
        <v>89</v>
      </c>
      <c r="G61" s="93">
        <f>G38/G17</f>
        <v>0.20833333333333334</v>
      </c>
      <c r="H61" s="93">
        <f>H38/H17</f>
        <v>0.20833333333333334</v>
      </c>
      <c r="I61" s="98"/>
      <c r="J61" s="81"/>
      <c r="K61" s="81"/>
      <c r="L61" s="81"/>
      <c r="M61" s="81"/>
      <c r="N61" s="81"/>
      <c r="O61" s="81"/>
      <c r="P61" s="81"/>
      <c r="Q61" s="81"/>
      <c r="R61" s="81"/>
      <c r="S61" s="81"/>
      <c r="T61" s="81"/>
      <c r="U61" s="81"/>
    </row>
    <row r="62" spans="1:21" ht="12.75" x14ac:dyDescent="0.25">
      <c r="A62" s="96"/>
      <c r="B62" s="81"/>
      <c r="C62" s="84"/>
      <c r="D62" s="97"/>
      <c r="E62" s="101"/>
      <c r="F62" s="81" t="s">
        <v>86</v>
      </c>
      <c r="G62" s="95" t="b">
        <f>G58&lt;=G60</f>
        <v>1</v>
      </c>
      <c r="H62" s="95" t="b">
        <f>H58&lt;=H60</f>
        <v>1</v>
      </c>
      <c r="I62" s="98"/>
      <c r="J62" s="81"/>
      <c r="K62" s="81"/>
      <c r="L62" s="81"/>
      <c r="M62" s="81"/>
      <c r="N62" s="81"/>
      <c r="O62" s="81"/>
      <c r="P62" s="81"/>
      <c r="Q62" s="81"/>
      <c r="R62" s="81"/>
      <c r="S62" s="81"/>
      <c r="T62" s="81"/>
      <c r="U62" s="81"/>
    </row>
    <row r="63" spans="1:21" ht="12.75" x14ac:dyDescent="0.25">
      <c r="A63" s="96"/>
      <c r="B63" s="81"/>
      <c r="C63" s="84"/>
      <c r="D63" s="97"/>
      <c r="E63" s="101"/>
      <c r="F63" s="81" t="s">
        <v>88</v>
      </c>
      <c r="G63" s="95" t="b">
        <f>G59&lt;=G61</f>
        <v>1</v>
      </c>
      <c r="H63" s="95" t="b">
        <f>H59&lt;=H61</f>
        <v>1</v>
      </c>
      <c r="I63" s="98"/>
      <c r="J63" s="81"/>
      <c r="K63" s="81"/>
      <c r="L63" s="81"/>
      <c r="M63" s="81"/>
      <c r="N63" s="81"/>
      <c r="O63" s="81"/>
      <c r="P63" s="81"/>
      <c r="Q63" s="81"/>
      <c r="R63" s="81"/>
      <c r="S63" s="81"/>
      <c r="T63" s="81"/>
      <c r="U63" s="81"/>
    </row>
    <row r="64" spans="1:21" ht="12.75" x14ac:dyDescent="0.2">
      <c r="A64" s="96"/>
      <c r="B64" s="81"/>
      <c r="C64" s="84"/>
      <c r="D64" s="97"/>
      <c r="E64" s="101"/>
      <c r="F64" s="90" t="s">
        <v>90</v>
      </c>
      <c r="G64" s="93">
        <f>G59+(G42*G58)</f>
        <v>2.0607359828686165</v>
      </c>
      <c r="H64" s="93">
        <f>H59+(H42*H58)</f>
        <v>4.954354078871364</v>
      </c>
      <c r="I64" s="98"/>
      <c r="J64" s="81"/>
      <c r="K64" s="81"/>
      <c r="L64" s="81"/>
      <c r="M64" s="81"/>
      <c r="N64" s="81"/>
      <c r="O64" s="81"/>
      <c r="P64" s="81"/>
      <c r="Q64" s="81"/>
      <c r="R64" s="81"/>
      <c r="S64" s="81"/>
      <c r="T64" s="81"/>
      <c r="U64" s="81"/>
    </row>
    <row r="65" spans="1:21" ht="25.5" x14ac:dyDescent="0.25">
      <c r="A65" s="96"/>
      <c r="B65" s="81"/>
      <c r="C65" s="84"/>
      <c r="D65" s="97"/>
      <c r="E65" s="101"/>
      <c r="F65" s="113" t="s">
        <v>123</v>
      </c>
      <c r="G65" s="91">
        <v>6</v>
      </c>
      <c r="H65" s="91">
        <v>6</v>
      </c>
      <c r="I65" s="98"/>
      <c r="J65" s="81"/>
      <c r="K65" s="81"/>
      <c r="L65" s="81"/>
      <c r="M65" s="81"/>
      <c r="N65" s="81"/>
      <c r="O65" s="81"/>
      <c r="P65" s="81"/>
      <c r="Q65" s="81"/>
      <c r="R65" s="81"/>
      <c r="S65" s="81"/>
      <c r="T65" s="81"/>
      <c r="U65" s="81"/>
    </row>
    <row r="66" spans="1:21" ht="25.5" x14ac:dyDescent="0.25">
      <c r="A66" s="96"/>
      <c r="B66" s="81"/>
      <c r="C66" s="82"/>
      <c r="D66" s="97"/>
      <c r="E66" s="116"/>
      <c r="F66" s="113" t="s">
        <v>124</v>
      </c>
      <c r="G66" s="81">
        <v>1</v>
      </c>
      <c r="H66" s="81">
        <v>1</v>
      </c>
      <c r="I66" s="98"/>
      <c r="J66" s="81"/>
      <c r="K66" s="81"/>
      <c r="L66" s="81"/>
      <c r="M66" s="81"/>
      <c r="N66" s="81"/>
      <c r="O66" s="81"/>
      <c r="P66" s="81"/>
      <c r="Q66" s="81"/>
      <c r="R66" s="81"/>
      <c r="S66" s="81"/>
      <c r="T66" s="81"/>
      <c r="U66" s="81"/>
    </row>
    <row r="67" spans="1:21" ht="12.75" x14ac:dyDescent="0.25">
      <c r="A67" s="96"/>
      <c r="B67" s="81"/>
      <c r="C67" s="82"/>
      <c r="D67" s="97"/>
      <c r="E67" s="116"/>
      <c r="F67" s="81" t="s">
        <v>125</v>
      </c>
      <c r="G67" s="94">
        <f>MIN(G65, G66)</f>
        <v>1</v>
      </c>
      <c r="H67" s="94">
        <f>MIN(H65, H66)</f>
        <v>1</v>
      </c>
      <c r="I67" s="98"/>
      <c r="J67" s="81"/>
      <c r="K67" s="81"/>
      <c r="L67" s="81"/>
      <c r="M67" s="81"/>
      <c r="N67" s="81"/>
      <c r="O67" s="81"/>
      <c r="P67" s="81"/>
      <c r="Q67" s="81"/>
      <c r="R67" s="81"/>
      <c r="S67" s="81"/>
      <c r="T67" s="81"/>
      <c r="U67" s="81"/>
    </row>
    <row r="68" spans="1:21" ht="12.75" x14ac:dyDescent="0.25">
      <c r="A68" s="96"/>
      <c r="B68" s="81"/>
      <c r="C68" s="82"/>
      <c r="D68" s="97"/>
      <c r="E68" s="116"/>
      <c r="F68" s="81" t="s">
        <v>116</v>
      </c>
      <c r="G68" s="91">
        <v>16000</v>
      </c>
      <c r="H68" s="91">
        <v>16001</v>
      </c>
      <c r="I68" s="98"/>
      <c r="J68" s="81"/>
      <c r="K68" s="81"/>
      <c r="L68" s="81"/>
      <c r="M68" s="81"/>
      <c r="N68" s="81"/>
      <c r="O68" s="81"/>
      <c r="P68" s="81"/>
      <c r="Q68" s="81"/>
      <c r="R68" s="81"/>
      <c r="S68" s="81"/>
      <c r="T68" s="81"/>
      <c r="U68" s="81"/>
    </row>
    <row r="69" spans="1:21" ht="12.75" x14ac:dyDescent="0.25">
      <c r="A69" s="96"/>
      <c r="B69" s="81"/>
      <c r="C69" s="82"/>
      <c r="D69" s="97"/>
      <c r="E69" s="116"/>
      <c r="F69" s="81" t="s">
        <v>109</v>
      </c>
      <c r="G69" s="91">
        <f>1/G68</f>
        <v>6.2500000000000001E-5</v>
      </c>
      <c r="H69" s="91">
        <f>1/H68</f>
        <v>6.2496093994125369E-5</v>
      </c>
      <c r="I69" s="98"/>
      <c r="J69" s="81"/>
      <c r="K69" s="81"/>
      <c r="L69" s="81"/>
      <c r="M69" s="81"/>
      <c r="N69" s="81"/>
      <c r="O69" s="81"/>
      <c r="P69" s="81"/>
      <c r="Q69" s="81"/>
      <c r="R69" s="81"/>
      <c r="S69" s="81"/>
      <c r="T69" s="81"/>
      <c r="U69" s="81"/>
    </row>
    <row r="70" spans="1:21" ht="12.75" x14ac:dyDescent="0.25">
      <c r="A70" s="96"/>
      <c r="B70" s="81"/>
      <c r="C70" s="82"/>
      <c r="D70" s="97"/>
      <c r="E70" s="116"/>
      <c r="F70" s="81" t="s">
        <v>117</v>
      </c>
      <c r="G70" s="94">
        <f>G69*G66/2</f>
        <v>3.1250000000000001E-5</v>
      </c>
      <c r="H70" s="94">
        <f>H69*H66/2</f>
        <v>3.1248046997062684E-5</v>
      </c>
      <c r="I70" s="98"/>
      <c r="J70" s="81"/>
      <c r="K70" s="81"/>
      <c r="L70" s="81"/>
      <c r="M70" s="81"/>
      <c r="N70" s="81"/>
      <c r="O70" s="81"/>
      <c r="P70" s="81"/>
      <c r="Q70" s="81"/>
      <c r="R70" s="81"/>
      <c r="S70" s="81"/>
      <c r="T70" s="81"/>
      <c r="U70" s="81"/>
    </row>
    <row r="71" spans="1:21" ht="12.75" x14ac:dyDescent="0.25">
      <c r="A71" s="96"/>
      <c r="B71" s="81"/>
      <c r="C71" s="82"/>
      <c r="D71" s="97"/>
      <c r="E71" s="101"/>
      <c r="F71" s="81" t="s">
        <v>120</v>
      </c>
      <c r="G71" s="94">
        <f>G70/4.605</f>
        <v>6.7861020629750266E-6</v>
      </c>
      <c r="H71" s="94">
        <f>H70/4.605</f>
        <v>6.7856779581026451E-6</v>
      </c>
      <c r="I71" s="98"/>
      <c r="J71" s="81"/>
      <c r="K71" s="81"/>
      <c r="L71" s="81"/>
      <c r="M71" s="81"/>
      <c r="N71" s="81"/>
      <c r="O71" s="81"/>
      <c r="P71" s="81"/>
      <c r="Q71" s="81"/>
      <c r="R71" s="81"/>
      <c r="S71" s="81"/>
      <c r="T71" s="81"/>
      <c r="U71" s="81"/>
    </row>
    <row r="72" spans="1:21" ht="12.75" x14ac:dyDescent="0.25">
      <c r="A72" s="96"/>
      <c r="B72" s="81"/>
      <c r="C72" s="82"/>
      <c r="D72" s="97"/>
      <c r="E72" s="101"/>
      <c r="F72" s="81" t="s">
        <v>122</v>
      </c>
      <c r="G72" s="94">
        <f>G71/((G44*G36)/(G44+G2))</f>
        <v>2.5133711344351953E-10</v>
      </c>
      <c r="H72" s="94">
        <f>H71/((H44*H36)/(H44+H2))</f>
        <v>3.7283944827607801E-10</v>
      </c>
      <c r="I72" s="98"/>
      <c r="J72" s="81"/>
      <c r="K72" s="81"/>
      <c r="L72" s="81"/>
      <c r="M72" s="81"/>
      <c r="N72" s="81"/>
      <c r="O72" s="81"/>
      <c r="P72" s="81"/>
      <c r="Q72" s="81"/>
      <c r="R72" s="81"/>
      <c r="S72" s="81"/>
      <c r="T72" s="81"/>
      <c r="U72" s="81"/>
    </row>
    <row r="73" spans="1:21" ht="25.5" x14ac:dyDescent="0.2">
      <c r="A73" s="96"/>
      <c r="B73" s="81"/>
      <c r="C73" s="82"/>
      <c r="D73" s="97"/>
      <c r="E73" s="117" t="s">
        <v>128</v>
      </c>
      <c r="F73" s="90" t="s">
        <v>121</v>
      </c>
      <c r="G73" s="91">
        <v>2.7E-10</v>
      </c>
      <c r="H73" s="91">
        <v>3.7000000000000001E-10</v>
      </c>
      <c r="I73" s="98"/>
      <c r="J73" s="81"/>
      <c r="K73" s="81"/>
      <c r="L73" s="81"/>
      <c r="M73" s="81"/>
      <c r="N73" s="81"/>
      <c r="O73" s="81"/>
      <c r="P73" s="81"/>
      <c r="Q73" s="81"/>
      <c r="R73" s="81"/>
      <c r="S73" s="81"/>
      <c r="T73" s="81"/>
      <c r="U73" s="81"/>
    </row>
    <row r="74" spans="1:21" ht="12.75" x14ac:dyDescent="0.25">
      <c r="A74" s="96"/>
      <c r="B74" s="81"/>
      <c r="C74" s="82"/>
      <c r="D74" s="97"/>
      <c r="E74" s="101"/>
      <c r="F74" s="81" t="s">
        <v>118</v>
      </c>
      <c r="G74" s="94">
        <f>4.605*G75</f>
        <v>3.3565963460329565E-5</v>
      </c>
      <c r="H74" s="94">
        <f>4.605*H75</f>
        <v>3.1010027015804141E-5</v>
      </c>
      <c r="I74" s="98"/>
      <c r="J74" s="81"/>
      <c r="K74" s="81"/>
      <c r="L74" s="81"/>
      <c r="M74" s="81"/>
      <c r="N74" s="81"/>
      <c r="O74" s="81"/>
      <c r="P74" s="81"/>
      <c r="Q74" s="81"/>
      <c r="R74" s="81"/>
      <c r="S74" s="81"/>
      <c r="T74" s="81"/>
      <c r="U74" s="81"/>
    </row>
    <row r="75" spans="1:21" ht="12.75" x14ac:dyDescent="0.25">
      <c r="A75" s="96"/>
      <c r="B75" s="81"/>
      <c r="C75" s="82"/>
      <c r="D75" s="97"/>
      <c r="E75" s="101"/>
      <c r="F75" s="81" t="s">
        <v>119</v>
      </c>
      <c r="G75" s="94">
        <f>G73*(G45*G36)/(G45+G36)</f>
        <v>7.2890257242843775E-6</v>
      </c>
      <c r="H75" s="94">
        <f>H73*(H45*H36)/(H45+H36)</f>
        <v>6.7339906657555125E-6</v>
      </c>
      <c r="I75" s="98"/>
      <c r="J75" s="81"/>
      <c r="K75" s="81"/>
      <c r="L75" s="81"/>
      <c r="M75" s="81"/>
      <c r="N75" s="81"/>
      <c r="O75" s="81"/>
      <c r="P75" s="81"/>
      <c r="Q75" s="81"/>
      <c r="R75" s="81"/>
      <c r="S75" s="81"/>
      <c r="T75" s="81"/>
      <c r="U75" s="81"/>
    </row>
    <row r="76" spans="1:21" ht="12.75" x14ac:dyDescent="0.25">
      <c r="A76" s="96"/>
      <c r="B76" s="81"/>
      <c r="C76" s="82"/>
      <c r="D76" s="97"/>
      <c r="E76" s="101"/>
      <c r="F76" s="81" t="s">
        <v>114</v>
      </c>
      <c r="G76" s="94">
        <f>G20*G36/(G44+G36)</f>
        <v>0.13498177746004289</v>
      </c>
      <c r="H76" s="94">
        <f>H20*H36/(H44+H36)</f>
        <v>6.9999902000137199E-2</v>
      </c>
      <c r="I76" s="98"/>
      <c r="J76" s="81"/>
      <c r="K76" s="81"/>
      <c r="L76" s="81"/>
      <c r="M76" s="81"/>
      <c r="N76" s="81"/>
      <c r="O76" s="81"/>
      <c r="P76" s="81"/>
      <c r="Q76" s="81"/>
      <c r="R76" s="81"/>
      <c r="S76" s="81"/>
      <c r="T76" s="81"/>
      <c r="U76" s="81"/>
    </row>
    <row r="77" spans="1:21" ht="12.75" x14ac:dyDescent="0.25">
      <c r="A77" s="96"/>
      <c r="B77" s="81"/>
      <c r="C77" s="82"/>
      <c r="D77" s="97"/>
      <c r="E77" s="101"/>
      <c r="F77" s="81" t="s">
        <v>115</v>
      </c>
      <c r="G77" s="93">
        <f>G21</f>
        <v>2.7</v>
      </c>
      <c r="H77" s="93">
        <f>H21</f>
        <v>2.7</v>
      </c>
      <c r="I77" s="98"/>
      <c r="J77" s="81"/>
      <c r="K77" s="81"/>
      <c r="L77" s="81"/>
      <c r="M77" s="81"/>
      <c r="N77" s="81"/>
      <c r="O77" s="81"/>
      <c r="P77" s="81"/>
      <c r="Q77" s="81"/>
      <c r="R77" s="81"/>
      <c r="S77" s="81"/>
      <c r="T77" s="81"/>
      <c r="U77" s="81"/>
    </row>
    <row r="78" spans="1:21" ht="12.75" x14ac:dyDescent="0.25">
      <c r="A78" s="96"/>
      <c r="B78" s="81"/>
      <c r="C78" s="82"/>
      <c r="D78" s="97"/>
      <c r="E78" s="101"/>
      <c r="F78" s="81" t="s">
        <v>110</v>
      </c>
      <c r="G78" s="94">
        <f>ABS(G75*LN(((1.01*G76)-G76)/(G21-G76)))</f>
        <v>5.5030331148433144E-5</v>
      </c>
      <c r="H78" s="94">
        <f>ABS(H75*LN(((1.01*H76)-H76)/(H21-H76)))</f>
        <v>5.5430275185863378E-5</v>
      </c>
      <c r="I78" s="98"/>
      <c r="J78" s="81"/>
      <c r="K78" s="81"/>
      <c r="L78" s="81"/>
      <c r="M78" s="81"/>
      <c r="N78" s="81"/>
      <c r="O78" s="81"/>
      <c r="P78" s="81"/>
      <c r="Q78" s="81"/>
      <c r="R78" s="81"/>
      <c r="S78" s="81"/>
      <c r="T78" s="81"/>
      <c r="U78" s="81"/>
    </row>
    <row r="79" spans="1:21" ht="12.75" x14ac:dyDescent="0.25">
      <c r="A79" s="96"/>
      <c r="B79" s="81"/>
      <c r="C79" s="82"/>
      <c r="D79" s="97"/>
      <c r="E79" s="101"/>
      <c r="F79" s="81" t="s">
        <v>111</v>
      </c>
      <c r="G79" s="94">
        <f>G78/G69</f>
        <v>0.88048529837493028</v>
      </c>
      <c r="H79" s="94">
        <f>H78/H69</f>
        <v>0.88693983324899983</v>
      </c>
      <c r="I79" s="98"/>
      <c r="J79" s="81"/>
      <c r="K79" s="81"/>
      <c r="L79" s="81"/>
      <c r="M79" s="81"/>
      <c r="N79" s="81"/>
      <c r="O79" s="81"/>
      <c r="P79" s="81"/>
      <c r="Q79" s="81"/>
      <c r="R79" s="81"/>
      <c r="S79" s="81"/>
      <c r="T79" s="81"/>
      <c r="U79" s="81"/>
    </row>
    <row r="80" spans="1:21" ht="12.75" x14ac:dyDescent="0.25">
      <c r="A80" s="83"/>
      <c r="B80" s="81"/>
      <c r="C80" s="82"/>
      <c r="D80" s="97"/>
      <c r="E80" s="101"/>
      <c r="F80" s="81" t="s">
        <v>112</v>
      </c>
      <c r="G80" s="93">
        <f>ABS(G75*LN((G76-G77)/((0.99*G21)-G77)))</f>
        <v>3.3193377591371709E-5</v>
      </c>
      <c r="H80" s="93">
        <f>ABS(H75*LN((H76-H77)/((0.99*H21)-H77)))</f>
        <v>3.0834285323564624E-5</v>
      </c>
      <c r="I80" s="98"/>
      <c r="J80" s="81"/>
      <c r="K80" s="81"/>
      <c r="L80" s="81"/>
      <c r="M80" s="81"/>
      <c r="N80" s="81"/>
      <c r="O80" s="81"/>
      <c r="P80" s="81"/>
      <c r="Q80" s="81"/>
      <c r="R80" s="81"/>
      <c r="S80" s="81"/>
      <c r="T80" s="81"/>
      <c r="U80" s="81"/>
    </row>
    <row r="81" spans="1:21" ht="12.75" x14ac:dyDescent="0.25">
      <c r="A81" s="83"/>
      <c r="B81" s="81"/>
      <c r="C81" s="82"/>
      <c r="D81" s="97"/>
      <c r="E81" s="101"/>
      <c r="F81" s="81" t="s">
        <v>113</v>
      </c>
      <c r="G81" s="94">
        <f>G80/G69</f>
        <v>0.53109404146194727</v>
      </c>
      <c r="H81" s="94">
        <f>H80/H69</f>
        <v>0.49337939946235754</v>
      </c>
      <c r="I81" s="98"/>
      <c r="J81" s="81"/>
      <c r="K81" s="81"/>
      <c r="L81" s="81"/>
      <c r="M81" s="81"/>
      <c r="N81" s="81"/>
      <c r="O81" s="81"/>
      <c r="P81" s="81"/>
      <c r="Q81" s="81"/>
      <c r="R81" s="81"/>
      <c r="S81" s="81"/>
      <c r="T81" s="81"/>
      <c r="U81" s="81"/>
    </row>
    <row r="82" spans="1:21" ht="12.75" x14ac:dyDescent="0.25">
      <c r="A82" s="83"/>
      <c r="B82" s="81"/>
      <c r="C82" s="82"/>
      <c r="D82" s="97"/>
      <c r="E82" s="101"/>
      <c r="F82" s="81" t="s">
        <v>92</v>
      </c>
      <c r="G82" s="81" t="b">
        <f>AND(G52, G56, G62, G63)</f>
        <v>1</v>
      </c>
      <c r="H82" s="81" t="b">
        <f>AND(H52, H56, H62, H63)</f>
        <v>1</v>
      </c>
      <c r="I82" s="98"/>
      <c r="J82" s="81"/>
      <c r="K82" s="81"/>
      <c r="L82" s="81"/>
      <c r="M82" s="81"/>
      <c r="N82" s="81"/>
      <c r="O82" s="81"/>
      <c r="P82" s="81"/>
      <c r="Q82" s="81"/>
      <c r="R82" s="81"/>
      <c r="S82" s="81"/>
      <c r="T82" s="81"/>
      <c r="U82" s="81"/>
    </row>
    <row r="83" spans="1:21" ht="12.75" x14ac:dyDescent="0.25">
      <c r="A83" s="83"/>
      <c r="B83" s="81"/>
      <c r="C83" s="82"/>
      <c r="D83" s="97"/>
      <c r="E83" s="101"/>
      <c r="F83" s="81"/>
      <c r="G83" s="81"/>
      <c r="H83" s="102"/>
      <c r="I83" s="98"/>
      <c r="J83" s="81"/>
      <c r="K83" s="81"/>
      <c r="L83" s="81"/>
      <c r="M83" s="81"/>
      <c r="N83" s="81"/>
      <c r="O83" s="81"/>
      <c r="P83" s="81"/>
      <c r="Q83" s="81"/>
      <c r="R83" s="81"/>
      <c r="S83" s="81"/>
      <c r="T83" s="81"/>
      <c r="U83" s="81"/>
    </row>
    <row r="84" spans="1:21" ht="12.75" x14ac:dyDescent="0.25">
      <c r="A84" s="83"/>
      <c r="B84" s="81"/>
      <c r="C84" s="82"/>
      <c r="D84" s="97"/>
      <c r="E84" s="101"/>
      <c r="F84" s="81"/>
      <c r="G84" s="81"/>
      <c r="H84" s="102"/>
      <c r="I84" s="98"/>
      <c r="J84" s="81"/>
      <c r="K84" s="81"/>
      <c r="L84" s="81"/>
      <c r="M84" s="81"/>
      <c r="N84" s="81"/>
      <c r="O84" s="81"/>
      <c r="P84" s="81"/>
      <c r="Q84" s="81"/>
      <c r="R84" s="81"/>
      <c r="S84" s="81"/>
      <c r="T84" s="81"/>
      <c r="U84" s="81"/>
    </row>
    <row r="85" spans="1:21" ht="13.5" thickBot="1" x14ac:dyDescent="0.3">
      <c r="A85" s="83"/>
      <c r="B85" s="81"/>
      <c r="C85" s="82"/>
      <c r="D85" s="97"/>
      <c r="E85" s="108"/>
      <c r="F85" s="109"/>
      <c r="G85" s="109"/>
      <c r="H85" s="110"/>
      <c r="I85" s="98"/>
      <c r="J85" s="81"/>
      <c r="K85" s="81"/>
      <c r="L85" s="81"/>
      <c r="M85" s="81"/>
      <c r="N85" s="81"/>
      <c r="O85" s="81"/>
      <c r="P85" s="81"/>
      <c r="Q85" s="81"/>
      <c r="R85" s="81"/>
      <c r="S85" s="81"/>
      <c r="T85" s="81"/>
      <c r="U85" s="81"/>
    </row>
    <row r="86" spans="1:21" ht="12.75" x14ac:dyDescent="0.25">
      <c r="A86" s="83"/>
      <c r="B86" s="81"/>
      <c r="C86" s="82"/>
      <c r="D86" s="81"/>
      <c r="E86" s="100"/>
      <c r="F86" s="88"/>
      <c r="G86" s="88"/>
      <c r="H86" s="88"/>
      <c r="I86" s="81"/>
      <c r="J86" s="81"/>
      <c r="K86" s="81"/>
      <c r="L86" s="81"/>
      <c r="M86" s="81"/>
      <c r="N86" s="81"/>
      <c r="O86" s="81"/>
      <c r="P86" s="81"/>
      <c r="Q86" s="81"/>
      <c r="R86" s="81"/>
      <c r="S86" s="81"/>
      <c r="T86" s="81"/>
      <c r="U86" s="81"/>
    </row>
    <row r="87" spans="1:21" ht="12.75" x14ac:dyDescent="0.25">
      <c r="A87" s="83"/>
      <c r="B87" s="81"/>
      <c r="C87" s="82"/>
      <c r="D87" s="81"/>
      <c r="E87" s="81"/>
      <c r="F87" s="88"/>
      <c r="G87" s="88"/>
      <c r="H87" s="88"/>
      <c r="I87" s="81"/>
      <c r="J87" s="81"/>
      <c r="K87" s="81"/>
      <c r="L87" s="81"/>
      <c r="M87" s="81"/>
      <c r="N87" s="81"/>
      <c r="O87" s="81"/>
      <c r="P87" s="81"/>
      <c r="Q87" s="81"/>
      <c r="R87" s="81"/>
      <c r="S87" s="81"/>
      <c r="T87" s="81"/>
      <c r="U87" s="81"/>
    </row>
    <row r="88" spans="1:21" ht="12.75" x14ac:dyDescent="0.25">
      <c r="A88" s="83"/>
      <c r="B88" s="81"/>
      <c r="C88" s="82"/>
      <c r="D88" s="81"/>
      <c r="E88" s="81"/>
      <c r="F88" s="81"/>
      <c r="G88" s="81"/>
      <c r="H88" s="81"/>
      <c r="I88" s="81"/>
      <c r="J88" s="81"/>
      <c r="K88" s="81"/>
      <c r="L88" s="81"/>
      <c r="M88" s="81"/>
      <c r="N88" s="81"/>
      <c r="O88" s="81"/>
      <c r="P88" s="81"/>
      <c r="Q88" s="81"/>
      <c r="R88" s="81"/>
      <c r="S88" s="81"/>
      <c r="T88" s="81"/>
      <c r="U88" s="81"/>
    </row>
    <row r="89" spans="1:21" ht="12.75" x14ac:dyDescent="0.25">
      <c r="A89" s="83"/>
      <c r="B89" s="81"/>
      <c r="C89" s="82"/>
      <c r="D89" s="81"/>
      <c r="E89" s="81"/>
      <c r="F89" s="81"/>
      <c r="G89" s="81"/>
      <c r="H89" s="81"/>
      <c r="I89" s="81"/>
      <c r="J89" s="81"/>
      <c r="K89" s="81"/>
      <c r="L89" s="81"/>
      <c r="M89" s="81"/>
      <c r="N89" s="81"/>
      <c r="O89" s="81"/>
      <c r="P89" s="81"/>
      <c r="Q89" s="81"/>
      <c r="R89" s="81"/>
      <c r="S89" s="81"/>
      <c r="T89" s="81"/>
      <c r="U89" s="81"/>
    </row>
    <row r="90" spans="1:21" ht="12.75" x14ac:dyDescent="0.25">
      <c r="A90" s="83"/>
      <c r="B90" s="81"/>
      <c r="C90" s="82"/>
      <c r="D90" s="81"/>
      <c r="E90" s="81"/>
      <c r="F90" s="81"/>
      <c r="G90" s="81"/>
      <c r="H90" s="81"/>
      <c r="I90" s="81"/>
      <c r="J90" s="81"/>
      <c r="K90" s="81"/>
      <c r="L90" s="81"/>
      <c r="M90" s="81"/>
      <c r="N90" s="81"/>
      <c r="O90" s="81"/>
      <c r="P90" s="81"/>
      <c r="Q90" s="81"/>
      <c r="R90" s="81"/>
      <c r="S90" s="81"/>
      <c r="T90" s="81"/>
      <c r="U90" s="81"/>
    </row>
    <row r="91" spans="1:21" ht="12.75" x14ac:dyDescent="0.25">
      <c r="A91" s="83"/>
      <c r="B91" s="81"/>
      <c r="C91" s="82"/>
      <c r="D91" s="81"/>
      <c r="E91" s="81"/>
      <c r="F91" s="81"/>
      <c r="G91" s="81"/>
      <c r="H91" s="81"/>
      <c r="I91" s="81"/>
      <c r="J91" s="81"/>
      <c r="K91" s="81"/>
      <c r="L91" s="81"/>
      <c r="M91" s="81"/>
      <c r="N91" s="81"/>
      <c r="O91" s="81"/>
      <c r="P91" s="81"/>
      <c r="Q91" s="81"/>
      <c r="R91" s="81"/>
      <c r="S91" s="81"/>
      <c r="T91" s="81"/>
      <c r="U91" s="81"/>
    </row>
    <row r="92" spans="1:21" ht="12.75" x14ac:dyDescent="0.25">
      <c r="A92" s="83"/>
      <c r="B92" s="81"/>
      <c r="C92" s="82"/>
      <c r="D92" s="81"/>
      <c r="E92" s="81"/>
      <c r="F92" s="81"/>
      <c r="G92" s="81"/>
      <c r="H92" s="81"/>
      <c r="I92" s="81"/>
      <c r="J92" s="81"/>
      <c r="K92" s="81"/>
      <c r="L92" s="81"/>
      <c r="M92" s="81"/>
      <c r="N92" s="81"/>
      <c r="O92" s="81"/>
      <c r="P92" s="81"/>
      <c r="Q92" s="81"/>
      <c r="R92" s="81"/>
      <c r="S92" s="81"/>
      <c r="T92" s="81"/>
      <c r="U92" s="81"/>
    </row>
    <row r="93" spans="1:21" ht="12.75" x14ac:dyDescent="0.25">
      <c r="A93" s="83"/>
      <c r="B93" s="81"/>
      <c r="C93" s="82"/>
      <c r="D93" s="81"/>
      <c r="E93" s="81"/>
      <c r="F93" s="81"/>
      <c r="G93" s="81"/>
      <c r="H93" s="81"/>
      <c r="I93" s="81"/>
      <c r="J93" s="81"/>
      <c r="K93" s="81"/>
      <c r="L93" s="81"/>
      <c r="M93" s="81"/>
      <c r="N93" s="81"/>
      <c r="O93" s="81"/>
      <c r="P93" s="81"/>
      <c r="Q93" s="81"/>
      <c r="R93" s="81"/>
      <c r="S93" s="81"/>
      <c r="T93" s="81"/>
      <c r="U93" s="81"/>
    </row>
    <row r="94" spans="1:21" ht="12.75" x14ac:dyDescent="0.25">
      <c r="A94" s="83"/>
      <c r="B94" s="81"/>
      <c r="C94" s="82"/>
      <c r="D94" s="81"/>
      <c r="E94" s="81"/>
      <c r="F94" s="81"/>
      <c r="G94" s="81"/>
      <c r="H94" s="81"/>
      <c r="I94" s="81"/>
      <c r="J94" s="81"/>
      <c r="K94" s="81"/>
      <c r="L94" s="81"/>
      <c r="M94" s="81"/>
      <c r="N94" s="81"/>
      <c r="O94" s="81"/>
      <c r="P94" s="81"/>
      <c r="Q94" s="81"/>
      <c r="R94" s="81"/>
      <c r="S94" s="81"/>
      <c r="T94" s="81"/>
      <c r="U94" s="81"/>
    </row>
    <row r="95" spans="1:21" ht="12.75" x14ac:dyDescent="0.25">
      <c r="A95" s="83"/>
      <c r="B95" s="81"/>
      <c r="C95" s="82"/>
      <c r="D95" s="81"/>
      <c r="E95" s="81"/>
      <c r="F95" s="81"/>
      <c r="G95" s="81"/>
      <c r="H95" s="81"/>
      <c r="I95" s="81"/>
      <c r="J95" s="81"/>
      <c r="K95" s="81"/>
      <c r="L95" s="81"/>
      <c r="M95" s="81"/>
      <c r="N95" s="81"/>
      <c r="O95" s="81"/>
      <c r="P95" s="81"/>
      <c r="Q95" s="81"/>
      <c r="R95" s="81"/>
      <c r="S95" s="81"/>
      <c r="T95" s="81"/>
      <c r="U95" s="81"/>
    </row>
    <row r="96" spans="1:21" ht="12.75" x14ac:dyDescent="0.25">
      <c r="A96" s="83"/>
      <c r="B96" s="81"/>
      <c r="C96" s="82"/>
      <c r="D96" s="81"/>
      <c r="E96" s="81"/>
      <c r="F96" s="81"/>
      <c r="G96" s="81"/>
      <c r="H96" s="81"/>
      <c r="I96" s="81"/>
      <c r="J96" s="81"/>
      <c r="K96" s="81"/>
      <c r="L96" s="81"/>
      <c r="M96" s="81"/>
      <c r="N96" s="81"/>
      <c r="O96" s="81"/>
      <c r="P96" s="81"/>
      <c r="Q96" s="81"/>
      <c r="R96" s="81"/>
      <c r="S96" s="81"/>
      <c r="T96" s="81"/>
      <c r="U96" s="81"/>
    </row>
    <row r="97" spans="1:21" ht="12.75" x14ac:dyDescent="0.25">
      <c r="A97" s="83"/>
      <c r="B97" s="81"/>
      <c r="C97" s="82"/>
      <c r="D97" s="81"/>
      <c r="E97" s="81"/>
      <c r="F97" s="81"/>
      <c r="G97" s="81"/>
      <c r="H97" s="81"/>
      <c r="I97" s="81"/>
      <c r="J97" s="81"/>
      <c r="K97" s="81"/>
      <c r="L97" s="81"/>
      <c r="M97" s="81"/>
      <c r="N97" s="81"/>
      <c r="O97" s="81"/>
      <c r="P97" s="81"/>
      <c r="Q97" s="81"/>
      <c r="R97" s="81"/>
      <c r="S97" s="81"/>
      <c r="T97" s="81"/>
      <c r="U97" s="81"/>
    </row>
    <row r="98" spans="1:21" ht="12.75" x14ac:dyDescent="0.25">
      <c r="A98" s="83"/>
      <c r="B98" s="81"/>
      <c r="C98" s="82"/>
      <c r="D98" s="81"/>
      <c r="E98" s="81"/>
      <c r="F98" s="81"/>
      <c r="G98" s="81"/>
      <c r="H98" s="81"/>
      <c r="I98" s="81"/>
      <c r="J98" s="81"/>
      <c r="K98" s="81"/>
      <c r="L98" s="81"/>
      <c r="M98" s="81"/>
      <c r="N98" s="81"/>
      <c r="O98" s="81"/>
      <c r="P98" s="81"/>
      <c r="Q98" s="81"/>
      <c r="R98" s="81"/>
      <c r="S98" s="81"/>
      <c r="T98" s="81"/>
      <c r="U98" s="81"/>
    </row>
    <row r="99" spans="1:21" ht="12.75" x14ac:dyDescent="0.25">
      <c r="A99" s="83"/>
      <c r="B99" s="81"/>
      <c r="C99" s="82"/>
      <c r="D99" s="81"/>
      <c r="E99" s="81"/>
      <c r="F99" s="81"/>
      <c r="G99" s="81"/>
      <c r="H99" s="81"/>
      <c r="I99" s="81"/>
      <c r="J99" s="81"/>
      <c r="K99" s="81"/>
      <c r="L99" s="81"/>
      <c r="M99" s="81"/>
      <c r="N99" s="81"/>
      <c r="O99" s="81"/>
      <c r="P99" s="81"/>
      <c r="Q99" s="81"/>
      <c r="R99" s="81"/>
      <c r="S99" s="81"/>
      <c r="T99" s="81"/>
      <c r="U99" s="81"/>
    </row>
    <row r="100" spans="1:21" ht="12.75" x14ac:dyDescent="0.25">
      <c r="A100" s="83"/>
      <c r="B100" s="81"/>
      <c r="C100" s="82"/>
      <c r="D100" s="81"/>
      <c r="E100" s="81"/>
      <c r="F100" s="81"/>
      <c r="G100" s="81"/>
      <c r="H100" s="81"/>
      <c r="I100" s="81"/>
      <c r="J100" s="81"/>
      <c r="K100" s="81"/>
      <c r="L100" s="81"/>
      <c r="M100" s="81"/>
      <c r="N100" s="81"/>
      <c r="O100" s="81"/>
      <c r="P100" s="81"/>
      <c r="Q100" s="81"/>
      <c r="R100" s="81"/>
      <c r="S100" s="81"/>
      <c r="T100" s="81"/>
      <c r="U100" s="81"/>
    </row>
    <row r="101" spans="1:21" ht="12.75" x14ac:dyDescent="0.25">
      <c r="A101" s="83"/>
      <c r="B101" s="81"/>
      <c r="C101" s="82"/>
      <c r="D101" s="81"/>
      <c r="E101" s="81"/>
      <c r="F101" s="81"/>
      <c r="G101" s="81"/>
      <c r="H101" s="81"/>
      <c r="I101" s="81"/>
      <c r="J101" s="81"/>
      <c r="K101" s="81"/>
      <c r="L101" s="81"/>
      <c r="M101" s="81"/>
      <c r="N101" s="81"/>
      <c r="O101" s="81"/>
      <c r="P101" s="81"/>
      <c r="Q101" s="81"/>
      <c r="R101" s="81"/>
      <c r="S101" s="81"/>
      <c r="T101" s="81"/>
      <c r="U101" s="81"/>
    </row>
    <row r="102" spans="1:21" ht="12.75" x14ac:dyDescent="0.25">
      <c r="A102" s="83"/>
      <c r="B102" s="81"/>
      <c r="C102" s="82"/>
      <c r="D102" s="81"/>
      <c r="E102" s="81"/>
      <c r="F102" s="81"/>
      <c r="G102" s="81"/>
      <c r="H102" s="81"/>
      <c r="I102" s="81"/>
      <c r="J102" s="81"/>
      <c r="K102" s="81"/>
      <c r="L102" s="81"/>
      <c r="M102" s="81"/>
      <c r="N102" s="81"/>
      <c r="O102" s="81"/>
      <c r="P102" s="81"/>
      <c r="Q102" s="81"/>
      <c r="R102" s="81"/>
      <c r="S102" s="81"/>
      <c r="T102" s="81"/>
      <c r="U102" s="81"/>
    </row>
    <row r="103" spans="1:21" ht="12.75" x14ac:dyDescent="0.25">
      <c r="A103" s="83"/>
      <c r="B103" s="81"/>
      <c r="C103" s="82"/>
      <c r="D103" s="81"/>
      <c r="E103" s="81"/>
      <c r="F103" s="81"/>
      <c r="G103" s="81"/>
      <c r="H103" s="81"/>
      <c r="I103" s="81"/>
      <c r="J103" s="81"/>
      <c r="K103" s="81"/>
      <c r="L103" s="81"/>
      <c r="M103" s="81"/>
      <c r="N103" s="81"/>
      <c r="O103" s="81"/>
      <c r="P103" s="81"/>
      <c r="Q103" s="81"/>
      <c r="R103" s="81"/>
      <c r="S103" s="81"/>
      <c r="T103" s="81"/>
      <c r="U103" s="81"/>
    </row>
    <row r="104" spans="1:21" ht="12.75" x14ac:dyDescent="0.25">
      <c r="A104" s="83"/>
      <c r="B104" s="81"/>
      <c r="C104" s="82"/>
      <c r="D104" s="81"/>
      <c r="E104" s="81"/>
      <c r="F104" s="81"/>
      <c r="G104" s="81"/>
      <c r="H104" s="81"/>
      <c r="I104" s="81"/>
      <c r="J104" s="81"/>
      <c r="K104" s="81"/>
      <c r="L104" s="81"/>
      <c r="M104" s="81"/>
      <c r="N104" s="81"/>
      <c r="O104" s="81"/>
      <c r="P104" s="81"/>
      <c r="Q104" s="81"/>
      <c r="R104" s="81"/>
      <c r="S104" s="81"/>
      <c r="T104" s="81"/>
      <c r="U104" s="81"/>
    </row>
    <row r="105" spans="1:21" ht="12.75" x14ac:dyDescent="0.25">
      <c r="A105" s="83"/>
      <c r="B105" s="81"/>
      <c r="C105" s="82"/>
      <c r="D105" s="81"/>
      <c r="E105" s="81"/>
      <c r="F105" s="81"/>
      <c r="G105" s="81"/>
      <c r="H105" s="81"/>
      <c r="I105" s="81"/>
      <c r="J105" s="81"/>
      <c r="K105" s="81"/>
      <c r="L105" s="81"/>
      <c r="M105" s="81"/>
      <c r="N105" s="81"/>
      <c r="O105" s="81"/>
      <c r="P105" s="81"/>
      <c r="Q105" s="81"/>
      <c r="R105" s="81"/>
      <c r="S105" s="81"/>
      <c r="T105" s="81"/>
      <c r="U105" s="81"/>
    </row>
    <row r="106" spans="1:21" ht="12.75" x14ac:dyDescent="0.25">
      <c r="A106" s="83"/>
      <c r="B106" s="81"/>
      <c r="C106" s="82"/>
      <c r="D106" s="81"/>
      <c r="E106" s="81"/>
      <c r="F106" s="81"/>
      <c r="G106" s="81"/>
      <c r="H106" s="81"/>
      <c r="I106" s="81"/>
      <c r="J106" s="81"/>
      <c r="K106" s="81"/>
      <c r="L106" s="81"/>
      <c r="M106" s="81"/>
      <c r="N106" s="81"/>
      <c r="O106" s="81"/>
      <c r="P106" s="81"/>
      <c r="Q106" s="81"/>
      <c r="R106" s="81"/>
      <c r="S106" s="81"/>
      <c r="T106" s="81"/>
      <c r="U106" s="81"/>
    </row>
    <row r="107" spans="1:21" ht="12.75" x14ac:dyDescent="0.25">
      <c r="A107" s="83"/>
      <c r="B107" s="81"/>
      <c r="C107" s="82"/>
      <c r="D107" s="81"/>
      <c r="E107" s="81"/>
      <c r="F107" s="81"/>
      <c r="G107" s="81"/>
      <c r="H107" s="81"/>
      <c r="I107" s="81"/>
      <c r="J107" s="81"/>
      <c r="K107" s="81"/>
      <c r="L107" s="81"/>
      <c r="M107" s="81"/>
      <c r="N107" s="81"/>
      <c r="O107" s="81"/>
      <c r="P107" s="81"/>
      <c r="Q107" s="81"/>
      <c r="R107" s="81"/>
      <c r="S107" s="81"/>
      <c r="T107" s="81"/>
      <c r="U107" s="81"/>
    </row>
    <row r="108" spans="1:21" ht="12.75" x14ac:dyDescent="0.25">
      <c r="A108" s="83"/>
      <c r="B108" s="81"/>
      <c r="C108" s="82"/>
      <c r="D108" s="81"/>
      <c r="E108" s="81"/>
      <c r="F108" s="81"/>
      <c r="G108" s="81"/>
      <c r="H108" s="81"/>
      <c r="I108" s="81"/>
      <c r="J108" s="81"/>
      <c r="K108" s="81"/>
      <c r="L108" s="81"/>
      <c r="M108" s="81"/>
      <c r="N108" s="81"/>
      <c r="O108" s="81"/>
      <c r="P108" s="81"/>
      <c r="Q108" s="81"/>
      <c r="R108" s="81"/>
      <c r="S108" s="81"/>
      <c r="T108" s="81"/>
      <c r="U108" s="81"/>
    </row>
    <row r="109" spans="1:21" ht="12.75" x14ac:dyDescent="0.25">
      <c r="A109" s="83"/>
      <c r="B109" s="81"/>
      <c r="C109" s="82"/>
      <c r="D109" s="81"/>
      <c r="E109" s="81"/>
      <c r="F109" s="81"/>
      <c r="G109" s="81"/>
      <c r="H109" s="81"/>
      <c r="I109" s="81"/>
      <c r="J109" s="81"/>
      <c r="K109" s="81"/>
      <c r="L109" s="81"/>
      <c r="M109" s="81"/>
      <c r="N109" s="81"/>
      <c r="O109" s="81"/>
      <c r="P109" s="81"/>
      <c r="Q109" s="81"/>
      <c r="R109" s="81"/>
      <c r="S109" s="81"/>
      <c r="T109" s="81"/>
      <c r="U109" s="81"/>
    </row>
    <row r="110" spans="1:21" ht="12.75" x14ac:dyDescent="0.25">
      <c r="A110" s="83"/>
      <c r="B110" s="81"/>
      <c r="C110" s="82"/>
      <c r="D110" s="81"/>
      <c r="E110" s="81"/>
      <c r="F110" s="81"/>
      <c r="G110" s="81"/>
      <c r="H110" s="81"/>
      <c r="I110" s="81"/>
      <c r="J110" s="81"/>
      <c r="K110" s="81"/>
      <c r="L110" s="81"/>
      <c r="M110" s="81"/>
      <c r="N110" s="81"/>
      <c r="O110" s="81"/>
      <c r="P110" s="81"/>
      <c r="Q110" s="81"/>
      <c r="R110" s="81"/>
      <c r="S110" s="81"/>
      <c r="T110" s="81"/>
      <c r="U110" s="81"/>
    </row>
    <row r="111" spans="1:21" ht="12.75" x14ac:dyDescent="0.25">
      <c r="A111" s="83"/>
      <c r="B111" s="81"/>
      <c r="C111" s="82"/>
      <c r="D111" s="81"/>
      <c r="E111" s="81"/>
      <c r="F111" s="81"/>
      <c r="G111" s="81"/>
      <c r="H111" s="81"/>
      <c r="I111" s="81"/>
      <c r="J111" s="81"/>
      <c r="K111" s="81"/>
      <c r="L111" s="81"/>
      <c r="M111" s="81"/>
      <c r="N111" s="81"/>
      <c r="O111" s="81"/>
      <c r="P111" s="81"/>
      <c r="Q111" s="81"/>
      <c r="R111" s="81"/>
      <c r="S111" s="81"/>
      <c r="T111" s="81"/>
      <c r="U111" s="81"/>
    </row>
    <row r="112" spans="1:21" ht="12.75" x14ac:dyDescent="0.25">
      <c r="A112" s="83"/>
      <c r="B112" s="81"/>
      <c r="C112" s="82"/>
      <c r="D112" s="81"/>
      <c r="E112" s="81"/>
      <c r="F112" s="81"/>
      <c r="G112" s="81"/>
      <c r="H112" s="81"/>
      <c r="I112" s="81"/>
      <c r="J112" s="81"/>
      <c r="K112" s="81"/>
      <c r="L112" s="81"/>
      <c r="M112" s="81"/>
      <c r="N112" s="81"/>
      <c r="O112" s="81"/>
      <c r="P112" s="81"/>
      <c r="Q112" s="81"/>
      <c r="R112" s="81"/>
      <c r="S112" s="81"/>
      <c r="T112" s="81"/>
      <c r="U112" s="81"/>
    </row>
    <row r="113" spans="1:21" ht="12.75" x14ac:dyDescent="0.25">
      <c r="A113" s="83"/>
      <c r="B113" s="81"/>
      <c r="C113" s="82"/>
      <c r="D113" s="81"/>
      <c r="E113" s="81"/>
      <c r="F113" s="81"/>
      <c r="G113" s="81"/>
      <c r="H113" s="81"/>
      <c r="I113" s="81"/>
      <c r="J113" s="81"/>
      <c r="K113" s="81"/>
      <c r="L113" s="81"/>
      <c r="M113" s="81"/>
      <c r="N113" s="81"/>
      <c r="O113" s="81"/>
      <c r="P113" s="81"/>
      <c r="Q113" s="81"/>
      <c r="R113" s="81"/>
      <c r="S113" s="81"/>
      <c r="T113" s="81"/>
      <c r="U113" s="81"/>
    </row>
    <row r="114" spans="1:21" ht="12.75" x14ac:dyDescent="0.25">
      <c r="A114" s="83"/>
      <c r="B114" s="81"/>
      <c r="C114" s="82"/>
      <c r="D114" s="81"/>
      <c r="E114" s="81"/>
      <c r="F114" s="81"/>
      <c r="G114" s="81"/>
      <c r="H114" s="81"/>
      <c r="I114" s="81"/>
      <c r="J114" s="81"/>
      <c r="K114" s="81"/>
      <c r="L114" s="81"/>
      <c r="M114" s="81"/>
      <c r="N114" s="81"/>
      <c r="O114" s="81"/>
      <c r="P114" s="81"/>
      <c r="Q114" s="81"/>
      <c r="R114" s="81"/>
      <c r="S114" s="81"/>
      <c r="T114" s="81"/>
      <c r="U114" s="81"/>
    </row>
    <row r="115" spans="1:21" ht="12.75" x14ac:dyDescent="0.25">
      <c r="A115" s="83"/>
      <c r="B115" s="81"/>
      <c r="C115" s="82"/>
      <c r="D115" s="81"/>
      <c r="E115" s="81"/>
      <c r="F115" s="81"/>
      <c r="G115" s="81"/>
      <c r="H115" s="81"/>
      <c r="I115" s="81"/>
      <c r="J115" s="81"/>
      <c r="K115" s="81"/>
      <c r="L115" s="81"/>
      <c r="M115" s="81"/>
      <c r="N115" s="81"/>
      <c r="O115" s="81"/>
      <c r="P115" s="81"/>
      <c r="Q115" s="81"/>
      <c r="R115" s="81"/>
      <c r="S115" s="81"/>
      <c r="T115" s="81"/>
      <c r="U115" s="81"/>
    </row>
    <row r="116" spans="1:21" ht="12.75" x14ac:dyDescent="0.25">
      <c r="A116" s="83"/>
      <c r="B116" s="81"/>
      <c r="C116" s="82"/>
      <c r="D116" s="81"/>
      <c r="E116" s="81"/>
      <c r="F116" s="81"/>
      <c r="G116" s="81"/>
      <c r="H116" s="81"/>
      <c r="I116" s="81"/>
      <c r="J116" s="81"/>
      <c r="K116" s="81"/>
      <c r="L116" s="81"/>
      <c r="M116" s="81"/>
      <c r="N116" s="81"/>
      <c r="O116" s="81"/>
      <c r="P116" s="81"/>
      <c r="Q116" s="81"/>
      <c r="R116" s="81"/>
      <c r="S116" s="81"/>
      <c r="T116" s="81"/>
      <c r="U116" s="81"/>
    </row>
    <row r="117" spans="1:21" ht="12.75" x14ac:dyDescent="0.25">
      <c r="A117" s="83"/>
      <c r="B117" s="81"/>
      <c r="C117" s="82"/>
      <c r="D117" s="81"/>
      <c r="E117" s="81"/>
      <c r="F117" s="81"/>
      <c r="G117" s="81"/>
      <c r="H117" s="81"/>
      <c r="I117" s="81"/>
      <c r="J117" s="81"/>
      <c r="K117" s="81"/>
      <c r="L117" s="81"/>
      <c r="M117" s="81"/>
      <c r="N117" s="81"/>
      <c r="O117" s="81"/>
      <c r="P117" s="81"/>
      <c r="Q117" s="81"/>
      <c r="R117" s="81"/>
      <c r="S117" s="81"/>
      <c r="T117" s="81"/>
      <c r="U117" s="81"/>
    </row>
    <row r="118" spans="1:21" ht="12.75" x14ac:dyDescent="0.25">
      <c r="A118" s="83"/>
      <c r="B118" s="81"/>
      <c r="C118" s="82"/>
      <c r="D118" s="81"/>
      <c r="E118" s="81"/>
      <c r="F118" s="81"/>
      <c r="G118" s="81"/>
      <c r="H118" s="81"/>
      <c r="I118" s="81"/>
      <c r="J118" s="81"/>
      <c r="K118" s="81"/>
      <c r="L118" s="81"/>
      <c r="M118" s="81"/>
      <c r="N118" s="81"/>
      <c r="O118" s="81"/>
      <c r="P118" s="81"/>
      <c r="Q118" s="81"/>
      <c r="R118" s="81"/>
      <c r="S118" s="81"/>
      <c r="T118" s="81"/>
      <c r="U118" s="81"/>
    </row>
    <row r="119" spans="1:21" ht="12.75" x14ac:dyDescent="0.25">
      <c r="A119" s="83"/>
      <c r="B119" s="81"/>
      <c r="C119" s="82"/>
      <c r="D119" s="81"/>
      <c r="E119" s="81"/>
      <c r="F119" s="81"/>
      <c r="G119" s="81"/>
      <c r="H119" s="81"/>
      <c r="I119" s="81"/>
      <c r="J119" s="81"/>
      <c r="K119" s="81"/>
      <c r="L119" s="81"/>
      <c r="M119" s="81"/>
      <c r="N119" s="81"/>
      <c r="O119" s="81"/>
      <c r="P119" s="81"/>
      <c r="Q119" s="81"/>
      <c r="R119" s="81"/>
      <c r="S119" s="81"/>
      <c r="T119" s="81"/>
      <c r="U119" s="81"/>
    </row>
    <row r="120" spans="1:21" ht="12.75" x14ac:dyDescent="0.25">
      <c r="A120" s="83"/>
      <c r="B120" s="81"/>
      <c r="C120" s="82"/>
      <c r="D120" s="81"/>
      <c r="E120" s="81"/>
      <c r="F120" s="81"/>
      <c r="G120" s="81"/>
      <c r="H120" s="81"/>
      <c r="I120" s="81"/>
      <c r="J120" s="81"/>
      <c r="K120" s="81"/>
      <c r="L120" s="81"/>
      <c r="M120" s="81"/>
      <c r="N120" s="81"/>
      <c r="O120" s="81"/>
      <c r="P120" s="81"/>
      <c r="Q120" s="81"/>
      <c r="R120" s="81"/>
      <c r="S120" s="81"/>
      <c r="T120" s="81"/>
      <c r="U120" s="81"/>
    </row>
    <row r="121" spans="1:21" ht="12.75" x14ac:dyDescent="0.25">
      <c r="A121" s="83"/>
      <c r="B121" s="81"/>
      <c r="C121" s="82"/>
      <c r="D121" s="81"/>
      <c r="E121" s="81"/>
      <c r="F121" s="81"/>
      <c r="G121" s="81"/>
      <c r="H121" s="81"/>
      <c r="I121" s="81"/>
      <c r="J121" s="81"/>
      <c r="K121" s="81"/>
      <c r="L121" s="81"/>
      <c r="M121" s="81"/>
      <c r="N121" s="81"/>
      <c r="O121" s="81"/>
      <c r="P121" s="81"/>
      <c r="Q121" s="81"/>
      <c r="R121" s="81"/>
      <c r="S121" s="81"/>
      <c r="T121" s="81"/>
      <c r="U121" s="81"/>
    </row>
    <row r="122" spans="1:21" ht="12.75" x14ac:dyDescent="0.25">
      <c r="A122" s="83"/>
      <c r="B122" s="81"/>
      <c r="C122" s="82"/>
      <c r="D122" s="81"/>
      <c r="E122" s="81"/>
      <c r="F122" s="81"/>
      <c r="G122" s="81"/>
      <c r="H122" s="81"/>
      <c r="I122" s="81"/>
      <c r="J122" s="81"/>
      <c r="K122" s="81"/>
      <c r="L122" s="81"/>
      <c r="M122" s="81"/>
      <c r="N122" s="81"/>
      <c r="O122" s="81"/>
      <c r="P122" s="81"/>
      <c r="Q122" s="81"/>
      <c r="R122" s="81"/>
      <c r="S122" s="81"/>
      <c r="T122" s="81"/>
      <c r="U122" s="81"/>
    </row>
    <row r="123" spans="1:21" ht="12.75" x14ac:dyDescent="0.25">
      <c r="A123" s="83"/>
      <c r="B123" s="81"/>
      <c r="C123" s="82"/>
      <c r="D123" s="81"/>
      <c r="E123" s="81"/>
      <c r="F123" s="81"/>
      <c r="G123" s="81"/>
      <c r="H123" s="81"/>
      <c r="I123" s="81"/>
      <c r="J123" s="81"/>
      <c r="K123" s="81"/>
      <c r="L123" s="81"/>
      <c r="M123" s="81"/>
      <c r="N123" s="81"/>
      <c r="O123" s="81"/>
      <c r="P123" s="81"/>
      <c r="Q123" s="81"/>
      <c r="R123" s="81"/>
      <c r="S123" s="81"/>
      <c r="T123" s="81"/>
      <c r="U123" s="81"/>
    </row>
    <row r="124" spans="1:21" ht="12.75" x14ac:dyDescent="0.25">
      <c r="A124" s="83"/>
      <c r="B124" s="81"/>
      <c r="C124" s="82"/>
      <c r="D124" s="81"/>
      <c r="E124" s="81"/>
      <c r="F124" s="81"/>
      <c r="G124" s="81"/>
      <c r="H124" s="81"/>
      <c r="I124" s="81"/>
      <c r="J124" s="81"/>
      <c r="K124" s="81"/>
      <c r="L124" s="81"/>
      <c r="M124" s="81"/>
      <c r="N124" s="81"/>
      <c r="O124" s="81"/>
      <c r="P124" s="81"/>
      <c r="Q124" s="81"/>
      <c r="R124" s="81"/>
      <c r="S124" s="81"/>
      <c r="T124" s="81"/>
      <c r="U124" s="81"/>
    </row>
    <row r="125" spans="1:21" ht="12.75" x14ac:dyDescent="0.25">
      <c r="A125" s="83"/>
      <c r="B125" s="81"/>
      <c r="C125" s="82"/>
      <c r="D125" s="81"/>
      <c r="E125" s="81"/>
      <c r="F125" s="81"/>
      <c r="G125" s="81"/>
      <c r="H125" s="81"/>
      <c r="I125" s="81"/>
      <c r="J125" s="81"/>
      <c r="K125" s="81"/>
      <c r="L125" s="81"/>
      <c r="M125" s="81"/>
      <c r="N125" s="81"/>
      <c r="O125" s="81"/>
      <c r="P125" s="81"/>
      <c r="Q125" s="81"/>
      <c r="R125" s="81"/>
      <c r="S125" s="81"/>
      <c r="T125" s="81"/>
      <c r="U125" s="81"/>
    </row>
    <row r="126" spans="1:21" ht="12.75" x14ac:dyDescent="0.25">
      <c r="A126" s="73"/>
      <c r="C126" s="43"/>
      <c r="D126" s="46" t="s">
        <v>43</v>
      </c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</row>
    <row r="127" spans="1:21" ht="12.75" x14ac:dyDescent="0.25">
      <c r="A127" s="73"/>
      <c r="C127" s="43"/>
      <c r="D127" s="46" t="s">
        <v>43</v>
      </c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</row>
    <row r="128" spans="1:21" ht="12.75" x14ac:dyDescent="0.25">
      <c r="A128" s="73"/>
      <c r="C128" s="43"/>
      <c r="D128" s="46" t="s">
        <v>43</v>
      </c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</row>
    <row r="129" spans="1:21" ht="12.75" x14ac:dyDescent="0.25">
      <c r="A129" s="73"/>
      <c r="C129" s="43"/>
      <c r="D129" s="46" t="s">
        <v>43</v>
      </c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</row>
    <row r="130" spans="1:21" ht="12.75" x14ac:dyDescent="0.25">
      <c r="A130" s="73"/>
      <c r="C130" s="43"/>
      <c r="D130" s="46" t="s">
        <v>43</v>
      </c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</row>
    <row r="131" spans="1:21" ht="12.75" x14ac:dyDescent="0.25">
      <c r="A131" s="73"/>
      <c r="C131" s="43"/>
      <c r="D131" s="46" t="s">
        <v>43</v>
      </c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</row>
    <row r="132" spans="1:21" ht="12.75" x14ac:dyDescent="0.25">
      <c r="A132" s="73"/>
      <c r="C132" s="43"/>
      <c r="D132" s="46" t="s">
        <v>43</v>
      </c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</row>
    <row r="133" spans="1:21" ht="12.75" x14ac:dyDescent="0.25">
      <c r="A133" s="73"/>
      <c r="C133" s="43"/>
      <c r="D133" s="46" t="s">
        <v>43</v>
      </c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</row>
    <row r="134" spans="1:21" ht="12.75" x14ac:dyDescent="0.25">
      <c r="A134" s="73"/>
      <c r="C134" s="43"/>
      <c r="D134" s="46" t="s">
        <v>43</v>
      </c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</row>
    <row r="135" spans="1:21" ht="12.75" x14ac:dyDescent="0.25">
      <c r="A135" s="73"/>
      <c r="C135" s="43"/>
      <c r="D135" s="46" t="s">
        <v>43</v>
      </c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</row>
    <row r="136" spans="1:21" ht="12.75" x14ac:dyDescent="0.25">
      <c r="A136" s="73"/>
      <c r="C136" s="43"/>
      <c r="D136" s="46" t="s">
        <v>43</v>
      </c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</row>
    <row r="137" spans="1:21" ht="12.75" x14ac:dyDescent="0.25">
      <c r="A137" s="73"/>
      <c r="C137" s="43"/>
      <c r="D137" s="46" t="s">
        <v>43</v>
      </c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</row>
    <row r="138" spans="1:21" ht="12.75" x14ac:dyDescent="0.25">
      <c r="A138" s="73"/>
      <c r="C138" s="43"/>
      <c r="D138" s="46" t="s">
        <v>43</v>
      </c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</row>
    <row r="139" spans="1:21" ht="12.75" x14ac:dyDescent="0.25">
      <c r="A139" s="73"/>
      <c r="C139" s="43"/>
      <c r="D139" s="46" t="s">
        <v>43</v>
      </c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</row>
    <row r="140" spans="1:21" ht="12.75" x14ac:dyDescent="0.25">
      <c r="A140" s="73"/>
      <c r="C140" s="43"/>
      <c r="D140" s="46" t="s">
        <v>43</v>
      </c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</row>
    <row r="141" spans="1:21" ht="12.75" x14ac:dyDescent="0.25">
      <c r="A141" s="73"/>
      <c r="C141" s="43"/>
      <c r="D141" s="46" t="s">
        <v>43</v>
      </c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</row>
    <row r="142" spans="1:21" ht="12.75" x14ac:dyDescent="0.25">
      <c r="A142" s="73"/>
      <c r="C142" s="43"/>
      <c r="D142" s="46" t="s">
        <v>43</v>
      </c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</row>
    <row r="143" spans="1:21" ht="12.75" x14ac:dyDescent="0.25">
      <c r="A143" s="73"/>
      <c r="D143" s="46" t="s">
        <v>43</v>
      </c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</row>
    <row r="144" spans="1:21" ht="12.75" x14ac:dyDescent="0.25">
      <c r="A144" s="73"/>
      <c r="D144" s="46" t="s">
        <v>43</v>
      </c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</row>
    <row r="145" spans="1:21" ht="12.75" x14ac:dyDescent="0.25">
      <c r="A145" s="73"/>
      <c r="D145" s="46" t="s">
        <v>43</v>
      </c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</row>
    <row r="146" spans="1:21" ht="12.75" x14ac:dyDescent="0.25">
      <c r="A146" s="73"/>
      <c r="D146" s="46" t="s">
        <v>43</v>
      </c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</row>
    <row r="147" spans="1:21" ht="12.75" x14ac:dyDescent="0.25">
      <c r="A147" s="73"/>
      <c r="D147" s="46" t="s">
        <v>43</v>
      </c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</row>
    <row r="148" spans="1:21" ht="12.75" x14ac:dyDescent="0.25">
      <c r="A148" s="73"/>
      <c r="D148" s="46" t="s">
        <v>43</v>
      </c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</row>
  </sheetData>
  <mergeCells count="7">
    <mergeCell ref="A2:A10"/>
    <mergeCell ref="E34:E39"/>
    <mergeCell ref="E28:E33"/>
    <mergeCell ref="E15:H15"/>
    <mergeCell ref="J26:K26"/>
    <mergeCell ref="A11:A12"/>
    <mergeCell ref="A13:A14"/>
  </mergeCells>
  <conditionalFormatting sqref="G52:H52 G56:H56 G82:H82 G62:H63">
    <cfRule type="cellIs" dxfId="2" priority="3" operator="equal">
      <formula>TRUE</formula>
    </cfRule>
  </conditionalFormatting>
  <conditionalFormatting sqref="G52:H52 G56:H56 G82:H82 G62:H63">
    <cfRule type="cellIs" dxfId="1" priority="2" operator="equal">
      <formula>FALSE</formula>
    </cfRule>
  </conditionalFormatting>
  <conditionalFormatting sqref="G57:H57">
    <cfRule type="cellIs" dxfId="0" priority="1" operator="equal">
      <formula>""</formula>
    </cfRule>
  </conditionalFormatting>
  <hyperlinks>
    <hyperlink ref="F8" r:id="rId1" display="https://www.mouser.co.uk/ProductDetail/KEMET/C317C300J5G5TA?qs=b8KOIaRqXtdsFXPxXiN2GA%3D%3D"/>
    <hyperlink ref="F3" r:id="rId2" display="https://www.mouser.co.uk/ProductDetail/Ohmite/SM108033006FE?qs=sGAEpiMZZMsPqMdJzcrNwsJljJEG6Yukcxhr%252BDB3b%252B8%3D"/>
    <hyperlink ref="F4" r:id="rId3" display="https://www.mouser.co.uk/ProductDetail/YAGEO/MFR-25FBF52-45K3?qs=sGAEpiMZZMsPqMdJzcrNwvki5I7GwxKeE3xxvbKgyM0%3D"/>
    <hyperlink ref="C4" r:id="rId4"/>
    <hyperlink ref="K37" display="https://www.aliexpress.com/item/1005004279932436.html?pdp_npi=4%40dis%21GBP%21%EF%BF%A11.33%21%EF%BF%A11.33%21%21%2111.82%2111.82%21%40211b619a17401876960841815eaddb%2112000035453859120%21sh%21UK%214911257576%21X&amp;spm=a2g0o.store_pc_allItems_or_groupList.n"/>
    <hyperlink ref="F11" r:id="rId5" display="https://www.mouser.co.uk/ProductDetail/Ohmite/SM108033006FE?qs=sGAEpiMZZMsPqMdJzcrNwsJljJEG6Yukcxhr%252BDB3b%252B8%3D"/>
    <hyperlink ref="C11" r:id="rId6"/>
    <hyperlink ref="C13" r:id="rId7"/>
    <hyperlink ref="F12" r:id="rId8" display="https://www.mouser.co.uk/ProductDetail/Ohmite/SM108033006FE?qs=sGAEpiMZZMsPqMdJzcrNwsJljJEG6Yukcxhr%252BDB3b%252B8%3D"/>
    <hyperlink ref="C12" r:id="rId9"/>
    <hyperlink ref="L37" display="https://www.aliexpress.com/item/1005004279932436.html?pdp_npi=4%40dis%21GBP%21%EF%BF%A11.33%21%EF%BF%A11.33%21%21%2111.82%2111.82%21%40211b619a17401876960841815eaddb%2112000035453859120%21sh%21UK%214911257576%21X&amp;spm=a2g0o.store_pc_allItems_or_groupList.n"/>
  </hyperlinks>
  <pageMargins left="0.7" right="0.7" top="0.75" bottom="0.75" header="0.3" footer="0.3"/>
  <pageSetup paperSize="9" orientation="portrait" r:id="rId10"/>
  <drawing r:id="rId1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H21"/>
  <sheetViews>
    <sheetView topLeftCell="A14" workbookViewId="0">
      <selection activeCell="F23" sqref="F23"/>
    </sheetView>
  </sheetViews>
  <sheetFormatPr defaultRowHeight="15" x14ac:dyDescent="0.25"/>
  <cols>
    <col min="3" max="3" width="24.7109375" customWidth="1"/>
    <col min="8" max="8" width="11.7109375" bestFit="1" customWidth="1"/>
  </cols>
  <sheetData>
    <row r="2" spans="1:8" x14ac:dyDescent="0.25">
      <c r="A2" s="140" t="s">
        <v>171</v>
      </c>
      <c r="G2" t="s">
        <v>172</v>
      </c>
      <c r="H2">
        <v>64</v>
      </c>
    </row>
    <row r="3" spans="1:8" ht="21.75" x14ac:dyDescent="0.3">
      <c r="G3" t="s">
        <v>173</v>
      </c>
      <c r="H3" s="139">
        <v>39</v>
      </c>
    </row>
    <row r="8" spans="1:8" x14ac:dyDescent="0.25">
      <c r="C8" t="s">
        <v>195</v>
      </c>
    </row>
    <row r="9" spans="1:8" x14ac:dyDescent="0.25">
      <c r="C9" t="s">
        <v>196</v>
      </c>
      <c r="D9">
        <v>0.17</v>
      </c>
      <c r="E9" t="s">
        <v>199</v>
      </c>
    </row>
    <row r="10" spans="1:8" x14ac:dyDescent="0.25">
      <c r="C10" t="s">
        <v>197</v>
      </c>
      <c r="D10">
        <v>1</v>
      </c>
      <c r="E10" t="s">
        <v>199</v>
      </c>
    </row>
    <row r="11" spans="1:8" x14ac:dyDescent="0.25">
      <c r="C11" t="s">
        <v>194</v>
      </c>
      <c r="D11">
        <f>POWER(D9/2, 2)*PI()*D10</f>
        <v>2.2698006922186261E-2</v>
      </c>
      <c r="E11" t="s">
        <v>198</v>
      </c>
    </row>
    <row r="12" spans="1:8" x14ac:dyDescent="0.25">
      <c r="C12" t="s">
        <v>200</v>
      </c>
      <c r="D12">
        <v>870</v>
      </c>
      <c r="E12" t="s">
        <v>201</v>
      </c>
    </row>
    <row r="13" spans="1:8" x14ac:dyDescent="0.25">
      <c r="C13" t="s">
        <v>203</v>
      </c>
      <c r="D13">
        <f>D12*D11</f>
        <v>19.747266022302046</v>
      </c>
    </row>
    <row r="14" spans="1:8" x14ac:dyDescent="0.25">
      <c r="C14" t="s">
        <v>62</v>
      </c>
      <c r="D14">
        <f>4</f>
        <v>4</v>
      </c>
    </row>
    <row r="15" spans="1:8" x14ac:dyDescent="0.25">
      <c r="C15" t="s">
        <v>202</v>
      </c>
      <c r="D15">
        <f>(D13*9.81)*POWER(D10, 2)/2</f>
        <v>96.860339839391543</v>
      </c>
    </row>
    <row r="16" spans="1:8" x14ac:dyDescent="0.25">
      <c r="C16" t="s">
        <v>204</v>
      </c>
      <c r="D16">
        <f>0.154</f>
        <v>0.154</v>
      </c>
    </row>
    <row r="17" spans="3:5" x14ac:dyDescent="0.25">
      <c r="C17" t="s">
        <v>205</v>
      </c>
      <c r="D17">
        <f>D15/D16</f>
        <v>628.96324571033472</v>
      </c>
    </row>
    <row r="18" spans="3:5" x14ac:dyDescent="0.25">
      <c r="C18" t="s">
        <v>206</v>
      </c>
      <c r="D18">
        <f>D17*D14</f>
        <v>2515.8529828413389</v>
      </c>
      <c r="E18" t="s">
        <v>207</v>
      </c>
    </row>
    <row r="19" spans="3:5" x14ac:dyDescent="0.25">
      <c r="C19" t="s">
        <v>208</v>
      </c>
      <c r="D19" s="152">
        <v>70000000</v>
      </c>
    </row>
    <row r="20" spans="3:5" x14ac:dyDescent="0.25">
      <c r="C20" t="s">
        <v>211</v>
      </c>
      <c r="D20" s="152">
        <f>D18/D19</f>
        <v>3.5940756897733412E-5</v>
      </c>
      <c r="E20" t="s">
        <v>209</v>
      </c>
    </row>
    <row r="21" spans="3:5" x14ac:dyDescent="0.25">
      <c r="C21" t="s">
        <v>210</v>
      </c>
      <c r="D21" s="152">
        <f>SQRT(D20/PI())*2</f>
        <v>6.7647019852989272E-3</v>
      </c>
    </row>
  </sheetData>
  <hyperlinks>
    <hyperlink ref="A2" r:id="rId1"/>
  </hyperlinks>
  <pageMargins left="0.7" right="0.7" top="0.75" bottom="0.75" header="0.3" footer="0.3"/>
  <pageSetup paperSize="9" orientation="portrait"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A4"/>
  <sheetViews>
    <sheetView workbookViewId="0">
      <selection activeCell="A3" sqref="A3:A4"/>
    </sheetView>
  </sheetViews>
  <sheetFormatPr defaultRowHeight="15" x14ac:dyDescent="0.25"/>
  <sheetData>
    <row r="3" spans="1:1" x14ac:dyDescent="0.25">
      <c r="A3" s="140" t="s">
        <v>175</v>
      </c>
    </row>
    <row r="4" spans="1:1" x14ac:dyDescent="0.25">
      <c r="A4" t="s">
        <v>176</v>
      </c>
    </row>
  </sheetData>
  <hyperlinks>
    <hyperlink ref="A3" r:id="rId1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0"/>
  <sheetViews>
    <sheetView workbookViewId="0">
      <selection activeCell="C5" sqref="C5"/>
    </sheetView>
  </sheetViews>
  <sheetFormatPr defaultRowHeight="15" x14ac:dyDescent="0.25"/>
  <cols>
    <col min="1" max="1" width="15.42578125" customWidth="1"/>
    <col min="2" max="2" width="28" customWidth="1"/>
    <col min="3" max="3" width="68.28515625" customWidth="1"/>
  </cols>
  <sheetData>
    <row r="1" spans="1:3" x14ac:dyDescent="0.25">
      <c r="A1" s="158" t="s">
        <v>518</v>
      </c>
      <c r="B1" s="158"/>
      <c r="C1" s="158"/>
    </row>
    <row r="2" spans="1:3" x14ac:dyDescent="0.25">
      <c r="A2" s="159" t="s">
        <v>509</v>
      </c>
      <c r="B2" s="160"/>
      <c r="C2" s="160" t="s">
        <v>508</v>
      </c>
    </row>
    <row r="3" spans="1:3" x14ac:dyDescent="0.25">
      <c r="A3" s="159"/>
      <c r="B3" s="160"/>
      <c r="C3" s="160" t="s">
        <v>510</v>
      </c>
    </row>
    <row r="4" spans="1:3" x14ac:dyDescent="0.25">
      <c r="A4" s="159" t="s">
        <v>512</v>
      </c>
      <c r="B4" s="160"/>
      <c r="C4" s="161" t="s">
        <v>511</v>
      </c>
    </row>
    <row r="5" spans="1:3" ht="25.5" x14ac:dyDescent="0.25">
      <c r="A5" s="159" t="s">
        <v>514</v>
      </c>
      <c r="B5" s="160"/>
      <c r="C5" s="161" t="s">
        <v>513</v>
      </c>
    </row>
    <row r="6" spans="1:3" ht="21.75" customHeight="1" x14ac:dyDescent="0.25">
      <c r="A6" s="159" t="s">
        <v>515</v>
      </c>
      <c r="B6" s="160"/>
      <c r="C6" s="161" t="s">
        <v>516</v>
      </c>
    </row>
    <row r="7" spans="1:3" x14ac:dyDescent="0.25">
      <c r="A7" s="158" t="s">
        <v>519</v>
      </c>
      <c r="B7" s="158"/>
      <c r="C7" s="162" t="s">
        <v>517</v>
      </c>
    </row>
    <row r="8" spans="1:3" x14ac:dyDescent="0.25">
      <c r="A8" s="158"/>
      <c r="B8" s="158"/>
      <c r="C8" s="158"/>
    </row>
    <row r="9" spans="1:3" x14ac:dyDescent="0.25">
      <c r="A9" s="158"/>
      <c r="B9" s="158"/>
      <c r="C9" s="158"/>
    </row>
    <row r="10" spans="1:3" x14ac:dyDescent="0.25">
      <c r="A10" s="158"/>
      <c r="B10" s="158"/>
      <c r="C10" s="158"/>
    </row>
  </sheetData>
  <hyperlinks>
    <hyperlink ref="A2" r:id="rId1"/>
    <hyperlink ref="A5" r:id="rId2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Sheet1</vt:lpstr>
      <vt:lpstr>Core shopping</vt:lpstr>
      <vt:lpstr>High Voltage Feedback</vt:lpstr>
      <vt:lpstr>VillardVessel</vt:lpstr>
      <vt:lpstr>Sheet2</vt:lpstr>
      <vt:lpstr>Sheet3</vt:lpstr>
      <vt:lpstr>Sheet4</vt:lpstr>
      <vt:lpstr>Sheet5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2024-11-04T15:07:21Z</dcterms:created>
  <dcterms:modified xsi:type="dcterms:W3CDTF">2026-02-01T13:56:58Z</dcterms:modified>
</cp:coreProperties>
</file>