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5045" windowHeight="6840"/>
  </bookViews>
  <sheets>
    <sheet name="Sheet1" sheetId="1" r:id="rId1"/>
    <sheet name="Core shopping" sheetId="2" r:id="rId2"/>
    <sheet name="High Voltage Feedback" sheetId="3" r:id="rId3"/>
    <sheet name="VillardVessel" sheetId="4" r:id="rId4"/>
    <sheet name="Sheet2" sheetId="5" r:id="rId5"/>
    <sheet name="Sheet3" sheetId="6" r:id="rId6"/>
    <sheet name="Sheet4" sheetId="7" r:id="rId7"/>
    <sheet name="Sheet5" sheetId="8" r:id="rId8"/>
  </sheets>
  <calcPr calcId="144525"/>
</workbook>
</file>

<file path=xl/calcChain.xml><?xml version="1.0" encoding="utf-8"?>
<calcChain xmlns="http://schemas.openxmlformats.org/spreadsheetml/2006/main">
  <c r="T150" i="1" l="1"/>
  <c r="T145" i="1"/>
  <c r="D21" i="4" l="1"/>
  <c r="D20" i="4"/>
  <c r="D17" i="4"/>
  <c r="D18" i="4" s="1"/>
  <c r="D16" i="4"/>
  <c r="D15" i="4"/>
  <c r="D14" i="4"/>
  <c r="D13" i="4"/>
  <c r="D11" i="4"/>
  <c r="L31" i="3" l="1"/>
  <c r="L33" i="3"/>
  <c r="L34" i="3" s="1"/>
  <c r="L35" i="3"/>
  <c r="L36" i="3" s="1"/>
  <c r="R12" i="3" l="1"/>
  <c r="S12" i="3" s="1"/>
  <c r="S11" i="3"/>
  <c r="S13" i="3"/>
  <c r="K43" i="3"/>
  <c r="K31" i="3"/>
  <c r="K35" i="3"/>
  <c r="H28" i="3"/>
  <c r="H47" i="3"/>
  <c r="H48" i="3" s="1"/>
  <c r="G47" i="3"/>
  <c r="G48" i="3" s="1"/>
  <c r="G52" i="3" s="1"/>
  <c r="G28" i="3"/>
  <c r="H60" i="3"/>
  <c r="H61" i="3"/>
  <c r="H25" i="3"/>
  <c r="H26" i="3" s="1"/>
  <c r="H27" i="3" s="1"/>
  <c r="H67" i="3"/>
  <c r="H69" i="3"/>
  <c r="H70" i="3" s="1"/>
  <c r="H71" i="3" s="1"/>
  <c r="H77" i="3"/>
  <c r="G67" i="3"/>
  <c r="G77" i="3"/>
  <c r="G69" i="3"/>
  <c r="S3" i="3"/>
  <c r="H23" i="3"/>
  <c r="H34" i="3" s="1"/>
  <c r="H43" i="3"/>
  <c r="H40" i="3" s="1"/>
  <c r="H44" i="3"/>
  <c r="H45" i="3" s="1"/>
  <c r="H49" i="3"/>
  <c r="H50" i="3" s="1"/>
  <c r="G61" i="3"/>
  <c r="G60" i="3"/>
  <c r="G49" i="3"/>
  <c r="G44" i="3"/>
  <c r="G43" i="3"/>
  <c r="G41" i="3" s="1"/>
  <c r="G25" i="3"/>
  <c r="G26" i="3" s="1"/>
  <c r="G27" i="3" s="1"/>
  <c r="G23" i="3"/>
  <c r="G34" i="3" l="1"/>
  <c r="G36" i="3" s="1"/>
  <c r="G76" i="3" s="1"/>
  <c r="H57" i="3"/>
  <c r="H75" i="3"/>
  <c r="H74" i="3" s="1"/>
  <c r="H72" i="3"/>
  <c r="K33" i="3"/>
  <c r="H76" i="3"/>
  <c r="H80" i="3" s="1"/>
  <c r="H81" i="3" s="1"/>
  <c r="H52" i="3"/>
  <c r="G70" i="3"/>
  <c r="G71" i="3" s="1"/>
  <c r="G72" i="3" s="1"/>
  <c r="H46" i="3"/>
  <c r="H51" i="3"/>
  <c r="G51" i="3"/>
  <c r="H54" i="3"/>
  <c r="H56" i="3" s="1"/>
  <c r="G40" i="3"/>
  <c r="G50" i="3"/>
  <c r="H41" i="3"/>
  <c r="G45" i="3"/>
  <c r="G46" i="3"/>
  <c r="K34" i="3" l="1"/>
  <c r="K36" i="3"/>
  <c r="H78" i="3"/>
  <c r="H79" i="3" s="1"/>
  <c r="H55" i="3"/>
  <c r="G57" i="3"/>
  <c r="G75" i="3"/>
  <c r="G74" i="3" s="1"/>
  <c r="G55" i="3"/>
  <c r="G59" i="3" s="1"/>
  <c r="G54" i="3"/>
  <c r="G56" i="3" s="1"/>
  <c r="H59" i="3" l="1"/>
  <c r="H58" i="3"/>
  <c r="H62" i="3" s="1"/>
  <c r="G80" i="3"/>
  <c r="G81" i="3" s="1"/>
  <c r="G78" i="3"/>
  <c r="G79" i="3" s="1"/>
  <c r="G58" i="3"/>
  <c r="G62" i="3" s="1"/>
  <c r="G63" i="3"/>
  <c r="H64" i="3" l="1"/>
  <c r="H63" i="3"/>
  <c r="H82" i="3" s="1"/>
  <c r="G82" i="3"/>
  <c r="G64" i="3"/>
</calcChain>
</file>

<file path=xl/sharedStrings.xml><?xml version="1.0" encoding="utf-8"?>
<sst xmlns="http://schemas.openxmlformats.org/spreadsheetml/2006/main" count="1624" uniqueCount="576">
  <si>
    <t>Item #</t>
  </si>
  <si>
    <t>Part Name</t>
  </si>
  <si>
    <t>Part Number</t>
  </si>
  <si>
    <t>Category</t>
  </si>
  <si>
    <t>Quantity Needed</t>
  </si>
  <si>
    <t>Quantity in Stock</t>
  </si>
  <si>
    <t>Description</t>
  </si>
  <si>
    <t>Value/Rating</t>
  </si>
  <si>
    <t>Tolerance</t>
  </si>
  <si>
    <t>Voltage Rating</t>
  </si>
  <si>
    <t>Power Rating</t>
  </si>
  <si>
    <t>Package/Size</t>
  </si>
  <si>
    <t>Supplier</t>
  </si>
  <si>
    <t>Supplier Part Number</t>
  </si>
  <si>
    <t>Unit Price</t>
  </si>
  <si>
    <t>Total Cost</t>
  </si>
  <si>
    <t>Total cost calculated as Quantity Needed × Unit Price.</t>
  </si>
  <si>
    <t>Lead Time</t>
  </si>
  <si>
    <t>Expected time for delivery from supplier.</t>
  </si>
  <si>
    <t>Notes</t>
  </si>
  <si>
    <t>Any additional notes, like alternatives or special instructions.</t>
  </si>
  <si>
    <t>Subsystem</t>
  </si>
  <si>
    <t>Url</t>
  </si>
  <si>
    <t>zener diode protection, 3v 0.8uA leakage</t>
  </si>
  <si>
    <t>1N4619 BK PBFREE</t>
  </si>
  <si>
    <t>DO-35-2</t>
  </si>
  <si>
    <t>0.25w</t>
  </si>
  <si>
    <t>Thick Film Resistors - Through Hole 300M ohms 1%</t>
  </si>
  <si>
    <t>2.5w</t>
  </si>
  <si>
    <t>250v</t>
  </si>
  <si>
    <t>Multilayer Ceramic Capacitors MLCC - Leaded 50V 1000pF C0G 1% LS=5.08mm</t>
  </si>
  <si>
    <t>50v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</si>
  <si>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</si>
  <si>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RS Stock No.:270-7764</t>
  </si>
  <si>
    <t>RS Stock No.:270-7763</t>
  </si>
  <si>
    <t xml:space="preserve">RS PRO 16Mbps Fibre Optic Transmitter 640 → 670nm, Square Fiber Optic Connector, 13.6 x 11.5 x 9.5mm SUPPORTS toslink </t>
  </si>
  <si>
    <t xml:space="preserve">RS PRO 16Mbps 650nm Fibre Optic Receiver, Square, Fiber Optic Connector SUPPORTS toslink </t>
  </si>
  <si>
    <t>C317C300J5G5TA</t>
  </si>
  <si>
    <t>Multilayer Ceramic Capacitors MLCC - Leaded 50V 30pF C0G 5% LS=5.08mm</t>
  </si>
  <si>
    <t>30pf</t>
  </si>
  <si>
    <t>C322C104J5R5TA</t>
  </si>
  <si>
    <t>Multilayer Ceramic Capacitors MLCC - Leaded 50V 0.1uF X7R 5% LS=5.08mm</t>
  </si>
  <si>
    <t>0.1uf</t>
  </si>
  <si>
    <t xml:space="preserve">‎ </t>
  </si>
  <si>
    <t>1uF</t>
  </si>
  <si>
    <t>Maximum high voltage</t>
  </si>
  <si>
    <t>Minimum high voltage</t>
  </si>
  <si>
    <t>Maximum zener diode leakage current</t>
  </si>
  <si>
    <t>Maximum tap voltage</t>
  </si>
  <si>
    <t>Minimum tap voltage</t>
  </si>
  <si>
    <t>Resistor ratio required</t>
  </si>
  <si>
    <t>X zener leakage current minimum</t>
  </si>
  <si>
    <t>minimum current</t>
  </si>
  <si>
    <t>tolerance</t>
  </si>
  <si>
    <t>voltage rating</t>
  </si>
  <si>
    <t>resistance</t>
  </si>
  <si>
    <t>Rh individual high voltage resistor resistance</t>
  </si>
  <si>
    <t>Rh tolerance percent</t>
  </si>
  <si>
    <t>High volatge resistor Rh</t>
  </si>
  <si>
    <t>Nrh high voltage resistors</t>
  </si>
  <si>
    <t>Nrh x Vrh Total voltage rating</t>
  </si>
  <si>
    <t>Nrh x Vrh / safety factor Operating voltage rating</t>
  </si>
  <si>
    <t>Safety factor</t>
  </si>
  <si>
    <t>Acceptibly large current at minimum high voltage</t>
  </si>
  <si>
    <t>Alter resistance by proportion</t>
  </si>
  <si>
    <t>Low voltage resistor Rl</t>
  </si>
  <si>
    <t>High voltage resistors Acceptible voltage rating</t>
  </si>
  <si>
    <t>Low voltage resistor acceptible voltage rating</t>
  </si>
  <si>
    <t>RL voltage rating</t>
  </si>
  <si>
    <t>RL resistance</t>
  </si>
  <si>
    <t>RL tolerance percent</t>
  </si>
  <si>
    <t>RH total series resistance</t>
  </si>
  <si>
    <t>RH maximum resistance</t>
  </si>
  <si>
    <t>RH minimum resistance</t>
  </si>
  <si>
    <t>Suggested value</t>
  </si>
  <si>
    <t>RL maximum resistance</t>
  </si>
  <si>
    <t>RH tolerance proportion</t>
  </si>
  <si>
    <t>RL minimum resistance</t>
  </si>
  <si>
    <t>Maximum current (at highest high voltage and lowest end of tolerance)</t>
  </si>
  <si>
    <t>Minimum current (at lowest high voltage and highest end of tolerance)</t>
  </si>
  <si>
    <t>Rl power rating</t>
  </si>
  <si>
    <t>Rh power rating</t>
  </si>
  <si>
    <t>P_Rh Maximum power disipation individual high voltage resistor</t>
  </si>
  <si>
    <t>P_RL Maximum power disipation low voltage resistor</t>
  </si>
  <si>
    <t>Rh individual minimum resistance</t>
  </si>
  <si>
    <t>Rh individual maximum resistance</t>
  </si>
  <si>
    <t>Rh power rating acceptible</t>
  </si>
  <si>
    <t>Rh maximum power rating including safety factor</t>
  </si>
  <si>
    <t>Rl power rating acceptible</t>
  </si>
  <si>
    <t>Rl maximum power rating including safety factor</t>
  </si>
  <si>
    <t>Total power loss</t>
  </si>
  <si>
    <t>Resistor part</t>
  </si>
  <si>
    <t>Suitable</t>
  </si>
  <si>
    <t>RN60C1351FB14</t>
  </si>
  <si>
    <t>300v</t>
  </si>
  <si>
    <t>100M</t>
  </si>
  <si>
    <t>MHR0844SA107F70</t>
  </si>
  <si>
    <t>https://www.mouser.co.uk/ProductDetail/Murata-Power-Solutions/MHR0844SA107F70?qs=T3oQrply3y%252Bo2f2KmFIg%2Fg%3D%3D</t>
  </si>
  <si>
    <t>15.8 kV</t>
  </si>
  <si>
    <t>Potential divider calculations</t>
  </si>
  <si>
    <t>Instance name</t>
  </si>
  <si>
    <t>First Stage Voltage Feedback</t>
  </si>
  <si>
    <t>Male Male pin strip</t>
  </si>
  <si>
    <t>Fiber optic transmitter</t>
  </si>
  <si>
    <t>Fiber optic receiver</t>
  </si>
  <si>
    <t>Potential divider lower bias capacitor</t>
  </si>
  <si>
    <t>Potential divider lower leg resistor</t>
  </si>
  <si>
    <t>Potential divider upper leg resistors</t>
  </si>
  <si>
    <t>Zener diode over voltage clamp</t>
  </si>
  <si>
    <t>Period</t>
  </si>
  <si>
    <t>Time taken for V_L to go from maximum to within 0.99 of minimum value</t>
  </si>
  <si>
    <t>N Cycles taken for V_L to go from maximum to within 0.99 of minimum value</t>
  </si>
  <si>
    <t>Time taken for V_L to go from lowest to within 0.99 of maximum value</t>
  </si>
  <si>
    <t>N cycles taken for V_L to go from lowest to within 0.99 of maximum value</t>
  </si>
  <si>
    <t>V_∞min</t>
  </si>
  <si>
    <t>V_∞max</t>
  </si>
  <si>
    <t>Frequency of driver</t>
  </si>
  <si>
    <t>t_99% desired</t>
  </si>
  <si>
    <t>t_99% actual</t>
  </si>
  <si>
    <t>Effective time constant τ for actual capacitor</t>
  </si>
  <si>
    <t>Effective time constant τ desired</t>
  </si>
  <si>
    <t>Actual lower leg capacitance</t>
  </si>
  <si>
    <t>Suggested lower leg capacitance</t>
  </si>
  <si>
    <t>Minimum cycles to rise through full voltage range (limited by energy transformer can transfer to capacitor per cycle)</t>
  </si>
  <si>
    <t>Minimum cycles to fall through full voltage range (limited by output current limiting resistance)</t>
  </si>
  <si>
    <t>Minimum transition time</t>
  </si>
  <si>
    <t>C322C271K2G5TA</t>
  </si>
  <si>
    <t>270pf</t>
  </si>
  <si>
    <t>Lower leg capacitor</t>
  </si>
  <si>
    <t>Metal Film Resistors - Through Hole 27K OHM 1/4W 1%</t>
  </si>
  <si>
    <t>MFR-25FRF52-27K</t>
  </si>
  <si>
    <t>https://www.mouser.co.uk/ProductDetail/YAGEO/MFR-25FRF52-27K?qs=sGAEpiMZZMsPqMdJzcrNwiweiCzxKzWLhyrsT9Ty9ww%3D</t>
  </si>
  <si>
    <t xml:space="preserve">Output Voltage Feedback 200Kv </t>
  </si>
  <si>
    <t>Power dissipated at maximum series resistance and high voltage</t>
  </si>
  <si>
    <t>maximum RL to give high enough current</t>
  </si>
  <si>
    <t>Rh minimum individual voltage rating required</t>
  </si>
  <si>
    <t>Rh actual voltage rating</t>
  </si>
  <si>
    <t>resistance required</t>
  </si>
  <si>
    <t>voltage rating of part</t>
  </si>
  <si>
    <t>n parts required minimum</t>
  </si>
  <si>
    <t>safety factor</t>
  </si>
  <si>
    <t>max voltage</t>
  </si>
  <si>
    <t>desired resistance</t>
  </si>
  <si>
    <t>desired resistance M</t>
  </si>
  <si>
    <t>Composite resistor combination finding</t>
  </si>
  <si>
    <t>voltage across each part</t>
  </si>
  <si>
    <t>power dissipation in each part</t>
  </si>
  <si>
    <t>https://www.aliexpress.com/item/1005004279932436.html?pdp_npi=4%40dis%21GBP%21%EF%BF%A11.33%21%EF%BF%A11.33%21%21%2111.82%2111.82%21%40211b619a17401876960841815eaddb%2112000035453859120%21sh%21UK%214911257576%21X&amp;spm=a2g0o.store_pc_allItems_or_groupList.new_all_items_2007602645286.1005004279932436</t>
  </si>
  <si>
    <t>1G</t>
  </si>
  <si>
    <t>unit price</t>
  </si>
  <si>
    <t>total price</t>
  </si>
  <si>
    <t>part power rating</t>
  </si>
  <si>
    <t>3.5W</t>
  </si>
  <si>
    <t>unit length mm</t>
  </si>
  <si>
    <t>part number</t>
  </si>
  <si>
    <t>HVR82MY5010 1GF (1% version)</t>
  </si>
  <si>
    <t>actual number of parts using</t>
  </si>
  <si>
    <t>HVR82MY5010 1GF</t>
  </si>
  <si>
    <t>Voltage Feedback Board</t>
  </si>
  <si>
    <t>Villard First Stage Potential Divider</t>
  </si>
  <si>
    <t>200KV Villard Output Voltage</t>
  </si>
  <si>
    <t>https://www.aliexpress.com/item/1005004279932436.html?pdp_npi=4%40dis%21GBP%21%EF%BF%A11.33%21%EF%BF%A11.33%21%21%2111.82%2111.82%21%40211b619a17401876960841815eaddb%2112000035453859120%21sh%21UK%214911257576%21X&amp;spm=a2g0o.store_pc_allItems</t>
  </si>
  <si>
    <t>1G ohm</t>
  </si>
  <si>
    <t>25kv</t>
  </si>
  <si>
    <t>3.5w</t>
  </si>
  <si>
    <t>Alibaba: twjohm</t>
  </si>
  <si>
    <t>HVR82MY5010 100MF 1%</t>
  </si>
  <si>
    <t>HVR82MY5010 1GF 1%</t>
  </si>
  <si>
    <t>HVR82MY5010 100MF (1% version)</t>
  </si>
  <si>
    <t>https://www.aliexpress.com/item/1005003776755496.html?spm=a2g0o.cart.0.0.26a938da5L2xoV&amp;mp=1&amp;pdp_npi=5%40dis%21GBP%21GBP%204.08%21GBP%203.73%21%21%21%21%21%40211b612517403184808552682e86dc%2112000027127775987%21ct%21UK%214911257576%21%211%210</t>
  </si>
  <si>
    <t>M2 standoffs kit</t>
  </si>
  <si>
    <t>https://www.trentplastics.co.uk/product/clear-acrylic-tube/</t>
  </si>
  <si>
    <t>200x5x190x1000</t>
  </si>
  <si>
    <t>3mm</t>
  </si>
  <si>
    <t>200K</t>
  </si>
  <si>
    <t>https://www.aliexpress.com/item/1005006754784195.html?spm=a2g0o.cart.0.0.322938daTrlqB9&amp;mp=1&amp;pdp_npi=5%40dis%21GBP%21GBP%204.14%21GBP%204.14%21%21%21%21%21%4021038df617417047619325936ee264%2112000038195597222%21ct%21UK%214911257576%21%211%210</t>
  </si>
  <si>
    <t>https://www.aliexpress.com/item/1005007549969044.html?spm=a2g0o.cart.0.0.322938daTrlqB9&amp;mp=1&amp;pdp_npi=5%40dis%21GBP%21GBP%209.36%21GBP%203.10%21%21%21%21%21%4021038df617417047619325936ee264%2112000041255827313%21ct%21UK%214911257576%21%211%210</t>
  </si>
  <si>
    <t>Include (green)</t>
  </si>
  <si>
    <t>Mouser</t>
  </si>
  <si>
    <t>Power Inductors - SMD 22uH Shld 20% 28A 2.86mOhms AECQ2</t>
  </si>
  <si>
    <t>SER2918H-223KL</t>
  </si>
  <si>
    <t>994-SER2918H-223KL</t>
  </si>
  <si>
    <t>FH-320-NV</t>
  </si>
  <si>
    <t>Fuse Holder Accessories Fuse Holder,Black,5X20 Fuse</t>
  </si>
  <si>
    <t>https://www.mouser.co.uk/ProductDetail/Essentra/FH-320-NV?qs=PzGy0jfpSMtU9GQhdYJRvA%3D%3D</t>
  </si>
  <si>
    <t>144-FH-320-NV</t>
  </si>
  <si>
    <t>https://www.mouser.co.uk/ProductDetail/Wakefield-Thermal/647-25ABPE?qs=1%252ByrAFyf4wEF4vm1j%252Byz0w%3D%3D</t>
  </si>
  <si>
    <t>Heat Sinks High Performance Heat Sink for Vertical Board Mounting for TO-220, 63.5mm Height</t>
  </si>
  <si>
    <t>EKYB101ELL102MM40S</t>
  </si>
  <si>
    <t>Aluminium Electrolytic Capacitors - Radial Leaded 100VDC 1000uF Tol 20% 18x40mm</t>
  </si>
  <si>
    <t>https://www.mouser.co.uk/ProductDetail/Chemi-Con/EKYB101ELL102MM40S?qs=IYueExuAvkrcoErCvSFiXg%3D%3D</t>
  </si>
  <si>
    <t>661-EKYB101E102MM40S</t>
  </si>
  <si>
    <t>1N4148</t>
  </si>
  <si>
    <t>/</t>
  </si>
  <si>
    <t>Mineral oil volume</t>
  </si>
  <si>
    <t>OD tube</t>
  </si>
  <si>
    <t>ID tube</t>
  </si>
  <si>
    <t>Height tube</t>
  </si>
  <si>
    <t>m^3</t>
  </si>
  <si>
    <t>m</t>
  </si>
  <si>
    <t>Density</t>
  </si>
  <si>
    <t>kg/m^3</t>
  </si>
  <si>
    <t>Bending moment about base when on side filled supported at base</t>
  </si>
  <si>
    <t>Mass of mineral oil</t>
  </si>
  <si>
    <t>Minimum distance between vessel base bolts</t>
  </si>
  <si>
    <t>Maximum bending moment on bolt</t>
  </si>
  <si>
    <t>Required bolt tensile strength</t>
  </si>
  <si>
    <t>N</t>
  </si>
  <si>
    <t>σ_nylon</t>
  </si>
  <si>
    <t>m^2</t>
  </si>
  <si>
    <t>Required Tensile stress diameter</t>
  </si>
  <si>
    <t>Required bolt tensile stress area</t>
  </si>
  <si>
    <t>HVPSController2</t>
  </si>
  <si>
    <t>Reference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</si>
  <si>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</si>
  <si>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</si>
  <si>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</si>
  <si>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</si>
  <si>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</si>
  <si>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</si>
  <si>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</si>
  <si>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</si>
  <si>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</si>
  <si>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</si>
  <si>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</si>
  <si>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</si>
  <si>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</si>
  <si>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</si>
  <si>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</si>
  <si>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</si>
  <si>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</si>
  <si>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</si>
  <si>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</si>
  <si>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</si>
  <si>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</si>
  <si>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</si>
  <si>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</si>
  <si>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</si>
  <si>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</si>
  <si>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</si>
  <si>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</si>
  <si>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</si>
  <si>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</si>
  <si>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</si>
  <si>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</si>
  <si>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</si>
  <si>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</si>
  <si>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</si>
  <si>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</si>
  <si>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</si>
  <si>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</si>
  <si>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</si>
  <si>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</si>
  <si>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</si>
  <si>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</si>
  <si>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</si>
  <si>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</si>
  <si>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</si>
  <si>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</si>
  <si>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</si>
  <si>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</si>
  <si>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</si>
  <si>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</si>
  <si>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</si>
  <si>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</si>
  <si>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</si>
  <si>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</si>
  <si>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</si>
  <si>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</si>
  <si>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</si>
  <si>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</si>
  <si>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</si>
  <si>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</si>
  <si>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</si>
  <si>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</si>
  <si>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</si>
  <si>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</si>
  <si>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</si>
  <si>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</si>
  <si>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</si>
  <si>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</si>
  <si>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</si>
  <si>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</si>
  <si>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</si>
  <si>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</si>
  <si>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</si>
  <si>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</si>
  <si>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</si>
  <si>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</si>
  <si>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</si>
  <si>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</si>
  <si>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</si>
  <si>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</si>
  <si>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</si>
  <si>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</si>
  <si>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</si>
  <si>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</si>
  <si>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</si>
  <si>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</si>
  <si>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</si>
  <si>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</si>
  <si>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</si>
  <si>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</si>
  <si>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</si>
  <si>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</si>
  <si>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</si>
  <si>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</si>
  <si>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</si>
  <si>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F1</t>
  </si>
  <si>
    <t>H1</t>
  </si>
  <si>
    <t>H2</t>
  </si>
  <si>
    <t>H3</t>
  </si>
  <si>
    <t>H4</t>
  </si>
  <si>
    <t>J11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</si>
  <si>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</si>
  <si>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</si>
  <si>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</si>
  <si>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</si>
  <si>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</si>
  <si>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</si>
  <si>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</si>
  <si>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</si>
  <si>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</si>
  <si>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</si>
  <si>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</si>
  <si>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</si>
  <si>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</si>
  <si>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</si>
  <si>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</si>
  <si>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</si>
  <si>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</si>
  <si>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</si>
  <si>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</si>
  <si>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</si>
  <si>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</si>
  <si>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</si>
  <si>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</si>
  <si>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</si>
  <si>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</si>
  <si>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K1</t>
  </si>
  <si>
    <t>K2</t>
  </si>
  <si>
    <t>K3</t>
  </si>
  <si>
    <t>L1</t>
  </si>
  <si>
    <t>L2</t>
  </si>
  <si>
    <t>L3</t>
  </si>
  <si>
    <t>L4</t>
  </si>
  <si>
    <t>OR1</t>
  </si>
  <si>
    <t>OR2</t>
  </si>
  <si>
    <t>OR3</t>
  </si>
  <si>
    <t>OR4</t>
  </si>
  <si>
    <t>OR5</t>
  </si>
  <si>
    <t>OT1</t>
  </si>
  <si>
    <t>OT2</t>
  </si>
  <si>
    <t>OT3</t>
  </si>
  <si>
    <t>OT4</t>
  </si>
  <si>
    <t>OT5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</si>
  <si>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</si>
  <si>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</si>
  <si>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</si>
  <si>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</si>
  <si>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</si>
  <si>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</si>
  <si>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</si>
  <si>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</si>
  <si>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</si>
  <si>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</si>
  <si>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</si>
  <si>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</si>
  <si>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</si>
  <si>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</si>
  <si>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</si>
  <si>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</si>
  <si>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</si>
  <si>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</si>
  <si>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</si>
  <si>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</si>
  <si>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</si>
  <si>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</si>
  <si>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</si>
  <si>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</si>
  <si>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</si>
  <si>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</si>
  <si>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</si>
  <si>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</si>
  <si>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</si>
  <si>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</si>
  <si>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</si>
  <si>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</si>
  <si>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</si>
  <si>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</si>
  <si>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</si>
  <si>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RV1</t>
  </si>
  <si>
    <t>RV2</t>
  </si>
  <si>
    <t>RV3</t>
  </si>
  <si>
    <t>S1</t>
  </si>
  <si>
    <t>S2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</si>
  <si>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</si>
  <si>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</si>
  <si>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</si>
  <si>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</si>
  <si>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</si>
  <si>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</si>
  <si>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</si>
  <si>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</si>
  <si>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</si>
  <si>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</si>
  <si>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</si>
  <si>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</si>
  <si>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</si>
  <si>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</si>
  <si>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</si>
  <si>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</si>
  <si>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</si>
  <si>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</si>
  <si>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</si>
  <si>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</si>
  <si>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</si>
  <si>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</si>
  <si>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</si>
  <si>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</si>
  <si>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</si>
  <si>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</si>
  <si>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</si>
  <si>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</si>
  <si>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 xml:space="preserve">1000uF </t>
  </si>
  <si>
    <t>100v</t>
  </si>
  <si>
    <t>18x40mm</t>
  </si>
  <si>
    <t>100W33RJ</t>
  </si>
  <si>
    <t>https://www.aliexpress.com/item/1005003628962029.html?spm=a2g0o.cart.0.0.777738daA2R03f&amp;mp=1&amp;pdp_npi=6%40dis%21GBP%21GBP%201.31%21GBP%201.31%21%21GBP%201.31%21%21%21%40210385db17695734898988383e20dc%2112000031209925049%21ct%21UK%214911257576%21%211%210%21&amp;pdp_ext_f=%7B%22cart2PdpParams%22%3A%7B%22pdpBusinessMode%22%3A%22retail%22%7D%7D</t>
  </si>
  <si>
    <t>?</t>
  </si>
  <si>
    <t>100W high power winding resistor 33R Ohm 5% aluminum shell resistor</t>
  </si>
  <si>
    <t>100w</t>
  </si>
  <si>
    <t>33Ω</t>
  </si>
  <si>
    <t>twjohm</t>
  </si>
  <si>
    <t>￡1.31</t>
  </si>
  <si>
    <t>100nF</t>
  </si>
  <si>
    <t>https://www.aliexpress.com/item/1005002290441861.html?spm=a2g0o.productlist.main.3.1c6e8rMv8rMvXl&amp;algo_pvid=92e603b0-9e25-4afc-b559-70c7fd8f94e8&amp;algo_exp_id=92e603b0-9e25-4afc-b559-70c7fd8f94e8-2&amp;pdp_ext_f=%7B%22order%22%3A%22733%22%2C%22spu_best_type%22%3A%22price%22%2C%22eval%22%3A%221%22%2C%22fromPage%22%3A%22search%22%7D&amp;pdp_npi=6%40dis%21GBP%210.88%210.88%21%21%211.18%211.18%21%402103956b17695741035686648e29ea%2112000020462004307%21sea%21UK%214911257576%21X%211%210%21n_tag%3A-29919%3Bd%3A38df781%3Bm03_new_user%3A-29895&amp;curPageLogUid=F0H9fgmOu6Th&amp;utparam-url=scene%3Asearch%7Cquery_from%3A%7Cx_object_id%3A1005002290441861%7C_p_origin_prod%3A</t>
  </si>
  <si>
    <t>Multilayer ceramic capacitor 50V 100nF capacitor</t>
  </si>
  <si>
    <t>Electronkit Official Store</t>
  </si>
  <si>
    <t>https://www.aliexpress.com/item/1005002290441861.html?spm=a2g0o.cart.0.0.540f38daATDCsh&amp;mp=1&amp;pdp_npi=6%40dis%21GBP%21GBP%200.88%21GBP%200.88%21%21GBP%200.88%21%21%21%40211b876e17695746980225415e1e12%2112000019940256022%21ct%21UK%214911257576%21%211%210%21</t>
  </si>
  <si>
    <t>Multilayer ceramic capacitor 50V 30pF capacitor</t>
  </si>
  <si>
    <t>300 30pF</t>
  </si>
  <si>
    <t>104 100nF</t>
  </si>
  <si>
    <t>104 100nF MMLC capacitor</t>
  </si>
  <si>
    <t>300 30oF NNKC capacitor</t>
  </si>
  <si>
    <t>30pF</t>
  </si>
  <si>
    <t>1000uF</t>
  </si>
  <si>
    <t>ECA-1JM102</t>
  </si>
  <si>
    <t>https://www.mouser.co.uk/ProductDetail/Panasonic/ECA-1JM102?qs=EZwXiknEaqTHw%252BmBjjudqg%3D%3D</t>
  </si>
  <si>
    <t>Aluminium Electrolytic Capacitors - Radial Leaded 1000uF 63V</t>
  </si>
  <si>
    <t>63v</t>
  </si>
  <si>
    <t>667-ECA-1JM102</t>
  </si>
  <si>
    <t>UPW1E471MPD6TA</t>
  </si>
  <si>
    <t>https://www.mouser.co.uk/ProductDetail/Nichicon/UPW1E471MPD6TA?qs=%252Bj3bNAeznFUL2kyej8zyGg%3D%3D</t>
  </si>
  <si>
    <t>Aluminium Electrolytic Capacitors - Radial Leaded 470uF 20% 25V AEC-Q200</t>
  </si>
  <si>
    <t>470uF</t>
  </si>
  <si>
    <t>25v</t>
  </si>
  <si>
    <t>647-UPW1E471MPD6TA</t>
  </si>
  <si>
    <t>Multilayer Ceramic Capacitors MLCC - Leaded 100V 0.1uF X7R Long Leads 1"min 10% A 581-SR211C104KARTR1</t>
  </si>
  <si>
    <t>SR211C104KAATR1</t>
  </si>
  <si>
    <t>https://www.mouser.co.uk/ProductDetail/KYOCERA-AVX/SR211C104KAATR1?qs=sGAEpiMZZMvsSlwiRhF8qvcZFLKdtpl4z1Dx0c%252BnWlY%3D</t>
  </si>
  <si>
    <t>581-SR211C104KAATR1</t>
  </si>
  <si>
    <t>K103K15X7RF5TK2</t>
  </si>
  <si>
    <t>https://www.mouser.co.uk/ProductDetail/Vishay-BC-Components/K103K15X7RF5TK2?qs=sYfpZ29HcUSZbtKxC8Ci1g%3D%3D</t>
  </si>
  <si>
    <t>Multilayer Ceramic Capacitors MLCC - Leaded .1LS .01UF 50V 10%</t>
  </si>
  <si>
    <t>10nF</t>
  </si>
  <si>
    <t>594-K103K15X7RF5TK2</t>
  </si>
  <si>
    <t>810-FK16X7R1C106K</t>
  </si>
  <si>
    <t>FK16X7R1C106K</t>
  </si>
  <si>
    <t>Multilayer Ceramic Capacitors MLCC - Leaded SUGGESTED ALTERNATE 810-FG16X7R1E106KRT6</t>
  </si>
  <si>
    <t>10uF</t>
  </si>
  <si>
    <t>16v</t>
  </si>
  <si>
    <t>https://www.mouser.co.uk/ProductDetail/TDK/FK16X7R1C106K?qs=zLBlM7QTTNo2fF6bge9DGw%3D%3D</t>
  </si>
  <si>
    <t>https://www.aliexpress.com/item/1005003650061687.html?spm=a2g0o.productlist.main.7.8da5i7Eji7EjaH&amp;algo_pvid=27bd90ce-e53b-4695-a722-6010b3763d6c&amp;algo_exp_id=27bd90ce-e53b-4695-a722-6010b3763d6c-6&amp;pdp_ext_f=%7B%22order%22%3A%22449%22%2C%22spu_best_type%22%3A%22price%22%2C%22eval%22%3A%221%22%2C%22fromPage%22%3A%22search%22%7D&amp;pdp_npi=6%40dis%21GBP%211.38%211.38%21%21%211.85%211.85%21%40211b612817695996300002755e4c81%2112000046162561254%21sea%21UK%214911257576%21X%211%210%21n_tag%3A-29919%3Bd%3A38df781%3Bm03_new_user%3A-29895&amp;curPageLogUid=s6WtrPCaExrJ&amp;utparam-url=scene%3Asearch%7Cquery_from%3A%7Cx_object_id%3A1005003650061687%7C_p_origin_prod%3A#nav-specification</t>
  </si>
  <si>
    <t>68uH</t>
  </si>
  <si>
    <t>Keshy 5PCS 5026 Toroid Inductor 3A Winding Magnetic Inductance 68uH Inductor</t>
  </si>
  <si>
    <t>3A</t>
  </si>
  <si>
    <t>Aliexpress</t>
  </si>
  <si>
    <t>https://www.mouser.co.uk/ProductDetail/Coilcraft/SER2918H-223KL?qs=zCSbvcPd3pbugGZO%2F8SqDw%3D%3D</t>
  </si>
  <si>
    <t>28A</t>
  </si>
  <si>
    <t>Multilayer Ceramic Capacitors MLCC - Leaded RAD 100V 1uF X7R 10% LS:5mm</t>
  </si>
  <si>
    <t>FG26X7R2A105KNT06</t>
  </si>
  <si>
    <t>https://www.mouser.co.uk/ProductDetail/TDK/FG26X7R2A105KNT06?qs=qf2ddTMq67XO0I1H0ed67A%3D%3D</t>
  </si>
  <si>
    <t>810-FG26X7R2A105KNT6</t>
  </si>
  <si>
    <t>1n4148</t>
  </si>
  <si>
    <t>Zener Diodes 3.0 Volt 0.5W 5%</t>
  </si>
  <si>
    <t>https://www.mouser.co.uk/ProductDetail/Vishay-Semiconductors/BZX55C3V0-TR?qs=WLTup5mM6hj0XdtrqBFixA%3D%3D3D</t>
  </si>
  <si>
    <t>BZX55C3V0-TR</t>
  </si>
  <si>
    <t>78-BZX55C3V0</t>
  </si>
  <si>
    <t>SL155C472MAB</t>
  </si>
  <si>
    <t>https://www.mouser.co.uk/ProductDetail/KYOCERA-AVX/SL155C472MAB?qs=sGAEpiMZZMvsSlwiRhF8qqaXG%2FqyeHNlBnneqO%252BRH5mxkDSvEuox%252BQ%3D%3D</t>
  </si>
  <si>
    <t>Multilayer Ceramic Capacitors MLCC - Leaded SKYCAPS</t>
  </si>
  <si>
    <t>4.7uF</t>
  </si>
  <si>
    <t>581-SL155C472MAB</t>
  </si>
  <si>
    <t>1N5822</t>
  </si>
  <si>
    <t>Schottky Diodes &amp; Rectifiers Vr/40V Io/3A BULK</t>
  </si>
  <si>
    <t>https://www.mouser.co.uk/ProductDetail/STMicroelectronics/1N5822?qs=JV7lzlMm3yJ50hlrGV6%252BnQ%3D%3D</t>
  </si>
  <si>
    <t>511-1N5822</t>
  </si>
  <si>
    <t>1N4149</t>
  </si>
  <si>
    <t>Small Signal Switching Diodes Hi Conductance Fast</t>
  </si>
  <si>
    <t>512-1N4149</t>
  </si>
  <si>
    <t>https://www.mouser.co.uk/ProductDetail/onsemi/1N4149?qs=i4Fj9T%2FoRm%2FvLHm7C0TH8w%3D%3D</t>
  </si>
  <si>
    <t>MUR420 R0</t>
  </si>
  <si>
    <t>https://www.mouser.co.uk/ProductDetail/Taiwan-Semiconductor/MUR420-R0?qs=dv9KMQQLqv0Mtply6g8TSg%3D%3D</t>
  </si>
  <si>
    <t>Rectifiers 25ns 4A 200V Ultra F ast Recovery Rect</t>
  </si>
  <si>
    <t>821-MUR420R0</t>
  </si>
  <si>
    <t>647-25ABPE</t>
  </si>
  <si>
    <t>567-647-25ABPE</t>
  </si>
  <si>
    <t>9-55556-0</t>
  </si>
  <si>
    <t>https://eu.mouser.com/ProductDetail/TE-Connectivity/9-55556-0?qs=mJctyx65val65L6gnKaTLA%3D%3D&amp;countryCode=GB&amp;currencyCode=GBP</t>
  </si>
  <si>
    <t>214786-E</t>
  </si>
  <si>
    <t>1-55323-0</t>
  </si>
  <si>
    <t>https://www.mouser.co.uk/ProductDetail/TE-Connectivity/1-55323-0?qs=ZDXmSm13593kmHLkU9RFpw%3D%3D</t>
  </si>
  <si>
    <t>5055323-5</t>
  </si>
  <si>
    <t>https://www.mouser.co.uk/ProductDetail/TE-Connectivity/5055323-5?qs=Y2IUIqUeZibHL7okQXpZvA%3D%3D</t>
  </si>
  <si>
    <t>https://www.aliexpress.com/item/1005008932232226.html?spm=a2g0o.imagesearchproductlist.main.8.4734qECIqECI2O&amp;algo_pvid=9f160064-ec10-40a7-a58f-470970fdb23b&amp;algo_exp_id=9f160064-ec10-40a7-a58f-470970fdb23b&amp;pdp_ext_f=%7B%22order%22%3A%22-1%22%2C%22fromPage%22%3A%22search%22%7D&amp;pdp_npi=6%40dis%21GBP%213.89%213.89%21%21%2136.19%2136.19%21%40211b441e17696825341045042ecbb2%2112000047255165097%21sea%21UK%214911257576%21X%211%210%21n_tag%3A-29919%3Bd%3A38df781%3Bm03_new_user%3A-29895&amp;curPageLogUid=41CHMsdYaM7F&amp;utparam-url=scene%3Aimage_search%7Cquery_from%3Apc_web_image_search%7Cx_object_id%3A1005008932232226%7C_p_origin_prod%3A</t>
  </si>
  <si>
    <t>M4 PCB Screw Terminal 6 Pin in PCB Welding Terminal P/N 7798</t>
  </si>
  <si>
    <t>5PCS PCB 5 Solder Terminals / M6 high current terminal 120A Circuit Board Hardware PCB-5 M6 Connector</t>
  </si>
  <si>
    <t>Screw Terminals</t>
  </si>
  <si>
    <t>https://www.aliexpress.com/item/1005009170628482.html?spm=a2g0o.detail.pcDetailTopMoreOtherSeller.2.b8ea57q857q8Dj&amp;gps-id=pcDetailTopMoreOtherSeller&amp;scm=1007.40050.354490.0&amp;scm_id=1007.40050.354490.0&amp;scm-url=1007.40050.354490.0&amp;pvid=aac114a1-0c60-44eb-8fac-760693bcfba4&amp;_t=gps-id:pcDetailTopMoreOtherSeller,scm-url:1007.40050.354490.0,pvid:aac114a1-0c60-44eb-8fac-760693bcfba4,tpp_buckets:668%232846%238107%231934&amp;pdp_ext_f=%7B%22order%22%3A%223%22%2C%22eval%22%3A%221%22%2C%22sceneId%22%3A%2230050%22%2C%22fromPage%22%3A%22recommend%22%7D&amp;pdp_npi=6%40dis%21GBP%214.43%214.12%21%21%215.94%215.52%21%402103864c17696832870796281ebd76%2112000048185694590%21rec%21UK%214911257576%21X%211%210%21n_tag%3A-29919%3Bd%3A38df781%3Bm03_new_user%3A-29895&amp;utparam-url=scene%3ApcDetailTopMoreOtherSeller%7Cquery_from%3A%7Cx_object_id%3A1005009170628482%7C_p_origin_prod%3A</t>
  </si>
  <si>
    <t>PCB-3 (M4)PCB soldering terminal</t>
  </si>
  <si>
    <t>https://www.aliexpress.com/item/1005007001183779.html?spm=a2g0o.cart.0.0.3f7738daE8N6Kp&amp;mp=1&amp;pdp_npi=6%40dis%21GBP%21GBP%201.34%21GBP%201.27%21%21GBP%201.27%21%21%21%402103985c17696857200332011ea163%2112000039009277917%21ct%21UK%214911257576%21%211%210%21</t>
  </si>
  <si>
    <t>Shenzhen DANTEQI Technology</t>
  </si>
  <si>
    <t>Aliexpress:Shenzhen DANTEQI Technology</t>
  </si>
  <si>
    <t>https://www.aliexpress.com/item/1005009262194204.html?spm=a2g0o.productlist.main.1.1cefmpkDmpkDEd&amp;algo_pvid=3367f602-5b0c-4360-abbb-b35bf062909c&amp;algo_exp_id=3367f602-5b0c-4360-abbb-b35bf062909c-0&amp;pdp_ext_f=%7B%22order%22%3A%224%22%2C%22eval%22%3A%221%22%2C%22fromPage%22%3A%22search%22%7D&amp;pdp_npi=6%40dis%21GBP%210.43%210.32%21%21%214.01%212.97%21%40211b813b17696871744307833ea00b%2112000048521079392%21sea%21UK%214911257576%21X%211%210%21n_tag%3A-29919%3Bd%3A38df781%3Bm03_new_user%3A-29895&amp;curPageLogUid=su5Bbxdvt4nS&amp;utparam-url=scene%3Asearch%7Cquery_from%3A%7Cx_object_id%3A1005009262194204%7C_p_origin_prod%3A</t>
  </si>
  <si>
    <t>10 pin JTAG Connector</t>
  </si>
  <si>
    <t xml:space="preserve">Aliexpress:Stlxy Store
(Trader)
</t>
  </si>
  <si>
    <t xml:space="preserve">Stlxy Store
(Trader)
</t>
  </si>
  <si>
    <t>https://www.aliexpress.com/item/1005008559565009.html?spm=a2g0o.order_list.order_list_main.112.695718020yxBKf</t>
  </si>
  <si>
    <t>8 2.54mm pin strip female</t>
  </si>
  <si>
    <t>https://www.aliexpress.com/item/1005008694962372.html?spm=a2g0o.productlist.main.21.4bd578ecjX2Mfy&amp;algo_pvid=d4474e9c-34a1-4cea-9f2d-c3c77127e37b&amp;algo_exp_id=d4474e9c-34a1-4cea-9f2d-c3c77127e37b-20&amp;pdp_ext_f=%7B%22order%22%3A%22101%22%2C%22eval%22%3A%221%22%2C%22fromPage%22%3A%22search%22%7D&amp;pdp_npi=6%40dis%21GBP%214.54%212.09%21%21%2142.26%2119.46%21%40210384cc17696878885315377e8ec8%2112000046806153631%21sea%21UK%214911257576%21X%211%210%21n_tag%3A-29919%3Bd%3A38df781%3Bm03_new_user%3A-29895%3BpisId%3A5000000199914185&amp;curPageLogUid=cfBDucwPxlF8&amp;utparam-url=scene%3Asearch%7Cquery_from%3A%7Cx_object_id%3A1005008694962372%7C_p_origin_prod%3A</t>
  </si>
  <si>
    <t>4 pin JST XH2.54 female</t>
  </si>
  <si>
    <t>2 pin JST XH2.54 female</t>
  </si>
  <si>
    <t>PCB-1 (M4)PCB soldering terminal</t>
  </si>
  <si>
    <t>5 2.54mm pin strip female</t>
  </si>
  <si>
    <t>AWHSH124D00G</t>
  </si>
  <si>
    <t>General Purpose Relays Commercial RelayRated Carrying Current :15AType of Sealing : Sealed and Waterproof TypeNumber of pole : one poleCoil Voltage : 24VCoil Type : Standard DC CoilContact Form : Form C</t>
  </si>
  <si>
    <t>523-AWHSH124D00G</t>
  </si>
  <si>
    <t>24v</t>
  </si>
  <si>
    <t>15A</t>
  </si>
  <si>
    <t xml:space="preserve"> SRD-05VDC-SL-C</t>
  </si>
  <si>
    <t>5v relay</t>
  </si>
  <si>
    <t>10A</t>
  </si>
  <si>
    <t>DLR2111</t>
  </si>
  <si>
    <t>DLT2111</t>
  </si>
  <si>
    <t>https://www.mouser.co.uk/ProductDetail/YAGEO/MFR50SFTE52-1K33?qs=UFD7vfw3J8osCEB2xFvg0Q%3D%3D</t>
  </si>
  <si>
    <t>Metal Film Resistors - Through Hole 1.33K Ohm 1/2 Wat 1% Miniature Version</t>
  </si>
  <si>
    <t>MFR50SFTE52-1K33</t>
  </si>
  <si>
    <t>603-MFR50SFTE52-1K33</t>
  </si>
  <si>
    <t>Generic 33K 0.25w resistor</t>
  </si>
  <si>
    <t>Generic 0.25w resistor</t>
  </si>
  <si>
    <t>Generic 1K 0.25w resistor</t>
  </si>
  <si>
    <t>Generic 2K 0.25w resistor</t>
  </si>
  <si>
    <t>Generic 10K 0.25w resistor</t>
  </si>
  <si>
    <t>Generic 120K 0.25w resistor</t>
  </si>
  <si>
    <t>22K</t>
  </si>
  <si>
    <t>22K 0.25w resistor</t>
  </si>
  <si>
    <t>Current Sense Resistors - SMD 2W 10 Ohm 1% 100ppm</t>
  </si>
  <si>
    <t>SL2TTED10R0F</t>
  </si>
  <si>
    <t>10Ω</t>
  </si>
  <si>
    <t>2KΩ</t>
  </si>
  <si>
    <t>1KΩ</t>
  </si>
  <si>
    <t>120KΩ</t>
  </si>
  <si>
    <t>10KΩ</t>
  </si>
  <si>
    <t>1.33KΩ</t>
  </si>
  <si>
    <t>33KΩ</t>
  </si>
  <si>
    <t>2w</t>
  </si>
  <si>
    <t>660-SL2TTED10R0F</t>
  </si>
  <si>
    <t>Generic 51 0.25w resistor</t>
  </si>
  <si>
    <t>51Ω</t>
  </si>
  <si>
    <t>Generic 100 0.25w resistor</t>
  </si>
  <si>
    <t>100Ω</t>
  </si>
  <si>
    <t>Generic 6.2 0.25w resistor</t>
  </si>
  <si>
    <t>6.2Ω</t>
  </si>
  <si>
    <t>RV4</t>
  </si>
  <si>
    <t>RV5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</si>
</sst>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£&quot;#,##0.00;[Red]\-&quot;£&quot;#,##0.00"/>
  </numFmts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u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23"/>
      <color theme="1"/>
      <name val="Arial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93939"/>
      <name val="Calibri"/>
      <family val="2"/>
      <scheme val="minor"/>
    </font>
    <font>
      <sz val="17"/>
      <color rgb="FF9D1F5F"/>
      <name val="Arial"/>
      <family val="2"/>
    </font>
    <font>
      <b/>
      <i/>
      <u/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0" applyFont="1" applyAlignment="1">
      <alignment horizontal="left" vertical="top" readingOrder="1"/>
    </xf>
    <xf numFmtId="0" fontId="2" fillId="11" borderId="0" xfId="0" applyFont="1" applyFill="1" applyAlignment="1">
      <alignment horizontal="left" vertical="top" readingOrder="1"/>
    </xf>
    <xf numFmtId="0" fontId="4" fillId="8" borderId="2" xfId="0" applyFont="1" applyFill="1" applyBorder="1" applyAlignment="1">
      <alignment horizontal="left" vertical="top" readingOrder="1"/>
    </xf>
    <xf numFmtId="0" fontId="2" fillId="3" borderId="2" xfId="0" applyFont="1" applyFill="1" applyBorder="1" applyAlignment="1">
      <alignment horizontal="left" vertical="top" readingOrder="1"/>
    </xf>
    <xf numFmtId="0" fontId="2" fillId="8" borderId="2" xfId="0" applyFont="1" applyFill="1" applyBorder="1" applyAlignment="1">
      <alignment horizontal="left" vertical="top" readingOrder="1"/>
    </xf>
    <xf numFmtId="0" fontId="2" fillId="12" borderId="2" xfId="0" applyFont="1" applyFill="1" applyBorder="1" applyAlignment="1">
      <alignment horizontal="left" vertical="top" readingOrder="1"/>
    </xf>
    <xf numFmtId="0" fontId="2" fillId="7" borderId="0" xfId="0" applyFont="1" applyFill="1" applyAlignment="1">
      <alignment horizontal="left" vertical="top" readingOrder="1"/>
    </xf>
    <xf numFmtId="0" fontId="2" fillId="13" borderId="2" xfId="0" applyFont="1" applyFill="1" applyBorder="1" applyAlignment="1">
      <alignment horizontal="left" vertical="top" readingOrder="1"/>
    </xf>
    <xf numFmtId="0" fontId="2" fillId="14" borderId="2" xfId="0" applyFont="1" applyFill="1" applyBorder="1" applyAlignment="1">
      <alignment horizontal="left" vertical="top" readingOrder="1"/>
    </xf>
    <xf numFmtId="0" fontId="2" fillId="5" borderId="2" xfId="0" applyFont="1" applyFill="1" applyBorder="1" applyAlignment="1">
      <alignment horizontal="left" vertical="top" readingOrder="1"/>
    </xf>
    <xf numFmtId="0" fontId="2" fillId="6" borderId="2" xfId="0" applyFont="1" applyFill="1" applyBorder="1" applyAlignment="1">
      <alignment horizontal="left" vertical="top" readingOrder="1"/>
    </xf>
    <xf numFmtId="0" fontId="5" fillId="0" borderId="3" xfId="0" applyFont="1" applyBorder="1" applyAlignment="1">
      <alignment horizontal="left" vertical="center" wrapText="1" readingOrder="1"/>
    </xf>
    <xf numFmtId="0" fontId="2" fillId="15" borderId="2" xfId="0" applyFont="1" applyFill="1" applyBorder="1" applyAlignment="1">
      <alignment horizontal="left" vertical="top" readingOrder="1"/>
    </xf>
    <xf numFmtId="0" fontId="2" fillId="16" borderId="2" xfId="0" applyFont="1" applyFill="1" applyBorder="1" applyAlignment="1">
      <alignment horizontal="left" vertical="top" readingOrder="1"/>
    </xf>
    <xf numFmtId="0" fontId="2" fillId="17" borderId="2" xfId="0" applyFont="1" applyFill="1" applyBorder="1" applyAlignment="1">
      <alignment horizontal="left" vertical="top" readingOrder="1"/>
    </xf>
    <xf numFmtId="0" fontId="2" fillId="10" borderId="2" xfId="0" applyFont="1" applyFill="1" applyBorder="1" applyAlignment="1">
      <alignment horizontal="left" vertical="top" readingOrder="1"/>
    </xf>
    <xf numFmtId="0" fontId="2" fillId="9" borderId="2" xfId="0" applyFont="1" applyFill="1" applyBorder="1" applyAlignment="1">
      <alignment horizontal="left" vertical="top" readingOrder="1"/>
    </xf>
    <xf numFmtId="0" fontId="2" fillId="2" borderId="2" xfId="0" applyFont="1" applyFill="1" applyBorder="1" applyAlignment="1">
      <alignment horizontal="left" vertical="top" readingOrder="1"/>
    </xf>
    <xf numFmtId="0" fontId="2" fillId="4" borderId="2" xfId="0" applyFont="1" applyFill="1" applyBorder="1" applyAlignment="1">
      <alignment horizontal="left" vertical="top" readingOrder="1"/>
    </xf>
    <xf numFmtId="0" fontId="2" fillId="18" borderId="2" xfId="0" applyFont="1" applyFill="1" applyBorder="1" applyAlignment="1">
      <alignment horizontal="left" vertical="top" readingOrder="1"/>
    </xf>
    <xf numFmtId="0" fontId="2" fillId="19" borderId="2" xfId="0" applyFont="1" applyFill="1" applyBorder="1" applyAlignment="1">
      <alignment horizontal="left" vertical="top" readingOrder="1"/>
    </xf>
    <xf numFmtId="0" fontId="2" fillId="4" borderId="6" xfId="0" applyFont="1" applyFill="1" applyBorder="1" applyAlignment="1">
      <alignment horizontal="left" vertical="top" readingOrder="1"/>
    </xf>
    <xf numFmtId="0" fontId="2" fillId="7" borderId="6" xfId="0" applyFont="1" applyFill="1" applyBorder="1" applyAlignment="1">
      <alignment horizontal="left" vertical="top" readingOrder="1"/>
    </xf>
    <xf numFmtId="0" fontId="2" fillId="5" borderId="6" xfId="0" applyFont="1" applyFill="1" applyBorder="1" applyAlignment="1">
      <alignment horizontal="left" vertical="top" readingOrder="1"/>
    </xf>
    <xf numFmtId="0" fontId="2" fillId="13" borderId="6" xfId="0" applyFont="1" applyFill="1" applyBorder="1" applyAlignment="1">
      <alignment horizontal="left" vertical="top" readingOrder="1"/>
    </xf>
    <xf numFmtId="0" fontId="2" fillId="6" borderId="6" xfId="0" applyFont="1" applyFill="1" applyBorder="1" applyAlignment="1">
      <alignment horizontal="left" vertical="top" readingOrder="1"/>
    </xf>
    <xf numFmtId="0" fontId="2" fillId="15" borderId="6" xfId="0" applyFont="1" applyFill="1" applyBorder="1" applyAlignment="1">
      <alignment horizontal="left" vertical="top" readingOrder="1"/>
    </xf>
    <xf numFmtId="0" fontId="2" fillId="16" borderId="6" xfId="0" applyFont="1" applyFill="1" applyBorder="1" applyAlignment="1">
      <alignment horizontal="left" vertical="top" readingOrder="1"/>
    </xf>
    <xf numFmtId="0" fontId="2" fillId="3" borderId="6" xfId="0" applyFont="1" applyFill="1" applyBorder="1" applyAlignment="1">
      <alignment horizontal="left" vertical="top" readingOrder="1"/>
    </xf>
    <xf numFmtId="0" fontId="2" fillId="11" borderId="6" xfId="0" applyFont="1" applyFill="1" applyBorder="1" applyAlignment="1">
      <alignment horizontal="left" vertical="top" readingOrder="1"/>
    </xf>
    <xf numFmtId="0" fontId="2" fillId="8" borderId="6" xfId="0" applyFont="1" applyFill="1" applyBorder="1" applyAlignment="1">
      <alignment horizontal="left" vertical="top" readingOrder="1"/>
    </xf>
    <xf numFmtId="0" fontId="2" fillId="12" borderId="6" xfId="0" applyFont="1" applyFill="1" applyBorder="1" applyAlignment="1">
      <alignment horizontal="left" vertical="top" readingOrder="1"/>
    </xf>
    <xf numFmtId="0" fontId="2" fillId="17" borderId="6" xfId="0" applyFont="1" applyFill="1" applyBorder="1" applyAlignment="1">
      <alignment horizontal="left" vertical="top" readingOrder="1"/>
    </xf>
    <xf numFmtId="0" fontId="2" fillId="9" borderId="6" xfId="0" applyFont="1" applyFill="1" applyBorder="1" applyAlignment="1">
      <alignment horizontal="left" vertical="top" readingOrder="1"/>
    </xf>
    <xf numFmtId="0" fontId="2" fillId="10" borderId="6" xfId="0" applyFont="1" applyFill="1" applyBorder="1" applyAlignment="1">
      <alignment horizontal="left" vertical="top" readingOrder="1"/>
    </xf>
    <xf numFmtId="0" fontId="2" fillId="19" borderId="6" xfId="0" applyFont="1" applyFill="1" applyBorder="1" applyAlignment="1">
      <alignment horizontal="left" vertical="top" readingOrder="1"/>
    </xf>
    <xf numFmtId="0" fontId="2" fillId="18" borderId="6" xfId="0" applyFont="1" applyFill="1" applyBorder="1" applyAlignment="1">
      <alignment horizontal="left" vertical="top" readingOrder="1"/>
    </xf>
    <xf numFmtId="0" fontId="2" fillId="2" borderId="6" xfId="0" applyFont="1" applyFill="1" applyBorder="1" applyAlignment="1">
      <alignment horizontal="left" vertical="top" readingOrder="1"/>
    </xf>
    <xf numFmtId="0" fontId="3" fillId="7" borderId="6" xfId="1" applyFont="1" applyFill="1" applyBorder="1" applyAlignment="1">
      <alignment horizontal="left" vertical="top" readingOrder="1"/>
    </xf>
    <xf numFmtId="9" fontId="2" fillId="8" borderId="6" xfId="0" applyNumberFormat="1" applyFont="1" applyFill="1" applyBorder="1" applyAlignment="1">
      <alignment horizontal="left" vertical="top" readingOrder="1"/>
    </xf>
    <xf numFmtId="0" fontId="2" fillId="13" borderId="6" xfId="1" applyFont="1" applyFill="1" applyBorder="1" applyAlignment="1">
      <alignment horizontal="left" vertical="top" readingOrder="1"/>
    </xf>
    <xf numFmtId="0" fontId="6" fillId="8" borderId="6" xfId="0" applyFont="1" applyFill="1" applyBorder="1" applyAlignment="1">
      <alignment horizontal="left" vertical="top" readingOrder="1"/>
    </xf>
    <xf numFmtId="0" fontId="6" fillId="8" borderId="2" xfId="0" applyFont="1" applyFill="1" applyBorder="1" applyAlignment="1">
      <alignment horizontal="left" vertical="top" readingOrder="1"/>
    </xf>
    <xf numFmtId="0" fontId="2" fillId="14" borderId="5" xfId="0" applyFont="1" applyFill="1" applyBorder="1" applyAlignment="1">
      <alignment horizontal="left" vertical="top" readingOrder="1"/>
    </xf>
    <xf numFmtId="0" fontId="2" fillId="14" borderId="6" xfId="0" applyFont="1" applyFill="1" applyBorder="1" applyAlignment="1">
      <alignment horizontal="left" vertical="top" readingOrder="1"/>
    </xf>
    <xf numFmtId="0" fontId="2" fillId="14" borderId="0" xfId="0" applyFont="1" applyFill="1" applyAlignment="1">
      <alignment horizontal="left" vertical="top" readingOrder="1"/>
    </xf>
    <xf numFmtId="0" fontId="2" fillId="20" borderId="6" xfId="0" applyFont="1" applyFill="1" applyBorder="1" applyAlignment="1">
      <alignment horizontal="left" vertical="top" readingOrder="1"/>
    </xf>
    <xf numFmtId="0" fontId="0" fillId="4" borderId="1" xfId="0" applyFont="1" applyFill="1" applyBorder="1" applyAlignment="1">
      <alignment horizontal="center" vertical="top" readingOrder="1"/>
    </xf>
    <xf numFmtId="0" fontId="1" fillId="8" borderId="6" xfId="1" applyFill="1" applyBorder="1" applyAlignment="1">
      <alignment horizontal="left" vertical="top" readingOrder="1"/>
    </xf>
    <xf numFmtId="0" fontId="7" fillId="0" borderId="0" xfId="0" applyFont="1"/>
    <xf numFmtId="0" fontId="2" fillId="20" borderId="0" xfId="0" applyFont="1" applyFill="1" applyAlignment="1">
      <alignment horizontal="left" vertical="top" readingOrder="1"/>
    </xf>
    <xf numFmtId="8" fontId="2" fillId="19" borderId="6" xfId="0" applyNumberFormat="1" applyFont="1" applyFill="1" applyBorder="1" applyAlignment="1">
      <alignment horizontal="left" vertical="top" readingOrder="1"/>
    </xf>
    <xf numFmtId="0" fontId="8" fillId="8" borderId="6" xfId="0" applyFont="1" applyFill="1" applyBorder="1" applyAlignment="1">
      <alignment horizontal="left" vertical="top" readingOrder="1"/>
    </xf>
    <xf numFmtId="0" fontId="10" fillId="4" borderId="4" xfId="0" applyFont="1" applyFill="1" applyBorder="1" applyAlignment="1">
      <alignment horizontal="left" vertical="center" wrapText="1" readingOrder="1"/>
    </xf>
    <xf numFmtId="0" fontId="10" fillId="7" borderId="3" xfId="0" applyFont="1" applyFill="1" applyBorder="1" applyAlignment="1">
      <alignment horizontal="left" vertical="center" wrapText="1" readingOrder="1"/>
    </xf>
    <xf numFmtId="0" fontId="11" fillId="8" borderId="5" xfId="0" applyFont="1" applyFill="1" applyBorder="1" applyAlignment="1">
      <alignment horizontal="left" vertical="center" wrapText="1" readingOrder="1"/>
    </xf>
    <xf numFmtId="0" fontId="10" fillId="5" borderId="5" xfId="0" applyFont="1" applyFill="1" applyBorder="1" applyAlignment="1">
      <alignment horizontal="left" vertical="center" wrapText="1" readingOrder="1"/>
    </xf>
    <xf numFmtId="0" fontId="10" fillId="13" borderId="5" xfId="0" applyFont="1" applyFill="1" applyBorder="1" applyAlignment="1">
      <alignment horizontal="left" vertical="center" wrapText="1" readingOrder="1"/>
    </xf>
    <xf numFmtId="0" fontId="10" fillId="6" borderId="5" xfId="0" applyFont="1" applyFill="1" applyBorder="1" applyAlignment="1">
      <alignment horizontal="left" vertical="center" wrapText="1" readingOrder="1"/>
    </xf>
    <xf numFmtId="0" fontId="10" fillId="15" borderId="5" xfId="0" applyFont="1" applyFill="1" applyBorder="1" applyAlignment="1">
      <alignment horizontal="left" vertical="center" wrapText="1" readingOrder="1"/>
    </xf>
    <xf numFmtId="0" fontId="10" fillId="16" borderId="5" xfId="0" applyFont="1" applyFill="1" applyBorder="1" applyAlignment="1">
      <alignment horizontal="left" vertical="center" wrapText="1" readingOrder="1"/>
    </xf>
    <xf numFmtId="0" fontId="10" fillId="3" borderId="5" xfId="0" applyFont="1" applyFill="1" applyBorder="1" applyAlignment="1">
      <alignment horizontal="left" vertical="center" wrapText="1" readingOrder="1"/>
    </xf>
    <xf numFmtId="0" fontId="10" fillId="11" borderId="3" xfId="0" applyFont="1" applyFill="1" applyBorder="1" applyAlignment="1">
      <alignment horizontal="left" vertical="center" wrapText="1" readingOrder="1"/>
    </xf>
    <xf numFmtId="0" fontId="10" fillId="8" borderId="5" xfId="0" applyFont="1" applyFill="1" applyBorder="1" applyAlignment="1">
      <alignment horizontal="left" vertical="center" wrapText="1" readingOrder="1"/>
    </xf>
    <xf numFmtId="0" fontId="10" fillId="12" borderId="5" xfId="0" applyFont="1" applyFill="1" applyBorder="1" applyAlignment="1">
      <alignment horizontal="left" vertical="center" wrapText="1" readingOrder="1"/>
    </xf>
    <xf numFmtId="0" fontId="10" fillId="17" borderId="5" xfId="0" applyFont="1" applyFill="1" applyBorder="1" applyAlignment="1">
      <alignment horizontal="left" vertical="center" wrapText="1" readingOrder="1"/>
    </xf>
    <xf numFmtId="0" fontId="10" fillId="9" borderId="5" xfId="0" applyFont="1" applyFill="1" applyBorder="1" applyAlignment="1">
      <alignment horizontal="left" vertical="center" wrapText="1" readingOrder="1"/>
    </xf>
    <xf numFmtId="0" fontId="10" fillId="10" borderId="5" xfId="0" applyFont="1" applyFill="1" applyBorder="1" applyAlignment="1">
      <alignment horizontal="left" vertical="center" wrapText="1" readingOrder="1"/>
    </xf>
    <xf numFmtId="0" fontId="10" fillId="19" borderId="5" xfId="0" applyFont="1" applyFill="1" applyBorder="1" applyAlignment="1">
      <alignment horizontal="left" vertical="center" wrapText="1" readingOrder="1"/>
    </xf>
    <xf numFmtId="0" fontId="10" fillId="18" borderId="5" xfId="0" applyFont="1" applyFill="1" applyBorder="1" applyAlignment="1">
      <alignment horizontal="left" vertical="center" wrapText="1" readingOrder="1"/>
    </xf>
    <xf numFmtId="0" fontId="10" fillId="2" borderId="5" xfId="0" applyFont="1" applyFill="1" applyBorder="1" applyAlignment="1">
      <alignment horizontal="left" vertical="center" wrapText="1" readingOrder="1"/>
    </xf>
    <xf numFmtId="0" fontId="10" fillId="4" borderId="5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center" vertical="top" readingOrder="1"/>
    </xf>
    <xf numFmtId="0" fontId="13" fillId="7" borderId="6" xfId="0" applyFont="1" applyFill="1" applyBorder="1" applyAlignment="1">
      <alignment horizontal="left" vertical="top" readingOrder="1"/>
    </xf>
    <xf numFmtId="0" fontId="13" fillId="5" borderId="6" xfId="0" applyFont="1" applyFill="1" applyBorder="1" applyAlignment="1">
      <alignment horizontal="left" vertical="top" readingOrder="1"/>
    </xf>
    <xf numFmtId="0" fontId="13" fillId="17" borderId="6" xfId="0" applyFont="1" applyFill="1" applyBorder="1" applyAlignment="1">
      <alignment horizontal="left" vertical="top" readingOrder="1"/>
    </xf>
    <xf numFmtId="0" fontId="13" fillId="3" borderId="6" xfId="0" applyFont="1" applyFill="1" applyBorder="1" applyAlignment="1">
      <alignment horizontal="left" vertical="top" readingOrder="1"/>
    </xf>
    <xf numFmtId="0" fontId="14" fillId="7" borderId="6" xfId="0" applyFont="1" applyFill="1" applyBorder="1" applyAlignment="1">
      <alignment horizontal="left" vertical="top" readingOrder="1"/>
    </xf>
    <xf numFmtId="0" fontId="14" fillId="3" borderId="6" xfId="0" applyFont="1" applyFill="1" applyBorder="1" applyAlignment="1">
      <alignment horizontal="left" vertical="top" readingOrder="1"/>
    </xf>
    <xf numFmtId="0" fontId="13" fillId="21" borderId="6" xfId="0" applyFont="1" applyFill="1" applyBorder="1" applyAlignment="1">
      <alignment horizontal="left" vertical="top" readingOrder="1"/>
    </xf>
    <xf numFmtId="0" fontId="2" fillId="21" borderId="6" xfId="0" applyFont="1" applyFill="1" applyBorder="1" applyAlignment="1">
      <alignment horizontal="left" vertical="top" readingOrder="1"/>
    </xf>
    <xf numFmtId="0" fontId="6" fillId="21" borderId="6" xfId="0" applyFont="1" applyFill="1" applyBorder="1" applyAlignment="1">
      <alignment horizontal="left" vertical="top" readingOrder="1"/>
    </xf>
    <xf numFmtId="0" fontId="2" fillId="21" borderId="6" xfId="0" applyFont="1" applyFill="1" applyBorder="1" applyAlignment="1">
      <alignment horizontal="center" vertical="top" readingOrder="1"/>
    </xf>
    <xf numFmtId="0" fontId="3" fillId="21" borderId="6" xfId="1" applyFont="1" applyFill="1" applyBorder="1" applyAlignment="1">
      <alignment horizontal="left" vertical="top" readingOrder="1"/>
    </xf>
    <xf numFmtId="0" fontId="2" fillId="21" borderId="6" xfId="1" applyFont="1" applyFill="1" applyBorder="1" applyAlignment="1">
      <alignment horizontal="left" vertical="top" readingOrder="1"/>
    </xf>
    <xf numFmtId="9" fontId="2" fillId="21" borderId="6" xfId="0" applyNumberFormat="1" applyFont="1" applyFill="1" applyBorder="1" applyAlignment="1">
      <alignment horizontal="left" vertical="top" readingOrder="1"/>
    </xf>
    <xf numFmtId="0" fontId="14" fillId="21" borderId="6" xfId="0" applyFont="1" applyFill="1" applyBorder="1" applyAlignment="1">
      <alignment horizontal="left" vertical="top" readingOrder="1"/>
    </xf>
    <xf numFmtId="0" fontId="2" fillId="21" borderId="2" xfId="0" applyFont="1" applyFill="1" applyBorder="1" applyAlignment="1">
      <alignment horizontal="left" vertical="top" readingOrder="1"/>
    </xf>
    <xf numFmtId="0" fontId="12" fillId="21" borderId="6" xfId="0" applyFont="1" applyFill="1" applyBorder="1" applyAlignment="1">
      <alignment horizontal="left" vertical="top" readingOrder="1"/>
    </xf>
    <xf numFmtId="0" fontId="12" fillId="21" borderId="6" xfId="0" applyFont="1" applyFill="1" applyBorder="1"/>
    <xf numFmtId="11" fontId="2" fillId="21" borderId="6" xfId="0" applyNumberFormat="1" applyFont="1" applyFill="1" applyBorder="1" applyAlignment="1">
      <alignment horizontal="left" vertical="top" readingOrder="1"/>
    </xf>
    <xf numFmtId="11" fontId="2" fillId="15" borderId="6" xfId="0" applyNumberFormat="1" applyFont="1" applyFill="1" applyBorder="1" applyAlignment="1">
      <alignment horizontal="left" vertical="top" readingOrder="1"/>
    </xf>
    <xf numFmtId="0" fontId="2" fillId="22" borderId="6" xfId="0" applyFont="1" applyFill="1" applyBorder="1" applyAlignment="1">
      <alignment horizontal="left" vertical="top" readingOrder="1"/>
    </xf>
    <xf numFmtId="11" fontId="2" fillId="22" borderId="6" xfId="0" applyNumberFormat="1" applyFont="1" applyFill="1" applyBorder="1" applyAlignment="1">
      <alignment horizontal="left" vertical="top" readingOrder="1"/>
    </xf>
    <xf numFmtId="0" fontId="2" fillId="23" borderId="6" xfId="0" applyFont="1" applyFill="1" applyBorder="1" applyAlignment="1">
      <alignment horizontal="left" vertical="top" readingOrder="1"/>
    </xf>
    <xf numFmtId="0" fontId="9" fillId="21" borderId="6" xfId="0" applyFont="1" applyFill="1" applyBorder="1" applyAlignment="1">
      <alignment vertical="center" readingOrder="1"/>
    </xf>
    <xf numFmtId="0" fontId="2" fillId="21" borderId="8" xfId="0" applyFont="1" applyFill="1" applyBorder="1" applyAlignment="1">
      <alignment horizontal="left" vertical="top" readingOrder="1"/>
    </xf>
    <xf numFmtId="0" fontId="2" fillId="21" borderId="10" xfId="0" applyFont="1" applyFill="1" applyBorder="1" applyAlignment="1">
      <alignment horizontal="left" vertical="top" readingOrder="1"/>
    </xf>
    <xf numFmtId="0" fontId="2" fillId="21" borderId="7" xfId="0" applyFont="1" applyFill="1" applyBorder="1" applyAlignment="1">
      <alignment horizontal="left" vertical="top" readingOrder="1"/>
    </xf>
    <xf numFmtId="0" fontId="2" fillId="21" borderId="5" xfId="0" applyFont="1" applyFill="1" applyBorder="1" applyAlignment="1">
      <alignment horizontal="left" vertical="top" readingOrder="1"/>
    </xf>
    <xf numFmtId="0" fontId="2" fillId="21" borderId="13" xfId="0" applyFont="1" applyFill="1" applyBorder="1" applyAlignment="1">
      <alignment horizontal="left" vertical="top" readingOrder="1"/>
    </xf>
    <xf numFmtId="0" fontId="2" fillId="21" borderId="14" xfId="0" applyFont="1" applyFill="1" applyBorder="1" applyAlignment="1">
      <alignment horizontal="left" vertical="top" readingOrder="1"/>
    </xf>
    <xf numFmtId="11" fontId="2" fillId="21" borderId="14" xfId="0" applyNumberFormat="1" applyFont="1" applyFill="1" applyBorder="1" applyAlignment="1">
      <alignment horizontal="left" vertical="top" readingOrder="1"/>
    </xf>
    <xf numFmtId="0" fontId="2" fillId="15" borderId="14" xfId="0" applyFont="1" applyFill="1" applyBorder="1" applyAlignment="1">
      <alignment horizontal="left" vertical="top" readingOrder="1"/>
    </xf>
    <xf numFmtId="0" fontId="2" fillId="22" borderId="14" xfId="0" applyFont="1" applyFill="1" applyBorder="1" applyAlignment="1">
      <alignment horizontal="left" vertical="top" readingOrder="1"/>
    </xf>
    <xf numFmtId="11" fontId="2" fillId="22" borderId="14" xfId="0" applyNumberFormat="1" applyFont="1" applyFill="1" applyBorder="1" applyAlignment="1">
      <alignment horizontal="left" vertical="top" readingOrder="1"/>
    </xf>
    <xf numFmtId="0" fontId="2" fillId="23" borderId="14" xfId="0" applyFont="1" applyFill="1" applyBorder="1" applyAlignment="1">
      <alignment horizontal="left" vertical="top" readingOrder="1"/>
    </xf>
    <xf numFmtId="0" fontId="2" fillId="21" borderId="17" xfId="0" applyFont="1" applyFill="1" applyBorder="1" applyAlignment="1">
      <alignment horizontal="left" vertical="top" readingOrder="1"/>
    </xf>
    <xf numFmtId="0" fontId="2" fillId="21" borderId="18" xfId="0" applyFont="1" applyFill="1" applyBorder="1" applyAlignment="1">
      <alignment horizontal="left" vertical="top" readingOrder="1"/>
    </xf>
    <xf numFmtId="0" fontId="2" fillId="21" borderId="19" xfId="0" applyFont="1" applyFill="1" applyBorder="1" applyAlignment="1">
      <alignment horizontal="left" vertical="top" readingOrder="1"/>
    </xf>
    <xf numFmtId="8" fontId="2" fillId="18" borderId="6" xfId="0" applyNumberFormat="1" applyFont="1" applyFill="1" applyBorder="1" applyAlignment="1">
      <alignment horizontal="left" vertical="top" readingOrder="1"/>
    </xf>
    <xf numFmtId="0" fontId="2" fillId="21" borderId="6" xfId="0" applyFont="1" applyFill="1" applyBorder="1" applyAlignment="1">
      <alignment vertical="top" readingOrder="1"/>
    </xf>
    <xf numFmtId="0" fontId="2" fillId="21" borderId="6" xfId="0" applyFont="1" applyFill="1" applyBorder="1" applyAlignment="1">
      <alignment horizontal="left" vertical="top" wrapText="1" readingOrder="1"/>
    </xf>
    <xf numFmtId="0" fontId="2" fillId="21" borderId="13" xfId="0" applyFont="1" applyFill="1" applyBorder="1" applyAlignment="1">
      <alignment vertical="top" readingOrder="1"/>
    </xf>
    <xf numFmtId="0" fontId="2" fillId="21" borderId="14" xfId="0" applyFont="1" applyFill="1" applyBorder="1" applyAlignment="1">
      <alignment vertical="top" readingOrder="1"/>
    </xf>
    <xf numFmtId="0" fontId="2" fillId="5" borderId="13" xfId="0" applyFont="1" applyFill="1" applyBorder="1" applyAlignment="1">
      <alignment horizontal="left" vertical="top" readingOrder="1"/>
    </xf>
    <xf numFmtId="0" fontId="2" fillId="21" borderId="13" xfId="0" applyFont="1" applyFill="1" applyBorder="1" applyAlignment="1">
      <alignment horizontal="center" vertical="center" wrapText="1" readingOrder="1"/>
    </xf>
    <xf numFmtId="0" fontId="2" fillId="21" borderId="9" xfId="0" applyFont="1" applyFill="1" applyBorder="1" applyAlignment="1">
      <alignment horizontal="left" vertical="top" readingOrder="1"/>
    </xf>
    <xf numFmtId="9" fontId="2" fillId="21" borderId="10" xfId="0" applyNumberFormat="1" applyFont="1" applyFill="1" applyBorder="1" applyAlignment="1">
      <alignment horizontal="left" vertical="top" readingOrder="1"/>
    </xf>
    <xf numFmtId="0" fontId="13" fillId="21" borderId="13" xfId="0" applyFont="1" applyFill="1" applyBorder="1" applyAlignment="1">
      <alignment horizontal="left" vertical="top" readingOrder="1"/>
    </xf>
    <xf numFmtId="0" fontId="13" fillId="21" borderId="17" xfId="0" applyFont="1" applyFill="1" applyBorder="1" applyAlignment="1">
      <alignment horizontal="left" vertical="top" readingOrder="1"/>
    </xf>
    <xf numFmtId="8" fontId="2" fillId="21" borderId="6" xfId="0" applyNumberFormat="1" applyFont="1" applyFill="1" applyBorder="1" applyAlignment="1">
      <alignment horizontal="left" vertical="top" readingOrder="1"/>
    </xf>
    <xf numFmtId="0" fontId="12" fillId="0" borderId="0" xfId="0" applyFont="1"/>
    <xf numFmtId="0" fontId="13" fillId="21" borderId="16" xfId="0" applyFont="1" applyFill="1" applyBorder="1" applyAlignment="1">
      <alignment horizontal="left" vertical="top" readingOrder="1"/>
    </xf>
    <xf numFmtId="0" fontId="2" fillId="21" borderId="23" xfId="0" applyFont="1" applyFill="1" applyBorder="1" applyAlignment="1">
      <alignment horizontal="left" vertical="top" readingOrder="1"/>
    </xf>
    <xf numFmtId="0" fontId="14" fillId="21" borderId="13" xfId="0" applyFont="1" applyFill="1" applyBorder="1" applyAlignment="1">
      <alignment horizontal="left" vertical="top" readingOrder="1"/>
    </xf>
    <xf numFmtId="0" fontId="2" fillId="5" borderId="15" xfId="0" applyFont="1" applyFill="1" applyBorder="1" applyAlignment="1">
      <alignment horizontal="left" vertical="top" readingOrder="1"/>
    </xf>
    <xf numFmtId="0" fontId="12" fillId="0" borderId="22" xfId="0" applyFont="1" applyBorder="1"/>
    <xf numFmtId="9" fontId="2" fillId="21" borderId="14" xfId="0" applyNumberFormat="1" applyFont="1" applyFill="1" applyBorder="1" applyAlignment="1">
      <alignment horizontal="left" vertical="top" readingOrder="1"/>
    </xf>
    <xf numFmtId="8" fontId="2" fillId="21" borderId="14" xfId="0" applyNumberFormat="1" applyFont="1" applyFill="1" applyBorder="1" applyAlignment="1">
      <alignment horizontal="left" vertical="top" readingOrder="1"/>
    </xf>
    <xf numFmtId="0" fontId="2" fillId="21" borderId="22" xfId="0" applyFont="1" applyFill="1" applyBorder="1" applyAlignment="1">
      <alignment horizontal="left" vertical="top" readingOrder="1"/>
    </xf>
    <xf numFmtId="0" fontId="2" fillId="20" borderId="8" xfId="0" applyFont="1" applyFill="1" applyBorder="1" applyAlignment="1">
      <alignment horizontal="left" vertical="top" readingOrder="1"/>
    </xf>
    <xf numFmtId="0" fontId="2" fillId="5" borderId="4" xfId="0" applyFont="1" applyFill="1" applyBorder="1" applyAlignment="1">
      <alignment horizontal="left" vertical="top" readingOrder="1"/>
    </xf>
    <xf numFmtId="0" fontId="2" fillId="13" borderId="5" xfId="0" applyFont="1" applyFill="1" applyBorder="1" applyAlignment="1">
      <alignment horizontal="left" vertical="top" readingOrder="1"/>
    </xf>
    <xf numFmtId="0" fontId="2" fillId="6" borderId="5" xfId="0" applyFont="1" applyFill="1" applyBorder="1" applyAlignment="1">
      <alignment horizontal="left" vertical="top" readingOrder="1"/>
    </xf>
    <xf numFmtId="0" fontId="1" fillId="21" borderId="14" xfId="1" applyFill="1" applyBorder="1" applyAlignment="1">
      <alignment horizontal="left" vertical="top" readingOrder="1"/>
    </xf>
    <xf numFmtId="0" fontId="2" fillId="21" borderId="15" xfId="0" applyFont="1" applyFill="1" applyBorder="1" applyAlignment="1">
      <alignment horizontal="left" vertical="top" readingOrder="1"/>
    </xf>
    <xf numFmtId="0" fontId="2" fillId="21" borderId="4" xfId="0" applyFont="1" applyFill="1" applyBorder="1" applyAlignment="1">
      <alignment horizontal="left" vertical="top" readingOrder="1"/>
    </xf>
    <xf numFmtId="8" fontId="15" fillId="0" borderId="0" xfId="0" applyNumberFormat="1" applyFont="1"/>
    <xf numFmtId="0" fontId="1" fillId="0" borderId="0" xfId="1"/>
    <xf numFmtId="0" fontId="2" fillId="0" borderId="6" xfId="0" applyFont="1" applyBorder="1" applyAlignment="1">
      <alignment horizontal="left" vertical="top" readingOrder="1"/>
    </xf>
    <xf numFmtId="0" fontId="4" fillId="8" borderId="6" xfId="0" applyFont="1" applyFill="1" applyBorder="1" applyAlignment="1">
      <alignment horizontal="left" vertical="top" readingOrder="1"/>
    </xf>
    <xf numFmtId="0" fontId="12" fillId="13" borderId="6" xfId="0" applyFont="1" applyFill="1" applyBorder="1"/>
    <xf numFmtId="10" fontId="2" fillId="8" borderId="6" xfId="0" applyNumberFormat="1" applyFont="1" applyFill="1" applyBorder="1" applyAlignment="1">
      <alignment horizontal="left" vertical="top" readingOrder="1"/>
    </xf>
    <xf numFmtId="0" fontId="2" fillId="3" borderId="6" xfId="0" applyFont="1" applyFill="1" applyBorder="1" applyAlignment="1">
      <alignment horizontal="left" vertical="top" wrapText="1" readingOrder="1"/>
    </xf>
    <xf numFmtId="0" fontId="2" fillId="5" borderId="6" xfId="0" applyFont="1" applyFill="1" applyBorder="1" applyAlignment="1">
      <alignment horizontal="left" vertical="top" wrapText="1" readingOrder="1"/>
    </xf>
    <xf numFmtId="0" fontId="2" fillId="15" borderId="6" xfId="0" applyFont="1" applyFill="1" applyBorder="1" applyAlignment="1">
      <alignment horizontal="center" vertical="top" readingOrder="1"/>
    </xf>
    <xf numFmtId="0" fontId="0" fillId="15" borderId="6" xfId="0" applyFont="1" applyFill="1" applyBorder="1" applyAlignment="1">
      <alignment horizontal="center" vertical="top" readingOrder="1"/>
    </xf>
    <xf numFmtId="8" fontId="2" fillId="2" borderId="6" xfId="0" applyNumberFormat="1" applyFont="1" applyFill="1" applyBorder="1" applyAlignment="1">
      <alignment horizontal="left" vertical="top" readingOrder="1"/>
    </xf>
    <xf numFmtId="0" fontId="10" fillId="15" borderId="6" xfId="0" applyFont="1" applyFill="1" applyBorder="1" applyAlignment="1">
      <alignment horizontal="left" vertical="center" wrapText="1" readingOrder="1"/>
    </xf>
    <xf numFmtId="0" fontId="2" fillId="15" borderId="6" xfId="0" applyFont="1" applyFill="1" applyBorder="1" applyAlignment="1">
      <alignment horizontal="center" vertical="center" readingOrder="1"/>
    </xf>
    <xf numFmtId="11" fontId="0" fillId="0" borderId="0" xfId="0" applyNumberFormat="1"/>
    <xf numFmtId="0" fontId="19" fillId="20" borderId="6" xfId="0" applyFont="1" applyFill="1" applyBorder="1" applyAlignment="1">
      <alignment horizontal="left" vertical="top" readingOrder="1"/>
    </xf>
    <xf numFmtId="0" fontId="2" fillId="20" borderId="2" xfId="0" applyFont="1" applyFill="1" applyBorder="1" applyAlignment="1">
      <alignment horizontal="left" vertical="top" readingOrder="1"/>
    </xf>
    <xf numFmtId="0" fontId="16" fillId="20" borderId="5" xfId="0" applyFont="1" applyFill="1" applyBorder="1" applyAlignment="1">
      <alignment horizontal="left" vertical="center" wrapText="1" readingOrder="1"/>
    </xf>
    <xf numFmtId="0" fontId="12" fillId="7" borderId="6" xfId="0" applyFont="1" applyFill="1" applyBorder="1" applyAlignment="1">
      <alignment horizontal="left" vertical="top" readingOrder="1"/>
    </xf>
    <xf numFmtId="0" fontId="2" fillId="7" borderId="6" xfId="1" applyFont="1" applyFill="1" applyBorder="1" applyAlignment="1">
      <alignment horizontal="left" vertical="top" readingOrder="1"/>
    </xf>
    <xf numFmtId="0" fontId="17" fillId="0" borderId="6" xfId="0" applyFont="1" applyBorder="1"/>
    <xf numFmtId="0" fontId="18" fillId="0" borderId="6" xfId="0" applyFont="1" applyBorder="1"/>
    <xf numFmtId="0" fontId="1" fillId="7" borderId="6" xfId="1" applyFill="1" applyBorder="1" applyAlignment="1">
      <alignment horizontal="left" vertical="top" readingOrder="1"/>
    </xf>
    <xf numFmtId="8" fontId="2" fillId="10" borderId="6" xfId="0" applyNumberFormat="1" applyFont="1" applyFill="1" applyBorder="1" applyAlignment="1">
      <alignment horizontal="left" vertical="top" readingOrder="1"/>
    </xf>
    <xf numFmtId="0" fontId="0" fillId="0" borderId="0" xfId="0" applyBorder="1"/>
    <xf numFmtId="0" fontId="20" fillId="0" borderId="0" xfId="1" applyFont="1" applyFill="1" applyBorder="1" applyAlignment="1">
      <alignment horizontal="left" vertical="top" readingOrder="1"/>
    </xf>
    <xf numFmtId="0" fontId="2" fillId="0" borderId="0" xfId="0" applyFont="1" applyFill="1" applyBorder="1" applyAlignment="1">
      <alignment horizontal="left" vertical="top" readingOrder="1"/>
    </xf>
    <xf numFmtId="0" fontId="2" fillId="0" borderId="0" xfId="0" applyFont="1" applyFill="1" applyBorder="1" applyAlignment="1">
      <alignment horizontal="left" vertical="top" wrapText="1" readingOrder="1"/>
    </xf>
    <xf numFmtId="0" fontId="21" fillId="0" borderId="0" xfId="0" applyFont="1"/>
    <xf numFmtId="0" fontId="2" fillId="9" borderId="6" xfId="0" applyFont="1" applyFill="1" applyBorder="1" applyAlignment="1">
      <alignment horizontal="left" vertical="top" wrapText="1" readingOrder="1"/>
    </xf>
    <xf numFmtId="0" fontId="2" fillId="10" borderId="6" xfId="0" applyFont="1" applyFill="1" applyBorder="1" applyAlignment="1">
      <alignment horizontal="left" vertical="top" wrapText="1" readingOrder="1"/>
    </xf>
    <xf numFmtId="0" fontId="2" fillId="4" borderId="6" xfId="0" applyFont="1" applyFill="1" applyBorder="1" applyAlignment="1">
      <alignment horizontal="center" vertical="top" wrapText="1" readingOrder="1"/>
    </xf>
    <xf numFmtId="0" fontId="9" fillId="4" borderId="7" xfId="0" applyFont="1" applyFill="1" applyBorder="1" applyAlignment="1">
      <alignment horizontal="center" vertical="center" readingOrder="1"/>
    </xf>
    <xf numFmtId="0" fontId="9" fillId="4" borderId="2" xfId="0" applyFont="1" applyFill="1" applyBorder="1" applyAlignment="1">
      <alignment horizontal="center" vertical="center" readingOrder="1"/>
    </xf>
    <xf numFmtId="0" fontId="9" fillId="4" borderId="5" xfId="0" applyFont="1" applyFill="1" applyBorder="1" applyAlignment="1">
      <alignment horizontal="center" vertical="center" readingOrder="1"/>
    </xf>
    <xf numFmtId="0" fontId="2" fillId="21" borderId="13" xfId="0" applyFont="1" applyFill="1" applyBorder="1" applyAlignment="1">
      <alignment horizontal="center" vertical="center" wrapText="1" readingOrder="1"/>
    </xf>
    <xf numFmtId="0" fontId="9" fillId="21" borderId="20" xfId="0" applyFont="1" applyFill="1" applyBorder="1" applyAlignment="1">
      <alignment horizontal="center" vertical="top" readingOrder="1"/>
    </xf>
    <xf numFmtId="0" fontId="9" fillId="21" borderId="21" xfId="0" applyFont="1" applyFill="1" applyBorder="1" applyAlignment="1">
      <alignment horizontal="center" vertical="top" readingOrder="1"/>
    </xf>
    <xf numFmtId="0" fontId="9" fillId="21" borderId="23" xfId="0" applyFont="1" applyFill="1" applyBorder="1" applyAlignment="1">
      <alignment horizontal="center" vertical="top" readingOrder="1"/>
    </xf>
    <xf numFmtId="0" fontId="2" fillId="21" borderId="11" xfId="0" applyFont="1" applyFill="1" applyBorder="1" applyAlignment="1">
      <alignment horizontal="center" vertical="top" readingOrder="1"/>
    </xf>
    <xf numFmtId="0" fontId="2" fillId="21" borderId="12" xfId="0" applyFont="1" applyFill="1" applyBorder="1" applyAlignment="1">
      <alignment horizontal="center" vertical="top" readingOrder="1"/>
    </xf>
    <xf numFmtId="0" fontId="9" fillId="4" borderId="7" xfId="0" applyFont="1" applyFill="1" applyBorder="1" applyAlignment="1">
      <alignment horizontal="center" vertical="center" wrapText="1" readingOrder="1"/>
    </xf>
    <xf numFmtId="0" fontId="9" fillId="4" borderId="5" xfId="0" applyFont="1" applyFill="1" applyBorder="1" applyAlignment="1">
      <alignment horizontal="center" vertical="center" wrapText="1" readingOrder="1"/>
    </xf>
    <xf numFmtId="0" fontId="2" fillId="13" borderId="6" xfId="0" applyFont="1" applyFill="1" applyBorder="1" applyAlignment="1">
      <alignment horizontal="left" vertical="top" wrapText="1" readingOrder="1"/>
    </xf>
  </cellXfs>
  <cellStyles count="2">
    <cellStyle name="Hyperlink" xfId="1" builtinId="8"/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142875</xdr:rowOff>
    </xdr:from>
    <xdr:to>
      <xdr:col>11</xdr:col>
      <xdr:colOff>277146</xdr:colOff>
      <xdr:row>15</xdr:row>
      <xdr:rowOff>86116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42875"/>
          <a:ext cx="6601746" cy="2800741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4</xdr:row>
      <xdr:rowOff>104775</xdr:rowOff>
    </xdr:from>
    <xdr:to>
      <xdr:col>10</xdr:col>
      <xdr:colOff>361950</xdr:colOff>
      <xdr:row>10</xdr:row>
      <xdr:rowOff>161925</xdr:rowOff>
    </xdr:to>
    <xdr:sp macro="" textlink="">
      <xdr:nvSpPr>
        <xdr:cNvPr id="3" name="TextBox 2"/>
        <xdr:cNvSpPr txBox="1"/>
      </xdr:nvSpPr>
      <xdr:spPr>
        <a:xfrm>
          <a:off x="3438525" y="866775"/>
          <a:ext cx="30194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 i="0">
              <a:solidFill>
                <a:srgbClr val="FF0000"/>
              </a:solidFill>
            </a:rPr>
            <a:t>Original core we cant</a:t>
          </a:r>
          <a:r>
            <a:rPr lang="en-GB" sz="2000" b="1" i="0" baseline="0">
              <a:solidFill>
                <a:srgbClr val="FF0000"/>
              </a:solidFill>
            </a:rPr>
            <a:t> get</a:t>
          </a:r>
          <a:endParaRPr lang="en-GB" sz="2000" b="1" i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9525</xdr:colOff>
      <xdr:row>17</xdr:row>
      <xdr:rowOff>171450</xdr:rowOff>
    </xdr:from>
    <xdr:to>
      <xdr:col>14</xdr:col>
      <xdr:colOff>277453</xdr:colOff>
      <xdr:row>36</xdr:row>
      <xdr:rowOff>48113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409950"/>
          <a:ext cx="8802328" cy="3496163"/>
        </a:xfrm>
        <a:prstGeom prst="rect">
          <a:avLst/>
        </a:prstGeom>
      </xdr:spPr>
    </xdr:pic>
    <xdr:clientData/>
  </xdr:twoCellAnchor>
  <xdr:twoCellAnchor>
    <xdr:from>
      <xdr:col>7</xdr:col>
      <xdr:colOff>390525</xdr:colOff>
      <xdr:row>29</xdr:row>
      <xdr:rowOff>47625</xdr:rowOff>
    </xdr:from>
    <xdr:to>
      <xdr:col>11</xdr:col>
      <xdr:colOff>9525</xdr:colOff>
      <xdr:row>34</xdr:row>
      <xdr:rowOff>142875</xdr:rowOff>
    </xdr:to>
    <xdr:sp macro="" textlink="">
      <xdr:nvSpPr>
        <xdr:cNvPr id="5" name="TextBox 4"/>
        <xdr:cNvSpPr txBox="1"/>
      </xdr:nvSpPr>
      <xdr:spPr>
        <a:xfrm>
          <a:off x="4657725" y="5572125"/>
          <a:ext cx="20574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626.79 mm^2 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41414</xdr:colOff>
      <xdr:row>82</xdr:row>
      <xdr:rowOff>49696</xdr:rowOff>
    </xdr:from>
    <xdr:to>
      <xdr:col>2</xdr:col>
      <xdr:colOff>115957</xdr:colOff>
      <xdr:row>105</xdr:row>
      <xdr:rowOff>24848</xdr:rowOff>
    </xdr:to>
    <xdr:sp macro="" textlink="">
      <xdr:nvSpPr>
        <xdr:cNvPr id="3" name="TextBox 2"/>
        <xdr:cNvSpPr txBox="1"/>
      </xdr:nvSpPr>
      <xdr:spPr>
        <a:xfrm>
          <a:off x="41414" y="13310153"/>
          <a:ext cx="2451652" cy="37851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V_F</a:t>
          </a:r>
          <a:r>
            <a:rPr lang="en-GB" sz="1100" baseline="0"/>
            <a:t> = V_H + V_L</a:t>
          </a:r>
        </a:p>
        <a:p>
          <a:r>
            <a:rPr lang="en-GB" sz="1100" baseline="0"/>
            <a:t>V_H/R_H = (V_L/R_L)+(C_L*dV_L/dt)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dV_L/dt = ((V_H/R_H) -  (V_L/R_L))/ C_L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V_H = V_F - V_L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dV_L/dt = (((V_F - V_L)/R_H)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(V_L/R_L))/ C_L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V_F is a constant during discharge.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 to find V_L_t from V_L_0, C_L (constant), R_H (constant)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>
            <a:effectLst/>
          </a:endParaRPr>
        </a:p>
        <a:p>
          <a:endParaRPr lang="en-GB" sz="1100"/>
        </a:p>
      </xdr:txBody>
    </xdr:sp>
    <xdr:clientData/>
  </xdr:twoCellAnchor>
  <xdr:twoCellAnchor editAs="oneCell">
    <xdr:from>
      <xdr:col>0</xdr:col>
      <xdr:colOff>0</xdr:colOff>
      <xdr:row>57</xdr:row>
      <xdr:rowOff>107674</xdr:rowOff>
    </xdr:from>
    <xdr:to>
      <xdr:col>1</xdr:col>
      <xdr:colOff>259118</xdr:colOff>
      <xdr:row>78</xdr:row>
      <xdr:rowOff>92859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10261"/>
          <a:ext cx="2048161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122777</xdr:colOff>
      <xdr:row>94</xdr:row>
      <xdr:rowOff>91596</xdr:rowOff>
    </xdr:from>
    <xdr:to>
      <xdr:col>5</xdr:col>
      <xdr:colOff>952998</xdr:colOff>
      <xdr:row>99</xdr:row>
      <xdr:rowOff>120707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9630" y="15947920"/>
          <a:ext cx="2174927" cy="813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24850</xdr:rowOff>
    </xdr:from>
    <xdr:to>
      <xdr:col>5</xdr:col>
      <xdr:colOff>1345975</xdr:colOff>
      <xdr:row>96</xdr:row>
      <xdr:rowOff>14846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35732"/>
          <a:ext cx="5077534" cy="17157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582127</xdr:colOff>
      <xdr:row>24</xdr:row>
      <xdr:rowOff>86375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97327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co.uk/ProductDetail/KYOCERA-AVX/SR211C104KAATR1?qs=sGAEpiMZZMvsSlwiRhF8qvcZFLKdtpl4z1Dx0c%252BnWlY%3D" TargetMode="External"/><Relationship Id="rId18" Type="http://schemas.openxmlformats.org/officeDocument/2006/relationships/hyperlink" Target="https://www.mouser.co.uk/ProductDetail/TDK/FK16X7R1C106K?qs=zLBlM7QTTNo2fF6bge9DGw%3D%3D" TargetMode="External"/><Relationship Id="rId26" Type="http://schemas.openxmlformats.org/officeDocument/2006/relationships/hyperlink" Target="https://www.mouser.co.uk/ProductDetail/Vishay-Semiconductors/BZX55C3V0-TR?qs=WLTup5mM6hj0XdtrqBFixA%3D%3D3D" TargetMode="External"/><Relationship Id="rId39" Type="http://schemas.openxmlformats.org/officeDocument/2006/relationships/hyperlink" Target="https://www.mouser.co.uk/ProductDetail/Essentra/FH-320-NV?qs=PzGy0jfpSMtU9GQhdYJRvA%3D%3D" TargetMode="External"/><Relationship Id="rId3" Type="http://schemas.openxmlformats.org/officeDocument/2006/relationships/hyperlink" Target="https://www.mouser.co.uk/ProductDetail/Panasonic/ECA-1JM102?qs=EZwXiknEaqTHw%252BmBjjudqg%3D%3D" TargetMode="External"/><Relationship Id="rId21" Type="http://schemas.openxmlformats.org/officeDocument/2006/relationships/hyperlink" Target="https://www.mouser.co.uk/ProductDetail/TDK/FG26X7R2A105KNT06?qs=qf2ddTMq67XO0I1H0ed67A%3D%3D" TargetMode="External"/><Relationship Id="rId34" Type="http://schemas.openxmlformats.org/officeDocument/2006/relationships/hyperlink" Target="https://www.mouser.co.uk/ProductDetail/STMicroelectronics/1N5822?qs=JV7lzlMm3yJ50hlrGV6%252BnQ%3D%3D" TargetMode="External"/><Relationship Id="rId42" Type="http://schemas.openxmlformats.org/officeDocument/2006/relationships/hyperlink" Target="https://www.mouser.co.uk/ProductDetail/Wakefield-Thermal/647-25ABPE?qs=1%252ByrAFyf4wEF4vm1j%252Byz0w%3D%3D" TargetMode="External"/><Relationship Id="rId47" Type="http://schemas.openxmlformats.org/officeDocument/2006/relationships/hyperlink" Target="https://www.aliexpress.com/item/1005007001183779.html?spm=a2g0o.cart.0.0.3f7738daE8N6Kp&amp;mp=1&amp;pdp_npi=6%40dis%21GBP%21GBP%201.34%21GBP%201.27%21%21GBP%201.27%21%21%21%402103985c17696857200332011ea163%2112000039009277917%21ct%21UK%214911257576%21%211%210%21" TargetMode="External"/><Relationship Id="rId50" Type="http://schemas.openxmlformats.org/officeDocument/2006/relationships/hyperlink" Target="https://www.mouser.co.uk/ProductDetail/YAGEO/MFR50SFTE52-1K33?qs=UFD7vfw3J8osCEB2xFvg0Q%3D%3D" TargetMode="External"/><Relationship Id="rId7" Type="http://schemas.openxmlformats.org/officeDocument/2006/relationships/hyperlink" Target="https://www.mouser.co.uk/ProductDetail/KYOCERA-AVX/SR211C104KAATR1?qs=sGAEpiMZZMvsSlwiRhF8qvcZFLKdtpl4z1Dx0c%252BnWlY%3D" TargetMode="External"/><Relationship Id="rId12" Type="http://schemas.openxmlformats.org/officeDocument/2006/relationships/hyperlink" Target="https://www.mouser.co.uk/ProductDetail/KYOCERA-AVX/SR211C104KAATR1?qs=sGAEpiMZZMvsSlwiRhF8qvcZFLKdtpl4z1Dx0c%252BnWlY%3D" TargetMode="External"/><Relationship Id="rId17" Type="http://schemas.openxmlformats.org/officeDocument/2006/relationships/hyperlink" Target="https://www.mouser.co.uk/ProductDetail/TDK/FK16X7R1C106K?qs=zLBlM7QTTNo2fF6bge9DGw%3D%3D" TargetMode="External"/><Relationship Id="rId25" Type="http://schemas.openxmlformats.org/officeDocument/2006/relationships/hyperlink" Target="https://www.mouser.co.uk/ProductDetail/TDK/FK16X7R1C106K?qs=zLBlM7QTTNo2fF6bge9DGw%3D%3D" TargetMode="External"/><Relationship Id="rId33" Type="http://schemas.openxmlformats.org/officeDocument/2006/relationships/hyperlink" Target="https://www.mouser.co.uk/ProductDetail/onsemi/1N4149?qs=i4Fj9T%2FoRm%2FvLHm7C0TH8w%3D%3D" TargetMode="External"/><Relationship Id="rId38" Type="http://schemas.openxmlformats.org/officeDocument/2006/relationships/hyperlink" Target="https://www.mouser.co.uk/ProductDetail/Taiwan-Semiconductor/MUR420-R0?qs=dv9KMQQLqv0Mtply6g8TSg%3D%3D" TargetMode="External"/><Relationship Id="rId46" Type="http://schemas.openxmlformats.org/officeDocument/2006/relationships/hyperlink" Target="https://www.aliexpress.com/item/1005007001183779.html?spm=a2g0o.cart.0.0.3f7738daE8N6Kp&amp;mp=1&amp;pdp_npi=6%40dis%21GBP%21GBP%201.34%21GBP%201.27%21%21GBP%201.27%21%21%21%402103985c17696857200332011ea163%2112000039009277917%21ct%21UK%214911257576%21%211%210%21" TargetMode="External"/><Relationship Id="rId2" Type="http://schemas.openxmlformats.org/officeDocument/2006/relationships/hyperlink" Target="https://www.mouser.co.uk/ProductDetail/Nichicon/UPW1E471MPD6TA?qs=%252Bj3bNAeznFUL2kyej8zyGg%3D%3D" TargetMode="External"/><Relationship Id="rId16" Type="http://schemas.openxmlformats.org/officeDocument/2006/relationships/hyperlink" Target="https://www.mouser.co.uk/ProductDetail/TDK/FK16X7R1C106K?qs=zLBlM7QTTNo2fF6bge9DGw%3D%3D" TargetMode="External"/><Relationship Id="rId20" Type="http://schemas.openxmlformats.org/officeDocument/2006/relationships/hyperlink" Target="https://www.mouser.co.uk/ProductDetail/TDK/FG26X7R2A105KNT06?qs=qf2ddTMq67XO0I1H0ed67A%3D%3D" TargetMode="External"/><Relationship Id="rId29" Type="http://schemas.openxmlformats.org/officeDocument/2006/relationships/hyperlink" Target="https://www.mouser.co.uk/ProductDetail/onsemi/1N4149?qs=i4Fj9T%2FoRm%2FvLHm7C0TH8w%3D%3D" TargetMode="External"/><Relationship Id="rId41" Type="http://schemas.openxmlformats.org/officeDocument/2006/relationships/hyperlink" Target="https://www.mouser.co.uk/ProductDetail/Wakefield-Thermal/647-25ABPE?qs=1%252ByrAFyf4wEF4vm1j%252Byz0w%3D%3D" TargetMode="External"/><Relationship Id="rId1" Type="http://schemas.openxmlformats.org/officeDocument/2006/relationships/hyperlink" Target="https://www.mouser.co.uk/ProductDetail/Panasonic/ECA-1JM102?qs=EZwXiknEaqTHw%252BmBjjudqg%3D%3D" TargetMode="External"/><Relationship Id="rId6" Type="http://schemas.openxmlformats.org/officeDocument/2006/relationships/hyperlink" Target="https://www.mouser.co.uk/ProductDetail/KYOCERA-AVX/SR211C104KAATR1?qs=sGAEpiMZZMvsSlwiRhF8qvcZFLKdtpl4z1Dx0c%252BnWlY%3D" TargetMode="External"/><Relationship Id="rId11" Type="http://schemas.openxmlformats.org/officeDocument/2006/relationships/hyperlink" Target="https://www.mouser.co.uk/ProductDetail/KYOCERA-AVX/SR211C104KAATR1?qs=sGAEpiMZZMvsSlwiRhF8qvcZFLKdtpl4z1Dx0c%252BnWlY%3D" TargetMode="External"/><Relationship Id="rId24" Type="http://schemas.openxmlformats.org/officeDocument/2006/relationships/hyperlink" Target="https://www.mouser.co.uk/ProductDetail/TDK/FK16X7R1C106K?qs=zLBlM7QTTNo2fF6bge9DGw%3D%3D" TargetMode="External"/><Relationship Id="rId32" Type="http://schemas.openxmlformats.org/officeDocument/2006/relationships/hyperlink" Target="https://www.mouser.co.uk/ProductDetail/onsemi/1N4149?qs=i4Fj9T%2FoRm%2FvLHm7C0TH8w%3D%3D" TargetMode="External"/><Relationship Id="rId37" Type="http://schemas.openxmlformats.org/officeDocument/2006/relationships/hyperlink" Target="https://www.mouser.co.uk/ProductDetail/Taiwan-Semiconductor/MUR420-R0?qs=dv9KMQQLqv0Mtply6g8TSg%3D%3D" TargetMode="External"/><Relationship Id="rId40" Type="http://schemas.openxmlformats.org/officeDocument/2006/relationships/hyperlink" Target="https://www.mouser.co.uk/ProductDetail/Wakefield-Thermal/647-25ABPE?qs=1%252ByrAFyf4wEF4vm1j%252Byz0w%3D%3D" TargetMode="External"/><Relationship Id="rId45" Type="http://schemas.openxmlformats.org/officeDocument/2006/relationships/hyperlink" Target="https://www.aliexpress.com/item/1005007001183779.html?spm=a2g0o.cart.0.0.3f7738daE8N6Kp&amp;mp=1&amp;pdp_npi=6%40dis%21GBP%21GBP%201.34%21GBP%201.27%21%21GBP%201.27%21%21%21%402103985c17696857200332011ea163%2112000039009277917%21ct%21UK%214911257576%21%211%210%21" TargetMode="External"/><Relationship Id="rId5" Type="http://schemas.openxmlformats.org/officeDocument/2006/relationships/hyperlink" Target="https://www.mouser.co.uk/ProductDetail/Nichicon/UPW1E471MPD6TA?qs=%252Bj3bNAeznFUL2kyej8zyGg%3D%3D" TargetMode="External"/><Relationship Id="rId15" Type="http://schemas.openxmlformats.org/officeDocument/2006/relationships/hyperlink" Target="https://www.mouser.co.uk/ProductDetail/KYOCERA-AVX/SR211C104KAATR1?qs=sGAEpiMZZMvsSlwiRhF8qvcZFLKdtpl4z1Dx0c%252BnWlY%3D" TargetMode="External"/><Relationship Id="rId23" Type="http://schemas.openxmlformats.org/officeDocument/2006/relationships/hyperlink" Target="https://www.mouser.co.uk/ProductDetail/TDK/FG26X7R2A105KNT06?qs=qf2ddTMq67XO0I1H0ed67A%3D%3D" TargetMode="External"/><Relationship Id="rId28" Type="http://schemas.openxmlformats.org/officeDocument/2006/relationships/hyperlink" Target="https://www.mouser.co.uk/ProductDetail/STMicroelectronics/1N5822?qs=JV7lzlMm3yJ50hlrGV6%252BnQ%3D%3D" TargetMode="External"/><Relationship Id="rId36" Type="http://schemas.openxmlformats.org/officeDocument/2006/relationships/hyperlink" Target="https://www.mouser.co.uk/ProductDetail/onsemi/1N4149?qs=i4Fj9T%2FoRm%2FvLHm7C0TH8w%3D%3D" TargetMode="External"/><Relationship Id="rId49" Type="http://schemas.openxmlformats.org/officeDocument/2006/relationships/hyperlink" Target="https://www.aliexpress.com/item/1005007001183779.html?spm=a2g0o.cart.0.0.3f7738daE8N6Kp&amp;mp=1&amp;pdp_npi=6%40dis%21GBP%21GBP%201.34%21GBP%201.27%21%21GBP%201.27%21%21%21%402103985c17696857200332011ea163%2112000039009277917%21ct%21UK%214911257576%21%211%210%21" TargetMode="External"/><Relationship Id="rId10" Type="http://schemas.openxmlformats.org/officeDocument/2006/relationships/hyperlink" Target="https://www.mouser.co.uk/ProductDetail/KYOCERA-AVX/SR211C104KAATR1?qs=sGAEpiMZZMvsSlwiRhF8qvcZFLKdtpl4z1Dx0c%252BnWlY%3D" TargetMode="External"/><Relationship Id="rId19" Type="http://schemas.openxmlformats.org/officeDocument/2006/relationships/hyperlink" Target="https://www.mouser.co.uk/ProductDetail/Coilcraft/SER2918H-223KL?qs=zCSbvcPd3pbugGZO%2F8SqDw%3D%3D" TargetMode="External"/><Relationship Id="rId31" Type="http://schemas.openxmlformats.org/officeDocument/2006/relationships/hyperlink" Target="https://www.mouser.co.uk/ProductDetail/onsemi/1N4149?qs=i4Fj9T%2FoRm%2FvLHm7C0TH8w%3D%3D" TargetMode="External"/><Relationship Id="rId44" Type="http://schemas.openxmlformats.org/officeDocument/2006/relationships/hyperlink" Target="https://www.aliexpress.com/item/1005007001183779.html?spm=a2g0o.cart.0.0.3f7738daE8N6Kp&amp;mp=1&amp;pdp_npi=6%40dis%21GBP%21GBP%201.34%21GBP%201.27%21%21GBP%201.27%21%21%21%402103985c17696857200332011ea163%2112000039009277917%21ct%21UK%214911257576%21%211%210%21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mouser.co.uk/ProductDetail/Panasonic/ECA-1JM102?qs=EZwXiknEaqTHw%252BmBjjudqg%3D%3D" TargetMode="External"/><Relationship Id="rId9" Type="http://schemas.openxmlformats.org/officeDocument/2006/relationships/hyperlink" Target="https://www.mouser.co.uk/ProductDetail/Vishay-BC-Components/K103K15X7RF5TK2?qs=sYfpZ29HcUSZbtKxC8Ci1g%3D%3D" TargetMode="External"/><Relationship Id="rId14" Type="http://schemas.openxmlformats.org/officeDocument/2006/relationships/hyperlink" Target="https://www.mouser.co.uk/ProductDetail/KYOCERA-AVX/SR211C104KAATR1?qs=sGAEpiMZZMvsSlwiRhF8qvcZFLKdtpl4z1Dx0c%252BnWlY%3D" TargetMode="External"/><Relationship Id="rId22" Type="http://schemas.openxmlformats.org/officeDocument/2006/relationships/hyperlink" Target="https://www.mouser.co.uk/ProductDetail/TDK/FG26X7R2A105KNT06?qs=qf2ddTMq67XO0I1H0ed67A%3D%3D" TargetMode="External"/><Relationship Id="rId27" Type="http://schemas.openxmlformats.org/officeDocument/2006/relationships/hyperlink" Target="https://www.mouser.co.uk/ProductDetail/KYOCERA-AVX/SL155C472MAB?qs=sGAEpiMZZMvsSlwiRhF8qqaXG%2FqyeHNlBnneqO%252BRH5mxkDSvEuox%252BQ%3D%3D" TargetMode="External"/><Relationship Id="rId30" Type="http://schemas.openxmlformats.org/officeDocument/2006/relationships/hyperlink" Target="https://www.mouser.co.uk/ProductDetail/onsemi/1N4149?qs=i4Fj9T%2FoRm%2FvLHm7C0TH8w%3D%3D" TargetMode="External"/><Relationship Id="rId35" Type="http://schemas.openxmlformats.org/officeDocument/2006/relationships/hyperlink" Target="https://www.mouser.co.uk/ProductDetail/STMicroelectronics/1N5822?qs=JV7lzlMm3yJ50hlrGV6%252BnQ%3D%3D" TargetMode="External"/><Relationship Id="rId43" Type="http://schemas.openxmlformats.org/officeDocument/2006/relationships/hyperlink" Target="https://www.mouser.co.uk/ProductDetail/Wakefield-Thermal/647-25ABPE?qs=1%252ByrAFyf4wEF4vm1j%252Byz0w%3D%3D" TargetMode="External"/><Relationship Id="rId48" Type="http://schemas.openxmlformats.org/officeDocument/2006/relationships/hyperlink" Target="https://www.aliexpress.com/item/1005007001183779.html?spm=a2g0o.cart.0.0.3f7738daE8N6Kp&amp;mp=1&amp;pdp_npi=6%40dis%21GBP%21GBP%201.34%21GBP%201.27%21%21GBP%201.27%21%21%21%402103985c17696857200332011ea163%2112000039009277917%21ct%21UK%214911257576%21%211%210%21" TargetMode="External"/><Relationship Id="rId8" Type="http://schemas.openxmlformats.org/officeDocument/2006/relationships/hyperlink" Target="https://www.mouser.co.uk/ProductDetail/KYOCERA-AVX/SR211C104KAATR1?qs=sGAEpiMZZMvsSlwiRhF8qvcZFLKdtpl4z1Dx0c%252BnWlY%3D" TargetMode="External"/><Relationship Id="rId51" Type="http://schemas.openxmlformats.org/officeDocument/2006/relationships/hyperlink" Target="https://www.mouser.co.uk/ProductDetail/YAGEO/MFR50SFTE52-1K33?qs=UFD7vfw3J8osCEB2xFvg0Q%3D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uk/ProductDetail/Ohmite/SM108033006FE?qs=sGAEpiMZZMsPqMdJzcrNwsJljJEG6Yukcxhr%252BDB3b%252B8%3D" TargetMode="External"/><Relationship Id="rId3" Type="http://schemas.openxmlformats.org/officeDocument/2006/relationships/hyperlink" Target="https://www.mouser.co.uk/ProductDetail/YAGEO/MFR-25FBF52-45K3?qs=sGAEpiMZZMsPqMdJzcrNwvki5I7GwxKeE3xxvbKgyM0%3D" TargetMode="External"/><Relationship Id="rId7" Type="http://schemas.openxmlformats.org/officeDocument/2006/relationships/hyperlink" Target="https://www.aliexpress.com/item/1005004279932436.html?pdp_npi=4%40dis%21GBP%21%EF%BF%A11.33%21%EF%BF%A11.33%21%21%2111.82%2111.82%21%40211b619a17401876960841815eaddb%2112000035453859120%21sh%21UK%214911257576%21X&amp;spm=a2g0o.store_pc_allItems" TargetMode="External"/><Relationship Id="rId2" Type="http://schemas.openxmlformats.org/officeDocument/2006/relationships/hyperlink" Target="https://www.mouser.co.uk/ProductDetail/Ohmite/SM108033006FE?qs=sGAEpiMZZMsPqMdJzcrNwsJljJEG6Yukcxhr%252BDB3b%252B8%3D" TargetMode="External"/><Relationship Id="rId1" Type="http://schemas.openxmlformats.org/officeDocument/2006/relationships/hyperlink" Target="https://www.mouser.co.uk/ProductDetail/KEMET/C317C300J5G5TA?qs=b8KOIaRqXtdsFXPxXiN2GA%3D%3D" TargetMode="External"/><Relationship Id="rId6" Type="http://schemas.openxmlformats.org/officeDocument/2006/relationships/hyperlink" Target="https://www.mouser.co.uk/ProductDetail/Murata-Power-Solutions/MHR0844SA107F70?qs=T3oQrply3y%252Bo2f2KmFIg%2Fg%3D%3D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www.mouser.co.uk/ProductDetail/Ohmite/SM108033006FE?qs=sGAEpiMZZMsPqMdJzcrNwsJljJEG6Yukcxhr%252BDB3b%252B8%3D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www.mouser.co.uk/ProductDetail/YAGEO/MFR-25FRF52-27K?qs=sGAEpiMZZMsPqMdJzcrNwiweiCzxKzWLhyrsT9Ty9ww%3D" TargetMode="External"/><Relationship Id="rId9" Type="http://schemas.openxmlformats.org/officeDocument/2006/relationships/hyperlink" Target="https://www.aliexpress.com/item/1005004279932436.html?pdp_npi=4%40dis%21GBP%21%EF%BF%A11.33%21%EF%BF%A11.33%21%21%2111.82%2111.82%21%40211b619a17401876960841815eaddb%2112000035453859120%21sh%21UK%214911257576%21X&amp;spm=a2g0o.store_pc_allItem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trentplastics.co.uk/product/clear-acrylic-tub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1005006754784195.html?spm=a2g0o.cart.0.0.322938daTrlqB9&amp;mp=1&amp;pdp_npi=5%40dis%21GBP%21GBP%204.14%21GBP%204.14%21%21%21%21%21%4021038df617417047619325936ee264%2112000038195597222%21ct%21UK%214911257576%21%211%21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co.uk/ProductDetail/TE-Connectivity/5055323-5?qs=Y2IUIqUeZibHL7okQXpZvA%3D%3D" TargetMode="External"/><Relationship Id="rId1" Type="http://schemas.openxmlformats.org/officeDocument/2006/relationships/hyperlink" Target="https://eu.mouser.com/ProductDetail/TE-Connectivity/9-55556-0?qs=mJctyx65val65L6gnKaTLA%3D%3D&amp;countryCode=GB&amp;currencyCode=G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9"/>
  <sheetViews>
    <sheetView tabSelected="1" zoomScale="70" zoomScaleNormal="70" workbookViewId="0">
      <pane ySplit="1" topLeftCell="A161" activePane="bottomLeft" state="frozen"/>
      <selection activeCell="I1" sqref="I1"/>
      <selection pane="bottomLeft" activeCell="E179" sqref="E179"/>
    </sheetView>
  </sheetViews>
  <sheetFormatPr defaultRowHeight="15" x14ac:dyDescent="0.25"/>
  <cols>
    <col min="1" max="1" width="26.85546875" style="48" customWidth="1"/>
    <col min="2" max="2" width="16.5703125" style="148" customWidth="1"/>
    <col min="3" max="3" width="8.85546875" style="7" customWidth="1"/>
    <col min="4" max="4" width="8.85546875" style="3" customWidth="1"/>
    <col min="5" max="5" width="12.5703125" style="9" customWidth="1"/>
    <col min="6" max="6" width="50.85546875" style="10" customWidth="1"/>
    <col min="7" max="7" width="23.28515625" style="8" customWidth="1"/>
    <col min="8" max="8" width="12.140625" style="11" customWidth="1"/>
    <col min="9" max="9" width="18.7109375" style="13" customWidth="1"/>
    <col min="10" max="10" width="13.140625" style="14" customWidth="1"/>
    <col min="11" max="11" width="39.42578125" style="4" customWidth="1"/>
    <col min="12" max="12" width="14.85546875" style="2" customWidth="1"/>
    <col min="13" max="13" width="13.140625" style="5" customWidth="1"/>
    <col min="14" max="14" width="12.42578125" style="6" customWidth="1"/>
    <col min="15" max="15" width="8.85546875" style="10" customWidth="1"/>
    <col min="16" max="16" width="9.140625" style="15" customWidth="1"/>
    <col min="17" max="17" width="9.42578125" style="17" customWidth="1"/>
    <col min="18" max="18" width="24.7109375" style="16" customWidth="1"/>
    <col min="19" max="19" width="10" style="21" customWidth="1"/>
    <col min="20" max="20" width="10.28515625" style="20" customWidth="1"/>
    <col min="21" max="21" width="9.140625" style="18"/>
    <col min="22" max="22" width="9.140625" style="19"/>
    <col min="23" max="16384" width="9.140625" style="1"/>
  </cols>
  <sheetData>
    <row r="1" spans="1:22" s="12" customFormat="1" ht="36.75" customHeight="1" x14ac:dyDescent="0.25">
      <c r="A1" s="54" t="s">
        <v>21</v>
      </c>
      <c r="B1" s="150" t="s">
        <v>213</v>
      </c>
      <c r="C1" s="55" t="s">
        <v>0</v>
      </c>
      <c r="D1" s="56" t="s">
        <v>22</v>
      </c>
      <c r="E1" s="155" t="s">
        <v>177</v>
      </c>
      <c r="F1" s="57" t="s">
        <v>1</v>
      </c>
      <c r="G1" s="58" t="s">
        <v>2</v>
      </c>
      <c r="H1" s="59" t="s">
        <v>3</v>
      </c>
      <c r="I1" s="60" t="s">
        <v>4</v>
      </c>
      <c r="J1" s="61" t="s">
        <v>5</v>
      </c>
      <c r="K1" s="62" t="s">
        <v>6</v>
      </c>
      <c r="L1" s="63" t="s">
        <v>7</v>
      </c>
      <c r="M1" s="64" t="s">
        <v>8</v>
      </c>
      <c r="N1" s="65" t="s">
        <v>9</v>
      </c>
      <c r="O1" s="57" t="s">
        <v>10</v>
      </c>
      <c r="P1" s="66" t="s">
        <v>11</v>
      </c>
      <c r="Q1" s="67" t="s">
        <v>12</v>
      </c>
      <c r="R1" s="68" t="s">
        <v>13</v>
      </c>
      <c r="S1" s="69" t="s">
        <v>14</v>
      </c>
      <c r="T1" s="70" t="s">
        <v>15</v>
      </c>
      <c r="U1" s="71" t="s">
        <v>17</v>
      </c>
      <c r="V1" s="72" t="s">
        <v>19</v>
      </c>
    </row>
    <row r="2" spans="1:22" ht="12.75" x14ac:dyDescent="0.25">
      <c r="A2" s="169" t="s">
        <v>212</v>
      </c>
      <c r="B2" s="147" t="s">
        <v>214</v>
      </c>
      <c r="C2" s="23"/>
      <c r="D2" s="53" t="s">
        <v>190</v>
      </c>
      <c r="E2" s="47" t="s">
        <v>43</v>
      </c>
      <c r="F2" s="24" t="s">
        <v>188</v>
      </c>
      <c r="G2" s="25" t="s">
        <v>188</v>
      </c>
      <c r="H2" s="26"/>
      <c r="I2" s="27"/>
      <c r="J2" s="28"/>
      <c r="K2" s="29" t="s">
        <v>189</v>
      </c>
      <c r="L2" s="30" t="s">
        <v>424</v>
      </c>
      <c r="M2" s="40">
        <v>0.2</v>
      </c>
      <c r="N2" s="32" t="s">
        <v>425</v>
      </c>
      <c r="O2" s="24"/>
      <c r="P2" s="33" t="s">
        <v>426</v>
      </c>
      <c r="Q2" s="34" t="s">
        <v>178</v>
      </c>
      <c r="R2" s="35" t="s">
        <v>191</v>
      </c>
      <c r="S2" s="52">
        <v>1.79</v>
      </c>
      <c r="T2" s="37" t="s">
        <v>16</v>
      </c>
      <c r="U2" s="38" t="s">
        <v>18</v>
      </c>
      <c r="V2" s="22" t="s">
        <v>20</v>
      </c>
    </row>
    <row r="3" spans="1:22" ht="15" customHeight="1" x14ac:dyDescent="0.25">
      <c r="A3" s="169"/>
      <c r="B3" s="147" t="s">
        <v>215</v>
      </c>
      <c r="C3" s="23"/>
      <c r="D3" s="53" t="s">
        <v>190</v>
      </c>
      <c r="E3" s="47" t="s">
        <v>43</v>
      </c>
      <c r="F3" s="24" t="s">
        <v>188</v>
      </c>
      <c r="G3" s="25" t="s">
        <v>188</v>
      </c>
      <c r="H3" s="26"/>
      <c r="I3" s="27"/>
      <c r="J3" s="28"/>
      <c r="K3" s="29" t="s">
        <v>189</v>
      </c>
      <c r="L3" s="30" t="s">
        <v>424</v>
      </c>
      <c r="M3" s="40">
        <v>0.2</v>
      </c>
      <c r="N3" s="32" t="s">
        <v>425</v>
      </c>
      <c r="O3" s="24"/>
      <c r="P3" s="33" t="s">
        <v>426</v>
      </c>
      <c r="Q3" s="34" t="s">
        <v>178</v>
      </c>
      <c r="R3" s="35" t="s">
        <v>191</v>
      </c>
      <c r="S3" s="52">
        <v>1.79</v>
      </c>
      <c r="T3" s="37"/>
      <c r="U3" s="38"/>
      <c r="V3" s="22"/>
    </row>
    <row r="4" spans="1:22" ht="15" customHeight="1" x14ac:dyDescent="0.25">
      <c r="A4" s="169"/>
      <c r="B4" s="147" t="s">
        <v>216</v>
      </c>
      <c r="C4" s="23"/>
      <c r="D4" s="53" t="s">
        <v>190</v>
      </c>
      <c r="E4" s="47" t="s">
        <v>43</v>
      </c>
      <c r="F4" s="24" t="s">
        <v>188</v>
      </c>
      <c r="G4" s="25" t="s">
        <v>188</v>
      </c>
      <c r="H4" s="26"/>
      <c r="I4" s="27"/>
      <c r="J4" s="28"/>
      <c r="K4" s="29" t="s">
        <v>189</v>
      </c>
      <c r="L4" s="30" t="s">
        <v>424</v>
      </c>
      <c r="M4" s="40">
        <v>0.2</v>
      </c>
      <c r="N4" s="32" t="s">
        <v>425</v>
      </c>
      <c r="O4" s="24"/>
      <c r="P4" s="33" t="s">
        <v>426</v>
      </c>
      <c r="Q4" s="34" t="s">
        <v>178</v>
      </c>
      <c r="R4" s="35" t="s">
        <v>191</v>
      </c>
      <c r="S4" s="52">
        <v>1.79</v>
      </c>
      <c r="T4" s="37"/>
      <c r="U4" s="38"/>
      <c r="V4" s="22"/>
    </row>
    <row r="5" spans="1:22" ht="15" customHeight="1" x14ac:dyDescent="0.25">
      <c r="A5" s="169"/>
      <c r="B5" s="147" t="s">
        <v>217</v>
      </c>
      <c r="C5" s="23"/>
      <c r="D5" s="53" t="s">
        <v>190</v>
      </c>
      <c r="E5" s="47" t="s">
        <v>43</v>
      </c>
      <c r="F5" s="24" t="s">
        <v>188</v>
      </c>
      <c r="G5" s="25" t="s">
        <v>188</v>
      </c>
      <c r="H5" s="26"/>
      <c r="I5" s="27"/>
      <c r="J5" s="28"/>
      <c r="K5" s="29" t="s">
        <v>189</v>
      </c>
      <c r="L5" s="30" t="s">
        <v>424</v>
      </c>
      <c r="M5" s="40">
        <v>0.2</v>
      </c>
      <c r="N5" s="32" t="s">
        <v>425</v>
      </c>
      <c r="O5" s="24"/>
      <c r="P5" s="33" t="s">
        <v>426</v>
      </c>
      <c r="Q5" s="34" t="s">
        <v>178</v>
      </c>
      <c r="R5" s="35" t="s">
        <v>191</v>
      </c>
      <c r="S5" s="52">
        <v>1.79</v>
      </c>
      <c r="T5" s="37"/>
      <c r="U5" s="38"/>
      <c r="V5" s="22"/>
    </row>
    <row r="6" spans="1:22" ht="12.75" x14ac:dyDescent="0.25">
      <c r="A6" s="169"/>
      <c r="B6" s="147" t="s">
        <v>218</v>
      </c>
      <c r="C6" s="23"/>
      <c r="D6" s="53" t="s">
        <v>190</v>
      </c>
      <c r="E6" s="47" t="s">
        <v>43</v>
      </c>
      <c r="F6" s="24" t="s">
        <v>188</v>
      </c>
      <c r="G6" s="25" t="s">
        <v>188</v>
      </c>
      <c r="H6" s="26"/>
      <c r="I6" s="27"/>
      <c r="J6" s="28"/>
      <c r="K6" s="29" t="s">
        <v>189</v>
      </c>
      <c r="L6" s="30" t="s">
        <v>424</v>
      </c>
      <c r="M6" s="40">
        <v>0.2</v>
      </c>
      <c r="N6" s="32" t="s">
        <v>425</v>
      </c>
      <c r="O6" s="24"/>
      <c r="P6" s="33" t="s">
        <v>426</v>
      </c>
      <c r="Q6" s="34" t="s">
        <v>178</v>
      </c>
      <c r="R6" s="35" t="s">
        <v>191</v>
      </c>
      <c r="S6" s="52">
        <v>1.79</v>
      </c>
      <c r="T6" s="37"/>
      <c r="U6" s="38"/>
      <c r="V6" s="22"/>
    </row>
    <row r="7" spans="1:22" ht="15" customHeight="1" x14ac:dyDescent="0.25">
      <c r="A7" s="169"/>
      <c r="B7" s="147" t="s">
        <v>219</v>
      </c>
      <c r="C7" s="23"/>
      <c r="D7" s="53" t="s">
        <v>190</v>
      </c>
      <c r="E7" s="47" t="s">
        <v>43</v>
      </c>
      <c r="F7" s="24" t="s">
        <v>188</v>
      </c>
      <c r="G7" s="25" t="s">
        <v>188</v>
      </c>
      <c r="H7" s="26"/>
      <c r="I7" s="27"/>
      <c r="J7" s="28"/>
      <c r="K7" s="29" t="s">
        <v>189</v>
      </c>
      <c r="L7" s="30" t="s">
        <v>424</v>
      </c>
      <c r="M7" s="40">
        <v>0.2</v>
      </c>
      <c r="N7" s="32" t="s">
        <v>425</v>
      </c>
      <c r="O7" s="24"/>
      <c r="P7" s="33" t="s">
        <v>426</v>
      </c>
      <c r="Q7" s="34" t="s">
        <v>178</v>
      </c>
      <c r="R7" s="35" t="s">
        <v>191</v>
      </c>
      <c r="S7" s="52">
        <v>1.79</v>
      </c>
      <c r="T7" s="37"/>
      <c r="U7" s="38"/>
      <c r="V7" s="22"/>
    </row>
    <row r="8" spans="1:22" ht="15" customHeight="1" x14ac:dyDescent="0.25">
      <c r="A8" s="169"/>
      <c r="B8" s="147" t="s">
        <v>220</v>
      </c>
      <c r="C8" s="23"/>
      <c r="D8" s="53" t="s">
        <v>190</v>
      </c>
      <c r="E8" s="47" t="s">
        <v>43</v>
      </c>
      <c r="F8" s="24" t="s">
        <v>188</v>
      </c>
      <c r="G8" s="25" t="s">
        <v>188</v>
      </c>
      <c r="H8" s="26"/>
      <c r="I8" s="27"/>
      <c r="J8" s="28"/>
      <c r="K8" s="29" t="s">
        <v>189</v>
      </c>
      <c r="L8" s="30" t="s">
        <v>424</v>
      </c>
      <c r="M8" s="40">
        <v>0.2</v>
      </c>
      <c r="N8" s="32" t="s">
        <v>425</v>
      </c>
      <c r="O8" s="24"/>
      <c r="P8" s="33" t="s">
        <v>426</v>
      </c>
      <c r="Q8" s="34" t="s">
        <v>178</v>
      </c>
      <c r="R8" s="35" t="s">
        <v>191</v>
      </c>
      <c r="S8" s="52">
        <v>1.79</v>
      </c>
      <c r="T8" s="37"/>
      <c r="U8" s="38"/>
      <c r="V8" s="22"/>
    </row>
    <row r="9" spans="1:22" ht="12.75" x14ac:dyDescent="0.25">
      <c r="A9" s="169"/>
      <c r="B9" s="147" t="s">
        <v>221</v>
      </c>
      <c r="C9" s="23"/>
      <c r="D9" s="53" t="s">
        <v>190</v>
      </c>
      <c r="E9" s="47" t="s">
        <v>43</v>
      </c>
      <c r="F9" s="24" t="s">
        <v>188</v>
      </c>
      <c r="G9" s="25" t="s">
        <v>188</v>
      </c>
      <c r="H9" s="26"/>
      <c r="I9" s="27"/>
      <c r="J9" s="28"/>
      <c r="K9" s="29" t="s">
        <v>189</v>
      </c>
      <c r="L9" s="30" t="s">
        <v>424</v>
      </c>
      <c r="M9" s="40">
        <v>0.2</v>
      </c>
      <c r="N9" s="32" t="s">
        <v>425</v>
      </c>
      <c r="O9" s="24"/>
      <c r="P9" s="33" t="s">
        <v>426</v>
      </c>
      <c r="Q9" s="34" t="s">
        <v>178</v>
      </c>
      <c r="R9" s="35" t="s">
        <v>191</v>
      </c>
      <c r="S9" s="52">
        <v>1.79</v>
      </c>
      <c r="T9" s="111"/>
      <c r="U9" s="38"/>
      <c r="V9" s="22"/>
    </row>
    <row r="10" spans="1:22" ht="12.75" x14ac:dyDescent="0.25">
      <c r="A10" s="169"/>
      <c r="B10" s="147" t="s">
        <v>222</v>
      </c>
      <c r="C10" s="23"/>
      <c r="D10" s="53" t="s">
        <v>190</v>
      </c>
      <c r="E10" s="47" t="s">
        <v>43</v>
      </c>
      <c r="F10" s="24" t="s">
        <v>188</v>
      </c>
      <c r="G10" s="25" t="s">
        <v>188</v>
      </c>
      <c r="H10" s="26"/>
      <c r="I10" s="27"/>
      <c r="J10" s="28"/>
      <c r="K10" s="29" t="s">
        <v>189</v>
      </c>
      <c r="L10" s="30" t="s">
        <v>424</v>
      </c>
      <c r="M10" s="40">
        <v>0.2</v>
      </c>
      <c r="N10" s="32" t="s">
        <v>425</v>
      </c>
      <c r="O10" s="24"/>
      <c r="P10" s="33" t="s">
        <v>426</v>
      </c>
      <c r="Q10" s="34" t="s">
        <v>178</v>
      </c>
      <c r="R10" s="35" t="s">
        <v>191</v>
      </c>
      <c r="S10" s="52">
        <v>1.79</v>
      </c>
      <c r="T10" s="111"/>
      <c r="U10" s="38"/>
      <c r="V10" s="22"/>
    </row>
    <row r="11" spans="1:22" ht="15" customHeight="1" x14ac:dyDescent="0.25">
      <c r="A11" s="169"/>
      <c r="B11" s="147" t="s">
        <v>223</v>
      </c>
      <c r="C11" s="74"/>
      <c r="D11" s="53" t="s">
        <v>190</v>
      </c>
      <c r="E11" s="47" t="s">
        <v>43</v>
      </c>
      <c r="F11" s="24" t="s">
        <v>188</v>
      </c>
      <c r="G11" s="25" t="s">
        <v>188</v>
      </c>
      <c r="H11" s="26"/>
      <c r="I11" s="27"/>
      <c r="J11" s="28"/>
      <c r="K11" s="29" t="s">
        <v>189</v>
      </c>
      <c r="L11" s="30" t="s">
        <v>424</v>
      </c>
      <c r="M11" s="40">
        <v>0.2</v>
      </c>
      <c r="N11" s="32" t="s">
        <v>425</v>
      </c>
      <c r="O11" s="24"/>
      <c r="P11" s="33" t="s">
        <v>426</v>
      </c>
      <c r="Q11" s="34" t="s">
        <v>178</v>
      </c>
      <c r="R11" s="35" t="s">
        <v>191</v>
      </c>
      <c r="S11" s="52">
        <v>1.79</v>
      </c>
      <c r="T11" s="111"/>
      <c r="U11" s="38"/>
      <c r="V11" s="22"/>
    </row>
    <row r="12" spans="1:22" ht="15" customHeight="1" x14ac:dyDescent="0.25">
      <c r="A12" s="169"/>
      <c r="B12" s="147" t="s">
        <v>224</v>
      </c>
      <c r="C12" s="23"/>
      <c r="D12" s="42" t="s">
        <v>439</v>
      </c>
      <c r="E12" s="47" t="s">
        <v>43</v>
      </c>
      <c r="F12" s="24" t="s">
        <v>440</v>
      </c>
      <c r="G12" s="25" t="s">
        <v>441</v>
      </c>
      <c r="H12" s="26"/>
      <c r="I12" s="27"/>
      <c r="J12" s="28"/>
      <c r="K12" s="29" t="s">
        <v>444</v>
      </c>
      <c r="L12" s="30" t="s">
        <v>445</v>
      </c>
      <c r="M12" s="40">
        <v>0.1</v>
      </c>
      <c r="N12" s="32" t="s">
        <v>31</v>
      </c>
      <c r="O12" s="24"/>
      <c r="P12" s="33"/>
      <c r="Q12" s="34" t="s">
        <v>438</v>
      </c>
      <c r="R12" s="35"/>
      <c r="S12" s="36"/>
      <c r="T12" s="111"/>
      <c r="U12" s="38"/>
      <c r="V12" s="22"/>
    </row>
    <row r="13" spans="1:22" ht="15" customHeight="1" x14ac:dyDescent="0.25">
      <c r="A13" s="169"/>
      <c r="B13" s="147" t="s">
        <v>225</v>
      </c>
      <c r="C13" s="23"/>
      <c r="D13" s="42" t="s">
        <v>439</v>
      </c>
      <c r="E13" s="47" t="s">
        <v>43</v>
      </c>
      <c r="F13" s="24" t="s">
        <v>440</v>
      </c>
      <c r="G13" s="25" t="s">
        <v>441</v>
      </c>
      <c r="H13" s="26"/>
      <c r="I13" s="27"/>
      <c r="J13" s="28"/>
      <c r="K13" s="29" t="s">
        <v>444</v>
      </c>
      <c r="L13" s="30" t="s">
        <v>445</v>
      </c>
      <c r="M13" s="40">
        <v>0.1</v>
      </c>
      <c r="N13" s="32" t="s">
        <v>31</v>
      </c>
      <c r="O13" s="24"/>
      <c r="P13" s="33"/>
      <c r="Q13" s="34" t="s">
        <v>438</v>
      </c>
      <c r="R13" s="35"/>
      <c r="S13" s="36"/>
      <c r="T13" s="111"/>
      <c r="U13" s="38"/>
      <c r="V13" s="22"/>
    </row>
    <row r="14" spans="1:22" ht="12.75" x14ac:dyDescent="0.25">
      <c r="A14" s="169"/>
      <c r="B14" s="147" t="s">
        <v>226</v>
      </c>
      <c r="C14" s="23"/>
      <c r="D14" s="42" t="s">
        <v>439</v>
      </c>
      <c r="E14" s="47" t="s">
        <v>43</v>
      </c>
      <c r="F14" s="24" t="s">
        <v>440</v>
      </c>
      <c r="G14" s="25" t="s">
        <v>441</v>
      </c>
      <c r="H14" s="26"/>
      <c r="I14" s="27"/>
      <c r="J14" s="28"/>
      <c r="K14" s="29" t="s">
        <v>444</v>
      </c>
      <c r="L14" s="30" t="s">
        <v>445</v>
      </c>
      <c r="M14" s="40">
        <v>0.1</v>
      </c>
      <c r="N14" s="32" t="s">
        <v>31</v>
      </c>
      <c r="O14" s="24"/>
      <c r="P14" s="33"/>
      <c r="Q14" s="34" t="s">
        <v>438</v>
      </c>
      <c r="R14" s="35"/>
      <c r="S14" s="36"/>
      <c r="T14" s="111"/>
      <c r="U14" s="38"/>
      <c r="V14" s="22"/>
    </row>
    <row r="15" spans="1:22" ht="12.75" x14ac:dyDescent="0.25">
      <c r="A15" s="169"/>
      <c r="B15" s="147" t="s">
        <v>227</v>
      </c>
      <c r="C15" s="23"/>
      <c r="D15" s="42" t="s">
        <v>439</v>
      </c>
      <c r="E15" s="47" t="s">
        <v>43</v>
      </c>
      <c r="F15" s="24" t="s">
        <v>440</v>
      </c>
      <c r="G15" s="25" t="s">
        <v>441</v>
      </c>
      <c r="H15" s="26"/>
      <c r="I15" s="27"/>
      <c r="J15" s="28"/>
      <c r="K15" s="29" t="s">
        <v>444</v>
      </c>
      <c r="L15" s="30" t="s">
        <v>445</v>
      </c>
      <c r="M15" s="40">
        <v>0.1</v>
      </c>
      <c r="N15" s="32" t="s">
        <v>31</v>
      </c>
      <c r="O15" s="24"/>
      <c r="P15" s="33"/>
      <c r="Q15" s="34" t="s">
        <v>438</v>
      </c>
      <c r="R15" s="35"/>
      <c r="S15" s="36"/>
      <c r="T15" s="111"/>
      <c r="U15" s="38"/>
      <c r="V15" s="22"/>
    </row>
    <row r="16" spans="1:22" ht="12.75" x14ac:dyDescent="0.25">
      <c r="A16" s="169"/>
      <c r="B16" s="147" t="s">
        <v>228</v>
      </c>
      <c r="C16" s="23"/>
      <c r="D16" s="42" t="s">
        <v>439</v>
      </c>
      <c r="E16" s="47" t="s">
        <v>43</v>
      </c>
      <c r="F16" s="24" t="s">
        <v>440</v>
      </c>
      <c r="G16" s="25" t="s">
        <v>441</v>
      </c>
      <c r="H16" s="26"/>
      <c r="I16" s="27"/>
      <c r="J16" s="28"/>
      <c r="K16" s="29" t="s">
        <v>444</v>
      </c>
      <c r="L16" s="30" t="s">
        <v>445</v>
      </c>
      <c r="M16" s="40">
        <v>0.1</v>
      </c>
      <c r="N16" s="32" t="s">
        <v>31</v>
      </c>
      <c r="O16" s="24"/>
      <c r="P16" s="33"/>
      <c r="Q16" s="34" t="s">
        <v>438</v>
      </c>
      <c r="R16" s="35"/>
      <c r="S16" s="36"/>
      <c r="T16" s="111"/>
      <c r="U16" s="38"/>
      <c r="V16" s="22"/>
    </row>
    <row r="17" spans="1:25" ht="12.75" x14ac:dyDescent="0.25">
      <c r="A17" s="169"/>
      <c r="B17" s="147" t="s">
        <v>229</v>
      </c>
      <c r="C17" s="23"/>
      <c r="D17" s="42" t="s">
        <v>439</v>
      </c>
      <c r="E17" s="47" t="s">
        <v>43</v>
      </c>
      <c r="F17" s="24" t="s">
        <v>440</v>
      </c>
      <c r="G17" s="25" t="s">
        <v>441</v>
      </c>
      <c r="H17" s="26"/>
      <c r="I17" s="27"/>
      <c r="J17" s="28"/>
      <c r="K17" s="29" t="s">
        <v>444</v>
      </c>
      <c r="L17" s="30" t="s">
        <v>445</v>
      </c>
      <c r="M17" s="40">
        <v>0.1</v>
      </c>
      <c r="N17" s="32" t="s">
        <v>31</v>
      </c>
      <c r="O17" s="24"/>
      <c r="P17" s="33"/>
      <c r="Q17" s="34" t="s">
        <v>438</v>
      </c>
      <c r="R17" s="35"/>
      <c r="S17" s="36"/>
      <c r="T17" s="111"/>
      <c r="U17" s="38"/>
      <c r="V17" s="22"/>
    </row>
    <row r="18" spans="1:25" ht="12.75" x14ac:dyDescent="0.25">
      <c r="A18" s="169"/>
      <c r="B18" s="147" t="s">
        <v>230</v>
      </c>
      <c r="C18" s="39"/>
      <c r="D18" s="42" t="s">
        <v>436</v>
      </c>
      <c r="E18" s="47" t="s">
        <v>43</v>
      </c>
      <c r="F18" s="24" t="s">
        <v>437</v>
      </c>
      <c r="G18" s="41" t="s">
        <v>442</v>
      </c>
      <c r="H18" s="26"/>
      <c r="I18" s="27"/>
      <c r="J18" s="28"/>
      <c r="K18" s="77" t="s">
        <v>443</v>
      </c>
      <c r="L18" s="30" t="s">
        <v>435</v>
      </c>
      <c r="M18" s="40">
        <v>0.1</v>
      </c>
      <c r="N18" s="32" t="s">
        <v>31</v>
      </c>
      <c r="O18" s="24"/>
      <c r="P18" s="33"/>
      <c r="Q18" s="34" t="s">
        <v>438</v>
      </c>
      <c r="R18" s="35"/>
      <c r="S18" s="36"/>
      <c r="T18" s="111"/>
      <c r="U18" s="38"/>
      <c r="V18" s="22"/>
    </row>
    <row r="19" spans="1:25" ht="12.75" x14ac:dyDescent="0.25">
      <c r="A19" s="169"/>
      <c r="B19" s="147" t="s">
        <v>231</v>
      </c>
      <c r="C19" s="39"/>
      <c r="D19" s="42" t="s">
        <v>436</v>
      </c>
      <c r="E19" s="47" t="s">
        <v>43</v>
      </c>
      <c r="F19" s="24" t="s">
        <v>437</v>
      </c>
      <c r="G19" s="41" t="s">
        <v>442</v>
      </c>
      <c r="H19" s="26"/>
      <c r="I19" s="27"/>
      <c r="J19" s="28"/>
      <c r="K19" s="77" t="s">
        <v>443</v>
      </c>
      <c r="L19" s="30" t="s">
        <v>435</v>
      </c>
      <c r="M19" s="40">
        <v>0.1</v>
      </c>
      <c r="N19" s="32" t="s">
        <v>31</v>
      </c>
      <c r="O19" s="24"/>
      <c r="P19" s="33"/>
      <c r="Q19" s="34" t="s">
        <v>438</v>
      </c>
      <c r="R19" s="35"/>
      <c r="S19" s="36"/>
      <c r="T19" s="111"/>
      <c r="U19" s="38"/>
      <c r="V19" s="22"/>
    </row>
    <row r="20" spans="1:25" ht="12.75" x14ac:dyDescent="0.25">
      <c r="A20" s="169"/>
      <c r="B20" s="147" t="s">
        <v>232</v>
      </c>
      <c r="C20" s="39"/>
      <c r="D20" s="42" t="s">
        <v>436</v>
      </c>
      <c r="E20" s="47" t="s">
        <v>43</v>
      </c>
      <c r="F20" s="24" t="s">
        <v>437</v>
      </c>
      <c r="G20" s="41" t="s">
        <v>442</v>
      </c>
      <c r="H20" s="26"/>
      <c r="I20" s="27"/>
      <c r="J20" s="28"/>
      <c r="K20" s="77" t="s">
        <v>443</v>
      </c>
      <c r="L20" s="30" t="s">
        <v>435</v>
      </c>
      <c r="M20" s="40">
        <v>0.1</v>
      </c>
      <c r="N20" s="32" t="s">
        <v>31</v>
      </c>
      <c r="O20" s="24"/>
      <c r="P20" s="33"/>
      <c r="Q20" s="34" t="s">
        <v>438</v>
      </c>
      <c r="R20" s="35"/>
      <c r="S20" s="36"/>
      <c r="T20" s="111"/>
      <c r="U20" s="38"/>
      <c r="V20" s="22"/>
    </row>
    <row r="21" spans="1:25" ht="12.75" x14ac:dyDescent="0.25">
      <c r="A21" s="169"/>
      <c r="B21" s="147" t="s">
        <v>233</v>
      </c>
      <c r="C21" s="39"/>
      <c r="D21" s="42" t="s">
        <v>436</v>
      </c>
      <c r="E21" s="47" t="s">
        <v>43</v>
      </c>
      <c r="F21" s="24" t="s">
        <v>437</v>
      </c>
      <c r="G21" s="41" t="s">
        <v>442</v>
      </c>
      <c r="H21" s="26"/>
      <c r="I21" s="27"/>
      <c r="J21" s="28"/>
      <c r="K21" s="77" t="s">
        <v>443</v>
      </c>
      <c r="L21" s="30" t="s">
        <v>435</v>
      </c>
      <c r="M21" s="40">
        <v>0.1</v>
      </c>
      <c r="N21" s="32" t="s">
        <v>31</v>
      </c>
      <c r="O21" s="24"/>
      <c r="P21" s="33"/>
      <c r="Q21" s="34" t="s">
        <v>438</v>
      </c>
      <c r="R21" s="35"/>
      <c r="S21" s="36"/>
      <c r="T21" s="111"/>
      <c r="U21" s="38"/>
      <c r="V21" s="22"/>
    </row>
    <row r="22" spans="1:25" ht="12.75" x14ac:dyDescent="0.25">
      <c r="A22" s="169"/>
      <c r="B22" s="147" t="s">
        <v>234</v>
      </c>
      <c r="C22" s="39"/>
      <c r="D22" s="42" t="s">
        <v>436</v>
      </c>
      <c r="E22" s="47" t="s">
        <v>43</v>
      </c>
      <c r="F22" s="24" t="s">
        <v>437</v>
      </c>
      <c r="G22" s="41" t="s">
        <v>442</v>
      </c>
      <c r="H22" s="26"/>
      <c r="I22" s="27"/>
      <c r="J22" s="28"/>
      <c r="K22" s="77" t="s">
        <v>443</v>
      </c>
      <c r="L22" s="30" t="s">
        <v>435</v>
      </c>
      <c r="M22" s="40">
        <v>0.1</v>
      </c>
      <c r="N22" s="32" t="s">
        <v>31</v>
      </c>
      <c r="O22" s="24"/>
      <c r="P22" s="33"/>
      <c r="Q22" s="34" t="s">
        <v>438</v>
      </c>
      <c r="R22" s="35"/>
      <c r="S22" s="36"/>
      <c r="T22" s="111"/>
      <c r="U22" s="38"/>
      <c r="V22" s="22"/>
    </row>
    <row r="23" spans="1:25" ht="12.75" x14ac:dyDescent="0.25">
      <c r="A23" s="169"/>
      <c r="B23" s="147" t="s">
        <v>235</v>
      </c>
      <c r="C23" s="39"/>
      <c r="D23" s="42" t="s">
        <v>436</v>
      </c>
      <c r="E23" s="47" t="s">
        <v>43</v>
      </c>
      <c r="F23" s="24" t="s">
        <v>437</v>
      </c>
      <c r="G23" s="41" t="s">
        <v>442</v>
      </c>
      <c r="H23" s="26"/>
      <c r="I23" s="27"/>
      <c r="J23" s="28"/>
      <c r="K23" s="77" t="s">
        <v>443</v>
      </c>
      <c r="L23" s="30" t="s">
        <v>435</v>
      </c>
      <c r="M23" s="40">
        <v>0.1</v>
      </c>
      <c r="N23" s="32" t="s">
        <v>31</v>
      </c>
      <c r="O23" s="24"/>
      <c r="P23" s="33"/>
      <c r="Q23" s="34" t="s">
        <v>438</v>
      </c>
      <c r="R23" s="35"/>
      <c r="S23" s="36"/>
      <c r="T23" s="111"/>
      <c r="U23" s="38"/>
      <c r="V23" s="22"/>
    </row>
    <row r="24" spans="1:25" ht="15.75" customHeight="1" x14ac:dyDescent="0.25">
      <c r="A24" s="169"/>
      <c r="B24" s="147" t="s">
        <v>236</v>
      </c>
      <c r="C24" s="39"/>
      <c r="D24" s="42" t="s">
        <v>436</v>
      </c>
      <c r="E24" s="47" t="s">
        <v>43</v>
      </c>
      <c r="F24" s="24" t="s">
        <v>437</v>
      </c>
      <c r="G24" s="41" t="s">
        <v>442</v>
      </c>
      <c r="H24" s="26"/>
      <c r="I24" s="27"/>
      <c r="J24" s="28"/>
      <c r="K24" s="77" t="s">
        <v>443</v>
      </c>
      <c r="L24" s="30" t="s">
        <v>435</v>
      </c>
      <c r="M24" s="40">
        <v>0.1</v>
      </c>
      <c r="N24" s="32" t="s">
        <v>31</v>
      </c>
      <c r="O24" s="24"/>
      <c r="P24" s="33"/>
      <c r="Q24" s="34" t="s">
        <v>438</v>
      </c>
      <c r="R24" s="35"/>
      <c r="S24" s="36"/>
      <c r="T24" s="111"/>
      <c r="U24" s="38"/>
      <c r="V24" s="22"/>
    </row>
    <row r="25" spans="1:25" ht="12.75" x14ac:dyDescent="0.25">
      <c r="A25" s="169"/>
      <c r="B25" s="147" t="s">
        <v>237</v>
      </c>
      <c r="C25" s="39"/>
      <c r="D25" s="42" t="s">
        <v>436</v>
      </c>
      <c r="E25" s="47" t="s">
        <v>43</v>
      </c>
      <c r="F25" s="24" t="s">
        <v>437</v>
      </c>
      <c r="G25" s="41" t="s">
        <v>442</v>
      </c>
      <c r="H25" s="26"/>
      <c r="I25" s="27"/>
      <c r="J25" s="28"/>
      <c r="K25" s="77" t="s">
        <v>443</v>
      </c>
      <c r="L25" s="30" t="s">
        <v>435</v>
      </c>
      <c r="M25" s="40">
        <v>0.1</v>
      </c>
      <c r="N25" s="32" t="s">
        <v>31</v>
      </c>
      <c r="O25" s="24"/>
      <c r="P25" s="33"/>
      <c r="Q25" s="34" t="s">
        <v>438</v>
      </c>
      <c r="R25" s="35"/>
      <c r="S25" s="36"/>
      <c r="T25" s="111"/>
      <c r="U25" s="38"/>
      <c r="V25" s="22"/>
      <c r="Y25" s="51"/>
    </row>
    <row r="26" spans="1:25" ht="12.75" x14ac:dyDescent="0.25">
      <c r="A26" s="169"/>
      <c r="B26" s="147" t="s">
        <v>238</v>
      </c>
      <c r="C26" s="39"/>
      <c r="D26" s="42" t="s">
        <v>436</v>
      </c>
      <c r="E26" s="47" t="s">
        <v>43</v>
      </c>
      <c r="F26" s="24" t="s">
        <v>437</v>
      </c>
      <c r="G26" s="41" t="s">
        <v>442</v>
      </c>
      <c r="H26" s="26"/>
      <c r="I26" s="27"/>
      <c r="J26" s="28"/>
      <c r="K26" s="77" t="s">
        <v>443</v>
      </c>
      <c r="L26" s="30" t="s">
        <v>435</v>
      </c>
      <c r="M26" s="40">
        <v>0.1</v>
      </c>
      <c r="N26" s="32" t="s">
        <v>31</v>
      </c>
      <c r="O26" s="24"/>
      <c r="P26" s="33"/>
      <c r="Q26" s="34" t="s">
        <v>438</v>
      </c>
      <c r="R26" s="35"/>
      <c r="S26" s="36"/>
      <c r="T26" s="111"/>
      <c r="U26" s="38"/>
      <c r="V26" s="22"/>
    </row>
    <row r="27" spans="1:25" ht="17.25" customHeight="1" x14ac:dyDescent="0.25">
      <c r="A27" s="169"/>
      <c r="B27" s="147" t="s">
        <v>239</v>
      </c>
      <c r="C27" s="39"/>
      <c r="D27" s="42" t="s">
        <v>436</v>
      </c>
      <c r="E27" s="47" t="s">
        <v>43</v>
      </c>
      <c r="F27" s="24" t="s">
        <v>437</v>
      </c>
      <c r="G27" s="41" t="s">
        <v>442</v>
      </c>
      <c r="H27" s="26"/>
      <c r="I27" s="27"/>
      <c r="J27" s="28"/>
      <c r="K27" s="77" t="s">
        <v>443</v>
      </c>
      <c r="L27" s="30" t="s">
        <v>435</v>
      </c>
      <c r="M27" s="40">
        <v>0.1</v>
      </c>
      <c r="N27" s="32" t="s">
        <v>31</v>
      </c>
      <c r="O27" s="24"/>
      <c r="P27" s="33"/>
      <c r="Q27" s="34" t="s">
        <v>438</v>
      </c>
      <c r="R27" s="35"/>
      <c r="S27" s="36"/>
      <c r="T27" s="111"/>
      <c r="U27" s="38"/>
      <c r="V27" s="22"/>
    </row>
    <row r="28" spans="1:25" ht="15" customHeight="1" x14ac:dyDescent="0.25">
      <c r="A28" s="169"/>
      <c r="B28" s="147" t="s">
        <v>240</v>
      </c>
      <c r="C28" s="39"/>
      <c r="D28" s="42" t="s">
        <v>436</v>
      </c>
      <c r="E28" s="47" t="s">
        <v>43</v>
      </c>
      <c r="F28" s="24" t="s">
        <v>437</v>
      </c>
      <c r="G28" s="41" t="s">
        <v>442</v>
      </c>
      <c r="H28" s="26"/>
      <c r="I28" s="27"/>
      <c r="J28" s="28"/>
      <c r="K28" s="77" t="s">
        <v>443</v>
      </c>
      <c r="L28" s="30" t="s">
        <v>435</v>
      </c>
      <c r="M28" s="40">
        <v>0.1</v>
      </c>
      <c r="N28" s="32" t="s">
        <v>31</v>
      </c>
      <c r="O28" s="24"/>
      <c r="P28" s="33"/>
      <c r="Q28" s="34" t="s">
        <v>438</v>
      </c>
      <c r="R28" s="35"/>
      <c r="S28" s="36"/>
      <c r="T28" s="111"/>
      <c r="U28" s="38"/>
      <c r="V28" s="22"/>
    </row>
    <row r="29" spans="1:25" ht="12.75" x14ac:dyDescent="0.25">
      <c r="A29" s="169"/>
      <c r="B29" s="147" t="s">
        <v>241</v>
      </c>
      <c r="C29" s="39"/>
      <c r="D29" s="53" t="s">
        <v>190</v>
      </c>
      <c r="E29" s="47" t="s">
        <v>43</v>
      </c>
      <c r="F29" s="24" t="s">
        <v>188</v>
      </c>
      <c r="G29" s="25" t="s">
        <v>188</v>
      </c>
      <c r="H29" s="26"/>
      <c r="I29" s="27"/>
      <c r="J29" s="28"/>
      <c r="K29" s="29" t="s">
        <v>189</v>
      </c>
      <c r="L29" s="30" t="s">
        <v>424</v>
      </c>
      <c r="M29" s="40">
        <v>0.2</v>
      </c>
      <c r="N29" s="32" t="s">
        <v>425</v>
      </c>
      <c r="O29" s="24"/>
      <c r="P29" s="33" t="s">
        <v>426</v>
      </c>
      <c r="Q29" s="34" t="s">
        <v>178</v>
      </c>
      <c r="R29" s="35" t="s">
        <v>191</v>
      </c>
      <c r="S29" s="52">
        <v>1.79</v>
      </c>
      <c r="T29" s="111"/>
      <c r="U29" s="38"/>
      <c r="V29" s="22"/>
    </row>
    <row r="30" spans="1:25" ht="12.75" x14ac:dyDescent="0.25">
      <c r="A30" s="169"/>
      <c r="B30" s="147" t="s">
        <v>242</v>
      </c>
      <c r="C30" s="23"/>
      <c r="D30" s="53" t="s">
        <v>190</v>
      </c>
      <c r="E30" s="47" t="s">
        <v>43</v>
      </c>
      <c r="F30" s="24" t="s">
        <v>188</v>
      </c>
      <c r="G30" s="25" t="s">
        <v>188</v>
      </c>
      <c r="H30" s="26"/>
      <c r="I30" s="27"/>
      <c r="J30" s="28"/>
      <c r="K30" s="29" t="s">
        <v>189</v>
      </c>
      <c r="L30" s="30" t="s">
        <v>424</v>
      </c>
      <c r="M30" s="40">
        <v>0.2</v>
      </c>
      <c r="N30" s="32" t="s">
        <v>425</v>
      </c>
      <c r="O30" s="24"/>
      <c r="P30" s="33" t="s">
        <v>426</v>
      </c>
      <c r="Q30" s="34" t="s">
        <v>178</v>
      </c>
      <c r="R30" s="35" t="s">
        <v>191</v>
      </c>
      <c r="S30" s="52">
        <v>1.79</v>
      </c>
      <c r="T30" s="111"/>
      <c r="U30" s="38"/>
      <c r="V30" s="22"/>
    </row>
    <row r="31" spans="1:25" ht="12.75" x14ac:dyDescent="0.25">
      <c r="A31" s="169"/>
      <c r="B31" s="147" t="s">
        <v>243</v>
      </c>
      <c r="C31" s="23"/>
      <c r="D31" s="53" t="s">
        <v>190</v>
      </c>
      <c r="E31" s="47" t="s">
        <v>43</v>
      </c>
      <c r="F31" s="24" t="s">
        <v>188</v>
      </c>
      <c r="G31" s="25" t="s">
        <v>188</v>
      </c>
      <c r="H31" s="26"/>
      <c r="I31" s="27"/>
      <c r="J31" s="28"/>
      <c r="K31" s="29" t="s">
        <v>189</v>
      </c>
      <c r="L31" s="30" t="s">
        <v>424</v>
      </c>
      <c r="M31" s="40">
        <v>0.2</v>
      </c>
      <c r="N31" s="32" t="s">
        <v>425</v>
      </c>
      <c r="O31" s="24"/>
      <c r="P31" s="33" t="s">
        <v>426</v>
      </c>
      <c r="Q31" s="34" t="s">
        <v>178</v>
      </c>
      <c r="R31" s="35" t="s">
        <v>191</v>
      </c>
      <c r="S31" s="52">
        <v>1.79</v>
      </c>
      <c r="T31" s="111"/>
      <c r="U31" s="38"/>
      <c r="V31" s="22"/>
    </row>
    <row r="32" spans="1:25" ht="15" customHeight="1" x14ac:dyDescent="0.25">
      <c r="A32" s="169"/>
      <c r="B32" s="147" t="s">
        <v>244</v>
      </c>
      <c r="C32" s="23"/>
      <c r="D32" s="53" t="s">
        <v>190</v>
      </c>
      <c r="E32" s="47" t="s">
        <v>43</v>
      </c>
      <c r="F32" s="24" t="s">
        <v>188</v>
      </c>
      <c r="G32" s="25" t="s">
        <v>188</v>
      </c>
      <c r="H32" s="26"/>
      <c r="I32" s="27"/>
      <c r="J32" s="28"/>
      <c r="K32" s="29" t="s">
        <v>189</v>
      </c>
      <c r="L32" s="30" t="s">
        <v>424</v>
      </c>
      <c r="M32" s="40">
        <v>0.2</v>
      </c>
      <c r="N32" s="32" t="s">
        <v>425</v>
      </c>
      <c r="O32" s="24"/>
      <c r="P32" s="33" t="s">
        <v>426</v>
      </c>
      <c r="Q32" s="34" t="s">
        <v>178</v>
      </c>
      <c r="R32" s="35" t="s">
        <v>191</v>
      </c>
      <c r="S32" s="52">
        <v>1.79</v>
      </c>
      <c r="T32" s="111"/>
      <c r="U32" s="38"/>
      <c r="V32" s="22"/>
    </row>
    <row r="33" spans="1:22" ht="12.75" x14ac:dyDescent="0.25">
      <c r="A33" s="169"/>
      <c r="B33" s="147" t="s">
        <v>245</v>
      </c>
      <c r="C33" s="23"/>
      <c r="D33" s="53" t="s">
        <v>190</v>
      </c>
      <c r="E33" s="47" t="s">
        <v>43</v>
      </c>
      <c r="F33" s="24" t="s">
        <v>188</v>
      </c>
      <c r="G33" s="25" t="s">
        <v>188</v>
      </c>
      <c r="H33" s="26"/>
      <c r="I33" s="27"/>
      <c r="J33" s="28"/>
      <c r="K33" s="29" t="s">
        <v>189</v>
      </c>
      <c r="L33" s="30" t="s">
        <v>424</v>
      </c>
      <c r="M33" s="40">
        <v>0.2</v>
      </c>
      <c r="N33" s="32" t="s">
        <v>425</v>
      </c>
      <c r="O33" s="24"/>
      <c r="P33" s="33" t="s">
        <v>426</v>
      </c>
      <c r="Q33" s="34" t="s">
        <v>178</v>
      </c>
      <c r="R33" s="35" t="s">
        <v>191</v>
      </c>
      <c r="S33" s="52">
        <v>1.79</v>
      </c>
      <c r="T33" s="111"/>
      <c r="U33" s="38"/>
      <c r="V33" s="22"/>
    </row>
    <row r="34" spans="1:22" ht="12.75" x14ac:dyDescent="0.25">
      <c r="A34" s="169"/>
      <c r="B34" s="147" t="s">
        <v>246</v>
      </c>
      <c r="C34" s="23"/>
      <c r="D34" s="53" t="s">
        <v>190</v>
      </c>
      <c r="E34" s="47" t="s">
        <v>43</v>
      </c>
      <c r="F34" s="24" t="s">
        <v>188</v>
      </c>
      <c r="G34" s="25" t="s">
        <v>188</v>
      </c>
      <c r="H34" s="26"/>
      <c r="I34" s="27"/>
      <c r="J34" s="28"/>
      <c r="K34" s="29" t="s">
        <v>189</v>
      </c>
      <c r="L34" s="30" t="s">
        <v>424</v>
      </c>
      <c r="M34" s="40">
        <v>0.2</v>
      </c>
      <c r="N34" s="32" t="s">
        <v>425</v>
      </c>
      <c r="O34" s="24"/>
      <c r="P34" s="33" t="s">
        <v>426</v>
      </c>
      <c r="Q34" s="34" t="s">
        <v>178</v>
      </c>
      <c r="R34" s="35" t="s">
        <v>191</v>
      </c>
      <c r="S34" s="52">
        <v>1.79</v>
      </c>
      <c r="T34" s="111"/>
      <c r="U34" s="38"/>
      <c r="V34" s="22"/>
    </row>
    <row r="35" spans="1:22" ht="12.75" x14ac:dyDescent="0.25">
      <c r="A35" s="169"/>
      <c r="B35" s="147" t="s">
        <v>247</v>
      </c>
      <c r="C35" s="23"/>
      <c r="D35" s="53" t="s">
        <v>190</v>
      </c>
      <c r="E35" s="47" t="s">
        <v>43</v>
      </c>
      <c r="F35" s="24" t="s">
        <v>188</v>
      </c>
      <c r="G35" s="25" t="s">
        <v>188</v>
      </c>
      <c r="H35" s="26"/>
      <c r="I35" s="27"/>
      <c r="J35" s="28"/>
      <c r="K35" s="29" t="s">
        <v>189</v>
      </c>
      <c r="L35" s="30" t="s">
        <v>424</v>
      </c>
      <c r="M35" s="40">
        <v>0.2</v>
      </c>
      <c r="N35" s="32" t="s">
        <v>425</v>
      </c>
      <c r="O35" s="24"/>
      <c r="P35" s="33" t="s">
        <v>426</v>
      </c>
      <c r="Q35" s="34" t="s">
        <v>178</v>
      </c>
      <c r="R35" s="35" t="s">
        <v>191</v>
      </c>
      <c r="S35" s="52">
        <v>1.79</v>
      </c>
      <c r="T35" s="111"/>
      <c r="U35" s="38"/>
      <c r="V35" s="22"/>
    </row>
    <row r="36" spans="1:22" ht="12.75" x14ac:dyDescent="0.25">
      <c r="A36" s="169"/>
      <c r="B36" s="147" t="s">
        <v>248</v>
      </c>
      <c r="C36" s="156"/>
      <c r="D36" s="53" t="s">
        <v>190</v>
      </c>
      <c r="E36" s="47" t="s">
        <v>43</v>
      </c>
      <c r="F36" s="24" t="s">
        <v>188</v>
      </c>
      <c r="G36" s="25" t="s">
        <v>188</v>
      </c>
      <c r="H36" s="26"/>
      <c r="I36" s="27"/>
      <c r="J36" s="28"/>
      <c r="K36" s="29" t="s">
        <v>189</v>
      </c>
      <c r="L36" s="30" t="s">
        <v>424</v>
      </c>
      <c r="M36" s="40">
        <v>0.2</v>
      </c>
      <c r="N36" s="32" t="s">
        <v>425</v>
      </c>
      <c r="O36" s="24"/>
      <c r="P36" s="33" t="s">
        <v>426</v>
      </c>
      <c r="Q36" s="34" t="s">
        <v>178</v>
      </c>
      <c r="R36" s="35" t="s">
        <v>191</v>
      </c>
      <c r="S36" s="52">
        <v>1.79</v>
      </c>
      <c r="T36" s="111"/>
      <c r="U36" s="38"/>
      <c r="V36" s="22"/>
    </row>
    <row r="37" spans="1:22" ht="12.75" x14ac:dyDescent="0.25">
      <c r="A37" s="169"/>
      <c r="B37" s="147" t="s">
        <v>249</v>
      </c>
      <c r="C37" s="23"/>
      <c r="D37" s="53" t="s">
        <v>190</v>
      </c>
      <c r="E37" s="47" t="s">
        <v>43</v>
      </c>
      <c r="F37" s="24" t="s">
        <v>188</v>
      </c>
      <c r="G37" s="25" t="s">
        <v>188</v>
      </c>
      <c r="H37" s="26"/>
      <c r="I37" s="27"/>
      <c r="J37" s="28"/>
      <c r="K37" s="29" t="s">
        <v>189</v>
      </c>
      <c r="L37" s="30" t="s">
        <v>424</v>
      </c>
      <c r="M37" s="40">
        <v>0.2</v>
      </c>
      <c r="N37" s="32" t="s">
        <v>425</v>
      </c>
      <c r="O37" s="24"/>
      <c r="P37" s="33" t="s">
        <v>426</v>
      </c>
      <c r="Q37" s="34" t="s">
        <v>178</v>
      </c>
      <c r="R37" s="35" t="s">
        <v>191</v>
      </c>
      <c r="S37" s="52">
        <v>1.79</v>
      </c>
      <c r="T37" s="111"/>
      <c r="U37" s="38"/>
      <c r="V37" s="22"/>
    </row>
    <row r="38" spans="1:22" ht="12.75" x14ac:dyDescent="0.25">
      <c r="A38" s="169"/>
      <c r="B38" s="147" t="s">
        <v>250</v>
      </c>
      <c r="C38" s="23"/>
      <c r="D38" s="53" t="s">
        <v>190</v>
      </c>
      <c r="E38" s="47" t="s">
        <v>43</v>
      </c>
      <c r="F38" s="24" t="s">
        <v>188</v>
      </c>
      <c r="G38" s="25" t="s">
        <v>188</v>
      </c>
      <c r="H38" s="26"/>
      <c r="I38" s="27"/>
      <c r="J38" s="28"/>
      <c r="K38" s="29" t="s">
        <v>189</v>
      </c>
      <c r="L38" s="30" t="s">
        <v>424</v>
      </c>
      <c r="M38" s="40">
        <v>0.2</v>
      </c>
      <c r="N38" s="32" t="s">
        <v>425</v>
      </c>
      <c r="O38" s="24"/>
      <c r="P38" s="33" t="s">
        <v>426</v>
      </c>
      <c r="Q38" s="34" t="s">
        <v>178</v>
      </c>
      <c r="R38" s="35" t="s">
        <v>191</v>
      </c>
      <c r="S38" s="52">
        <v>1.79</v>
      </c>
      <c r="T38" s="111"/>
      <c r="U38" s="38"/>
      <c r="V38" s="22"/>
    </row>
    <row r="39" spans="1:22" x14ac:dyDescent="0.25">
      <c r="A39" s="169"/>
      <c r="B39" s="147" t="s">
        <v>251</v>
      </c>
      <c r="C39" s="23"/>
      <c r="D39" s="49" t="s">
        <v>490</v>
      </c>
      <c r="E39" s="47" t="s">
        <v>43</v>
      </c>
      <c r="F39" s="24" t="s">
        <v>489</v>
      </c>
      <c r="G39" s="25" t="s">
        <v>489</v>
      </c>
      <c r="H39" s="26"/>
      <c r="I39" s="27"/>
      <c r="J39" s="28"/>
      <c r="K39" s="29" t="s">
        <v>491</v>
      </c>
      <c r="L39" s="30" t="s">
        <v>492</v>
      </c>
      <c r="M39" s="40">
        <v>0.1</v>
      </c>
      <c r="N39" s="32" t="s">
        <v>31</v>
      </c>
      <c r="O39" s="24"/>
      <c r="P39" s="33"/>
      <c r="Q39" s="34" t="s">
        <v>178</v>
      </c>
      <c r="R39" s="35" t="s">
        <v>493</v>
      </c>
      <c r="S39" s="52">
        <v>0.308</v>
      </c>
      <c r="T39" s="111"/>
      <c r="U39" s="38"/>
      <c r="V39" s="22"/>
    </row>
    <row r="40" spans="1:22" ht="12.75" x14ac:dyDescent="0.25">
      <c r="A40" s="169"/>
      <c r="B40" s="147" t="s">
        <v>252</v>
      </c>
      <c r="C40" s="23"/>
      <c r="D40" s="42"/>
      <c r="E40" s="47" t="s">
        <v>193</v>
      </c>
      <c r="F40" s="24"/>
      <c r="G40" s="25"/>
      <c r="H40" s="26"/>
      <c r="I40" s="27"/>
      <c r="J40" s="28"/>
      <c r="K40" s="29"/>
      <c r="L40" s="30"/>
      <c r="M40" s="31"/>
      <c r="N40" s="32"/>
      <c r="O40" s="24"/>
      <c r="P40" s="33"/>
      <c r="Q40" s="34"/>
      <c r="R40" s="35"/>
      <c r="S40" s="36"/>
      <c r="T40" s="111"/>
      <c r="U40" s="38"/>
      <c r="V40" s="22"/>
    </row>
    <row r="41" spans="1:22" x14ac:dyDescent="0.25">
      <c r="A41" s="169"/>
      <c r="B41" s="147" t="s">
        <v>253</v>
      </c>
      <c r="C41" s="157"/>
      <c r="D41" s="49" t="s">
        <v>463</v>
      </c>
      <c r="E41" s="47" t="s">
        <v>43</v>
      </c>
      <c r="F41" s="24" t="s">
        <v>462</v>
      </c>
      <c r="G41" s="41" t="s">
        <v>462</v>
      </c>
      <c r="H41" s="26"/>
      <c r="I41" s="27"/>
      <c r="J41" s="28"/>
      <c r="K41" s="29" t="s">
        <v>464</v>
      </c>
      <c r="L41" s="30" t="s">
        <v>465</v>
      </c>
      <c r="M41" s="40">
        <v>0.1</v>
      </c>
      <c r="N41" s="32" t="s">
        <v>31</v>
      </c>
      <c r="O41" s="24"/>
      <c r="P41" s="33"/>
      <c r="Q41" s="34" t="s">
        <v>178</v>
      </c>
      <c r="R41" s="35" t="s">
        <v>466</v>
      </c>
      <c r="S41" s="52">
        <v>0.18</v>
      </c>
      <c r="T41" s="111"/>
      <c r="U41" s="38"/>
      <c r="V41" s="22"/>
    </row>
    <row r="42" spans="1:22" x14ac:dyDescent="0.2">
      <c r="A42" s="169"/>
      <c r="B42" s="147" t="s">
        <v>254</v>
      </c>
      <c r="C42" s="160"/>
      <c r="D42" s="49" t="s">
        <v>448</v>
      </c>
      <c r="E42" s="47" t="s">
        <v>43</v>
      </c>
      <c r="F42" s="24" t="s">
        <v>447</v>
      </c>
      <c r="G42" s="143" t="s">
        <v>447</v>
      </c>
      <c r="H42" s="26"/>
      <c r="I42" s="27"/>
      <c r="J42" s="28"/>
      <c r="K42" s="29" t="s">
        <v>449</v>
      </c>
      <c r="L42" s="30" t="s">
        <v>446</v>
      </c>
      <c r="M42" s="40">
        <v>0.2</v>
      </c>
      <c r="N42" s="32" t="s">
        <v>450</v>
      </c>
      <c r="O42" s="24"/>
      <c r="P42" s="33"/>
      <c r="Q42" s="34" t="s">
        <v>178</v>
      </c>
      <c r="R42" s="35" t="s">
        <v>451</v>
      </c>
      <c r="S42" s="52">
        <v>0.67600000000000005</v>
      </c>
      <c r="T42" s="111"/>
      <c r="U42" s="38"/>
      <c r="V42" s="22"/>
    </row>
    <row r="43" spans="1:22" x14ac:dyDescent="0.25">
      <c r="A43" s="169"/>
      <c r="B43" s="147" t="s">
        <v>255</v>
      </c>
      <c r="C43" s="157"/>
      <c r="D43" s="49" t="s">
        <v>460</v>
      </c>
      <c r="E43" s="47" t="s">
        <v>43</v>
      </c>
      <c r="F43" s="24" t="s">
        <v>459</v>
      </c>
      <c r="G43" s="41" t="s">
        <v>459</v>
      </c>
      <c r="H43" s="26"/>
      <c r="I43" s="27"/>
      <c r="J43" s="28"/>
      <c r="K43" s="29" t="s">
        <v>458</v>
      </c>
      <c r="L43" s="30" t="s">
        <v>435</v>
      </c>
      <c r="M43" s="40">
        <v>0.1</v>
      </c>
      <c r="N43" s="32" t="s">
        <v>425</v>
      </c>
      <c r="O43" s="24"/>
      <c r="P43" s="33"/>
      <c r="Q43" s="34" t="s">
        <v>178</v>
      </c>
      <c r="R43" s="35" t="s">
        <v>461</v>
      </c>
      <c r="S43" s="36"/>
      <c r="T43" s="111"/>
      <c r="U43" s="38"/>
      <c r="V43" s="22"/>
    </row>
    <row r="44" spans="1:22" x14ac:dyDescent="0.25">
      <c r="A44" s="169"/>
      <c r="B44" s="147" t="s">
        <v>256</v>
      </c>
      <c r="C44" s="160"/>
      <c r="D44" s="49" t="s">
        <v>453</v>
      </c>
      <c r="E44" s="47" t="s">
        <v>43</v>
      </c>
      <c r="F44" s="24" t="s">
        <v>452</v>
      </c>
      <c r="G44" s="25" t="s">
        <v>452</v>
      </c>
      <c r="H44" s="26"/>
      <c r="I44" s="27"/>
      <c r="J44" s="28"/>
      <c r="K44" s="29" t="s">
        <v>454</v>
      </c>
      <c r="L44" s="30" t="s">
        <v>455</v>
      </c>
      <c r="M44" s="40">
        <v>0.2</v>
      </c>
      <c r="N44" s="32" t="s">
        <v>456</v>
      </c>
      <c r="O44" s="24"/>
      <c r="P44" s="33"/>
      <c r="Q44" s="34" t="s">
        <v>178</v>
      </c>
      <c r="R44" s="35" t="s">
        <v>457</v>
      </c>
      <c r="S44" s="52">
        <v>0.29199999999999998</v>
      </c>
      <c r="T44" s="111"/>
      <c r="U44" s="38"/>
      <c r="V44" s="22"/>
    </row>
    <row r="45" spans="1:22" ht="12.75" x14ac:dyDescent="0.25">
      <c r="A45" s="169"/>
      <c r="B45" s="147" t="s">
        <v>257</v>
      </c>
      <c r="C45" s="39"/>
      <c r="D45" s="42" t="s">
        <v>436</v>
      </c>
      <c r="E45" s="47" t="s">
        <v>43</v>
      </c>
      <c r="F45" s="24" t="s">
        <v>437</v>
      </c>
      <c r="G45" s="41" t="s">
        <v>442</v>
      </c>
      <c r="H45" s="26"/>
      <c r="I45" s="27"/>
      <c r="J45" s="28"/>
      <c r="K45" s="77" t="s">
        <v>443</v>
      </c>
      <c r="L45" s="30" t="s">
        <v>435</v>
      </c>
      <c r="M45" s="40">
        <v>0.1</v>
      </c>
      <c r="N45" s="32" t="s">
        <v>31</v>
      </c>
      <c r="O45" s="24"/>
      <c r="P45" s="33"/>
      <c r="Q45" s="34" t="s">
        <v>438</v>
      </c>
      <c r="R45" s="35"/>
      <c r="S45" s="36"/>
      <c r="T45" s="111"/>
      <c r="U45" s="38"/>
      <c r="V45" s="22"/>
    </row>
    <row r="46" spans="1:22" x14ac:dyDescent="0.25">
      <c r="A46" s="169"/>
      <c r="B46" s="147" t="s">
        <v>258</v>
      </c>
      <c r="C46" s="157"/>
      <c r="D46" s="49" t="s">
        <v>460</v>
      </c>
      <c r="E46" s="47" t="s">
        <v>43</v>
      </c>
      <c r="F46" s="24" t="s">
        <v>459</v>
      </c>
      <c r="G46" s="41" t="s">
        <v>459</v>
      </c>
      <c r="H46" s="26"/>
      <c r="I46" s="27"/>
      <c r="J46" s="28"/>
      <c r="K46" s="29" t="s">
        <v>458</v>
      </c>
      <c r="L46" s="30" t="s">
        <v>435</v>
      </c>
      <c r="M46" s="40">
        <v>0.1</v>
      </c>
      <c r="N46" s="32" t="s">
        <v>425</v>
      </c>
      <c r="O46" s="24"/>
      <c r="P46" s="33"/>
      <c r="Q46" s="34" t="s">
        <v>178</v>
      </c>
      <c r="R46" s="35" t="s">
        <v>461</v>
      </c>
      <c r="S46" s="36"/>
      <c r="T46" s="111"/>
      <c r="U46" s="38"/>
      <c r="V46" s="22"/>
    </row>
    <row r="47" spans="1:22" x14ac:dyDescent="0.25">
      <c r="A47" s="169"/>
      <c r="B47" s="147" t="s">
        <v>259</v>
      </c>
      <c r="C47" s="157"/>
      <c r="D47" s="49" t="s">
        <v>460</v>
      </c>
      <c r="E47" s="47" t="s">
        <v>43</v>
      </c>
      <c r="F47" s="24" t="s">
        <v>459</v>
      </c>
      <c r="G47" s="41" t="s">
        <v>459</v>
      </c>
      <c r="H47" s="26"/>
      <c r="I47" s="27"/>
      <c r="J47" s="28"/>
      <c r="K47" s="29" t="s">
        <v>458</v>
      </c>
      <c r="L47" s="30" t="s">
        <v>435</v>
      </c>
      <c r="M47" s="40">
        <v>0.1</v>
      </c>
      <c r="N47" s="32" t="s">
        <v>425</v>
      </c>
      <c r="O47" s="24"/>
      <c r="P47" s="33"/>
      <c r="Q47" s="34" t="s">
        <v>178</v>
      </c>
      <c r="R47" s="35" t="s">
        <v>461</v>
      </c>
      <c r="S47" s="36"/>
      <c r="T47" s="111"/>
      <c r="U47" s="38"/>
      <c r="V47" s="22"/>
    </row>
    <row r="48" spans="1:22" ht="15" customHeight="1" x14ac:dyDescent="0.25">
      <c r="A48" s="169"/>
      <c r="B48" s="147" t="s">
        <v>260</v>
      </c>
      <c r="C48" s="23"/>
      <c r="D48" s="49" t="s">
        <v>472</v>
      </c>
      <c r="E48" s="47" t="s">
        <v>43</v>
      </c>
      <c r="F48" s="24" t="s">
        <v>468</v>
      </c>
      <c r="G48" s="25" t="s">
        <v>468</v>
      </c>
      <c r="H48" s="26"/>
      <c r="I48" s="27"/>
      <c r="J48" s="28"/>
      <c r="K48" s="29" t="s">
        <v>469</v>
      </c>
      <c r="L48" s="30" t="s">
        <v>470</v>
      </c>
      <c r="M48" s="40">
        <v>0.1</v>
      </c>
      <c r="N48" s="32" t="s">
        <v>471</v>
      </c>
      <c r="O48" s="24"/>
      <c r="P48" s="33"/>
      <c r="Q48" s="34" t="s">
        <v>178</v>
      </c>
      <c r="R48" s="35" t="s">
        <v>467</v>
      </c>
      <c r="S48" s="52">
        <v>0.375</v>
      </c>
      <c r="T48" s="111"/>
      <c r="U48" s="38"/>
      <c r="V48" s="22"/>
    </row>
    <row r="49" spans="1:22" ht="15" customHeight="1" x14ac:dyDescent="0.25">
      <c r="A49" s="169"/>
      <c r="B49" s="147" t="s">
        <v>261</v>
      </c>
      <c r="C49" s="23"/>
      <c r="D49" s="49"/>
      <c r="E49" s="47"/>
      <c r="F49" s="24"/>
      <c r="G49" s="25"/>
      <c r="H49" s="26"/>
      <c r="I49" s="27"/>
      <c r="J49" s="28"/>
      <c r="K49" s="29"/>
      <c r="L49" s="30"/>
      <c r="M49" s="31"/>
      <c r="N49" s="32"/>
      <c r="O49" s="24"/>
      <c r="P49" s="33"/>
      <c r="Q49" s="34"/>
      <c r="R49" s="35"/>
      <c r="S49" s="36"/>
      <c r="T49" s="111"/>
      <c r="U49" s="38"/>
      <c r="V49" s="22"/>
    </row>
    <row r="50" spans="1:22" ht="15" customHeight="1" x14ac:dyDescent="0.2">
      <c r="A50" s="169"/>
      <c r="B50" s="147" t="s">
        <v>262</v>
      </c>
      <c r="C50" s="160"/>
      <c r="D50" s="49" t="s">
        <v>448</v>
      </c>
      <c r="E50" s="47" t="s">
        <v>43</v>
      </c>
      <c r="F50" s="24" t="s">
        <v>447</v>
      </c>
      <c r="G50" s="143" t="s">
        <v>447</v>
      </c>
      <c r="H50" s="26"/>
      <c r="I50" s="27"/>
      <c r="J50" s="28"/>
      <c r="K50" s="29" t="s">
        <v>449</v>
      </c>
      <c r="L50" s="30" t="s">
        <v>446</v>
      </c>
      <c r="M50" s="40">
        <v>0.2</v>
      </c>
      <c r="N50" s="32" t="s">
        <v>450</v>
      </c>
      <c r="O50" s="24"/>
      <c r="P50" s="33"/>
      <c r="Q50" s="34" t="s">
        <v>178</v>
      </c>
      <c r="R50" s="35" t="s">
        <v>451</v>
      </c>
      <c r="S50" s="52">
        <v>0.67600000000000005</v>
      </c>
      <c r="T50" s="111"/>
      <c r="U50" s="38"/>
      <c r="V50" s="22"/>
    </row>
    <row r="51" spans="1:22" ht="15" customHeight="1" x14ac:dyDescent="0.25">
      <c r="A51" s="169"/>
      <c r="B51" s="147" t="s">
        <v>263</v>
      </c>
      <c r="C51" s="23"/>
      <c r="D51" s="49" t="s">
        <v>460</v>
      </c>
      <c r="E51" s="47" t="s">
        <v>43</v>
      </c>
      <c r="F51" s="24" t="s">
        <v>459</v>
      </c>
      <c r="G51" s="41" t="s">
        <v>459</v>
      </c>
      <c r="H51" s="26"/>
      <c r="I51" s="27"/>
      <c r="J51" s="28"/>
      <c r="K51" s="4" t="s">
        <v>458</v>
      </c>
      <c r="L51" s="30" t="s">
        <v>435</v>
      </c>
      <c r="M51" s="40">
        <v>0.1</v>
      </c>
      <c r="N51" s="32" t="s">
        <v>425</v>
      </c>
      <c r="O51" s="24"/>
      <c r="P51" s="33"/>
      <c r="Q51" s="34" t="s">
        <v>178</v>
      </c>
      <c r="R51" s="35" t="s">
        <v>461</v>
      </c>
      <c r="S51" s="36"/>
      <c r="T51" s="111"/>
      <c r="U51" s="38"/>
      <c r="V51" s="22"/>
    </row>
    <row r="52" spans="1:22" ht="15" customHeight="1" x14ac:dyDescent="0.25">
      <c r="A52" s="169"/>
      <c r="B52" s="147" t="s">
        <v>264</v>
      </c>
      <c r="C52" s="160"/>
      <c r="D52" s="49" t="s">
        <v>453</v>
      </c>
      <c r="E52" s="47" t="s">
        <v>43</v>
      </c>
      <c r="F52" s="24" t="s">
        <v>452</v>
      </c>
      <c r="G52" s="25" t="s">
        <v>452</v>
      </c>
      <c r="H52" s="26"/>
      <c r="I52" s="27"/>
      <c r="J52" s="28"/>
      <c r="K52" s="29" t="s">
        <v>454</v>
      </c>
      <c r="L52" s="30" t="s">
        <v>455</v>
      </c>
      <c r="M52" s="40">
        <v>0.2</v>
      </c>
      <c r="N52" s="32" t="s">
        <v>456</v>
      </c>
      <c r="O52" s="24"/>
      <c r="P52" s="33"/>
      <c r="Q52" s="34" t="s">
        <v>178</v>
      </c>
      <c r="R52" s="161" t="s">
        <v>457</v>
      </c>
      <c r="S52" s="52">
        <v>0.29199999999999998</v>
      </c>
      <c r="T52" s="111"/>
      <c r="U52" s="38"/>
      <c r="V52" s="22"/>
    </row>
    <row r="53" spans="1:22" ht="12.75" x14ac:dyDescent="0.25">
      <c r="A53" s="169"/>
      <c r="B53" s="147" t="s">
        <v>265</v>
      </c>
      <c r="C53" s="39"/>
      <c r="D53" s="42" t="s">
        <v>436</v>
      </c>
      <c r="E53" s="47"/>
      <c r="F53" s="24" t="s">
        <v>437</v>
      </c>
      <c r="G53" s="41" t="s">
        <v>442</v>
      </c>
      <c r="H53" s="26"/>
      <c r="I53" s="27"/>
      <c r="J53" s="28"/>
      <c r="K53" s="77" t="s">
        <v>443</v>
      </c>
      <c r="L53" s="30" t="s">
        <v>435</v>
      </c>
      <c r="M53" s="40">
        <v>0.1</v>
      </c>
      <c r="N53" s="32" t="s">
        <v>31</v>
      </c>
      <c r="O53" s="24"/>
      <c r="P53" s="33"/>
      <c r="Q53" s="34" t="s">
        <v>438</v>
      </c>
      <c r="R53" s="35"/>
      <c r="S53" s="36"/>
      <c r="T53" s="111"/>
      <c r="U53" s="38"/>
      <c r="V53" s="22"/>
    </row>
    <row r="54" spans="1:22" ht="12.75" x14ac:dyDescent="0.25">
      <c r="A54" s="169"/>
      <c r="B54" s="147" t="s">
        <v>266</v>
      </c>
      <c r="C54" s="23"/>
      <c r="D54" s="42"/>
      <c r="E54" s="47"/>
      <c r="F54" s="24"/>
      <c r="G54" s="25"/>
      <c r="H54" s="26"/>
      <c r="I54" s="27"/>
      <c r="J54" s="28"/>
      <c r="K54" s="29"/>
      <c r="L54" s="30"/>
      <c r="M54" s="31"/>
      <c r="N54" s="32"/>
      <c r="O54" s="24"/>
      <c r="P54" s="33"/>
      <c r="Q54" s="34"/>
      <c r="R54" s="35"/>
      <c r="S54" s="36"/>
      <c r="T54" s="111"/>
      <c r="U54" s="38"/>
      <c r="V54" s="22"/>
    </row>
    <row r="55" spans="1:22" x14ac:dyDescent="0.25">
      <c r="A55" s="169"/>
      <c r="B55" s="147" t="s">
        <v>267</v>
      </c>
      <c r="C55" s="157"/>
      <c r="D55" s="49" t="s">
        <v>460</v>
      </c>
      <c r="E55" s="47" t="s">
        <v>43</v>
      </c>
      <c r="F55" s="24" t="s">
        <v>459</v>
      </c>
      <c r="G55" s="41" t="s">
        <v>459</v>
      </c>
      <c r="H55" s="26"/>
      <c r="I55" s="27"/>
      <c r="J55" s="28"/>
      <c r="K55" s="29" t="s">
        <v>458</v>
      </c>
      <c r="L55" s="30" t="s">
        <v>435</v>
      </c>
      <c r="M55" s="40">
        <v>0.1</v>
      </c>
      <c r="N55" s="32" t="s">
        <v>425</v>
      </c>
      <c r="O55" s="24"/>
      <c r="P55" s="33"/>
      <c r="Q55" s="34" t="s">
        <v>178</v>
      </c>
      <c r="R55" s="35" t="s">
        <v>461</v>
      </c>
      <c r="S55" s="36"/>
      <c r="T55" s="111"/>
      <c r="U55" s="38"/>
      <c r="V55" s="22"/>
    </row>
    <row r="56" spans="1:22" x14ac:dyDescent="0.25">
      <c r="A56" s="169"/>
      <c r="B56" s="147" t="s">
        <v>268</v>
      </c>
      <c r="C56" s="157"/>
      <c r="D56" s="49" t="s">
        <v>460</v>
      </c>
      <c r="E56" s="47" t="s">
        <v>43</v>
      </c>
      <c r="F56" s="24" t="s">
        <v>459</v>
      </c>
      <c r="G56" s="41" t="s">
        <v>459</v>
      </c>
      <c r="H56" s="26"/>
      <c r="I56" s="27"/>
      <c r="J56" s="28"/>
      <c r="K56" s="29" t="s">
        <v>458</v>
      </c>
      <c r="L56" s="30" t="s">
        <v>435</v>
      </c>
      <c r="M56" s="40">
        <v>0.1</v>
      </c>
      <c r="N56" s="32" t="s">
        <v>425</v>
      </c>
      <c r="O56" s="24"/>
      <c r="P56" s="33"/>
      <c r="Q56" s="34" t="s">
        <v>178</v>
      </c>
      <c r="R56" s="35" t="s">
        <v>461</v>
      </c>
      <c r="S56" s="36"/>
      <c r="T56" s="111"/>
      <c r="U56" s="38"/>
      <c r="V56" s="22"/>
    </row>
    <row r="57" spans="1:22" ht="14.25" customHeight="1" x14ac:dyDescent="0.25">
      <c r="A57" s="169"/>
      <c r="B57" s="147" t="s">
        <v>269</v>
      </c>
      <c r="C57" s="23"/>
      <c r="D57" s="49" t="s">
        <v>472</v>
      </c>
      <c r="E57" s="47" t="s">
        <v>43</v>
      </c>
      <c r="F57" s="24" t="s">
        <v>468</v>
      </c>
      <c r="G57" s="25" t="s">
        <v>468</v>
      </c>
      <c r="H57" s="26"/>
      <c r="I57" s="27"/>
      <c r="J57" s="28"/>
      <c r="K57" s="29" t="s">
        <v>469</v>
      </c>
      <c r="L57" s="30" t="s">
        <v>470</v>
      </c>
      <c r="M57" s="40">
        <v>0.1</v>
      </c>
      <c r="N57" s="32" t="s">
        <v>471</v>
      </c>
      <c r="O57" s="24"/>
      <c r="P57" s="33"/>
      <c r="Q57" s="34" t="s">
        <v>178</v>
      </c>
      <c r="R57" s="35" t="s">
        <v>467</v>
      </c>
      <c r="S57" s="52">
        <v>0.375</v>
      </c>
      <c r="T57" s="111"/>
      <c r="U57" s="38"/>
      <c r="V57" s="22"/>
    </row>
    <row r="58" spans="1:22" ht="12.75" x14ac:dyDescent="0.25">
      <c r="A58" s="169"/>
      <c r="B58" s="147" t="s">
        <v>270</v>
      </c>
      <c r="C58" s="23"/>
      <c r="D58" s="42"/>
      <c r="E58" s="47"/>
      <c r="F58" s="24"/>
      <c r="G58" s="25"/>
      <c r="H58" s="26"/>
      <c r="I58" s="27"/>
      <c r="J58" s="28"/>
      <c r="K58" s="29"/>
      <c r="L58" s="30"/>
      <c r="M58" s="31"/>
      <c r="N58" s="32"/>
      <c r="O58" s="24"/>
      <c r="P58" s="33"/>
      <c r="Q58" s="34"/>
      <c r="R58" s="35"/>
      <c r="S58" s="36"/>
      <c r="T58" s="111"/>
      <c r="U58" s="38"/>
      <c r="V58" s="22"/>
    </row>
    <row r="59" spans="1:22" x14ac:dyDescent="0.2">
      <c r="A59" s="169"/>
      <c r="B59" s="147" t="s">
        <v>271</v>
      </c>
      <c r="C59" s="160"/>
      <c r="D59" s="49" t="s">
        <v>448</v>
      </c>
      <c r="E59" s="47" t="s">
        <v>43</v>
      </c>
      <c r="F59" s="24" t="s">
        <v>447</v>
      </c>
      <c r="G59" s="143" t="s">
        <v>447</v>
      </c>
      <c r="H59" s="26"/>
      <c r="I59" s="27"/>
      <c r="J59" s="28"/>
      <c r="K59" s="29" t="s">
        <v>449</v>
      </c>
      <c r="L59" s="30" t="s">
        <v>446</v>
      </c>
      <c r="M59" s="40">
        <v>0.2</v>
      </c>
      <c r="N59" s="32" t="s">
        <v>450</v>
      </c>
      <c r="O59" s="24"/>
      <c r="P59" s="33"/>
      <c r="Q59" s="34" t="s">
        <v>178</v>
      </c>
      <c r="R59" s="35" t="s">
        <v>451</v>
      </c>
      <c r="S59" s="52">
        <v>0.67600000000000005</v>
      </c>
      <c r="T59" s="111"/>
      <c r="U59" s="38"/>
      <c r="V59" s="22"/>
    </row>
    <row r="60" spans="1:22" x14ac:dyDescent="0.25">
      <c r="A60" s="169"/>
      <c r="B60" s="147" t="s">
        <v>272</v>
      </c>
      <c r="C60" s="23"/>
      <c r="D60" s="49" t="s">
        <v>460</v>
      </c>
      <c r="E60" s="47" t="s">
        <v>43</v>
      </c>
      <c r="F60" s="24" t="s">
        <v>459</v>
      </c>
      <c r="G60" s="41" t="s">
        <v>459</v>
      </c>
      <c r="H60" s="26"/>
      <c r="I60" s="27"/>
      <c r="J60" s="28"/>
      <c r="K60" s="29" t="s">
        <v>458</v>
      </c>
      <c r="L60" s="30" t="s">
        <v>435</v>
      </c>
      <c r="M60" s="40">
        <v>0.1</v>
      </c>
      <c r="N60" s="32" t="s">
        <v>425</v>
      </c>
      <c r="O60" s="24"/>
      <c r="P60" s="33"/>
      <c r="Q60" s="34" t="s">
        <v>178</v>
      </c>
      <c r="R60" s="35" t="s">
        <v>461</v>
      </c>
      <c r="S60" s="36"/>
      <c r="T60" s="111"/>
      <c r="U60" s="38"/>
      <c r="V60" s="22"/>
    </row>
    <row r="61" spans="1:22" ht="12.75" x14ac:dyDescent="0.25">
      <c r="A61" s="169"/>
      <c r="B61" s="147" t="s">
        <v>273</v>
      </c>
      <c r="C61" s="78"/>
      <c r="D61" s="42"/>
      <c r="E61" s="47" t="s">
        <v>193</v>
      </c>
      <c r="F61" s="24"/>
      <c r="G61" s="25"/>
      <c r="H61" s="26"/>
      <c r="I61" s="27"/>
      <c r="J61" s="28"/>
      <c r="K61" s="79"/>
      <c r="L61" s="30"/>
      <c r="M61" s="31"/>
      <c r="N61" s="32"/>
      <c r="O61" s="24"/>
      <c r="P61" s="33"/>
      <c r="Q61" s="34"/>
      <c r="R61" s="35"/>
      <c r="S61" s="36"/>
      <c r="T61" s="111"/>
      <c r="U61" s="149"/>
      <c r="V61" s="22"/>
    </row>
    <row r="62" spans="1:22" ht="12.75" x14ac:dyDescent="0.25">
      <c r="A62" s="169"/>
      <c r="B62" s="147" t="s">
        <v>274</v>
      </c>
      <c r="C62" s="78"/>
      <c r="D62" s="42"/>
      <c r="E62" s="47" t="s">
        <v>193</v>
      </c>
      <c r="F62" s="24"/>
      <c r="G62" s="25"/>
      <c r="H62" s="26"/>
      <c r="I62" s="27"/>
      <c r="J62" s="28"/>
      <c r="O62" s="24"/>
      <c r="P62" s="33"/>
      <c r="Q62" s="34" t="s">
        <v>178</v>
      </c>
      <c r="R62" s="35" t="s">
        <v>457</v>
      </c>
      <c r="S62" s="52">
        <v>0.29199999999999998</v>
      </c>
      <c r="T62" s="111"/>
      <c r="U62" s="38"/>
      <c r="V62" s="22"/>
    </row>
    <row r="63" spans="1:22" x14ac:dyDescent="0.2">
      <c r="A63" s="169"/>
      <c r="B63" s="147" t="s">
        <v>275</v>
      </c>
      <c r="C63" s="160"/>
      <c r="D63" s="49" t="s">
        <v>453</v>
      </c>
      <c r="E63" s="47" t="s">
        <v>43</v>
      </c>
      <c r="F63" s="158" t="s">
        <v>452</v>
      </c>
      <c r="G63" s="25" t="s">
        <v>452</v>
      </c>
      <c r="H63" s="26"/>
      <c r="I63" s="27"/>
      <c r="J63" s="28"/>
      <c r="K63" s="79" t="s">
        <v>454</v>
      </c>
      <c r="L63" s="30" t="s">
        <v>455</v>
      </c>
      <c r="M63" s="40">
        <v>0.2</v>
      </c>
      <c r="N63" s="32" t="s">
        <v>456</v>
      </c>
      <c r="O63" s="24"/>
      <c r="P63" s="33"/>
      <c r="Q63" s="34"/>
      <c r="R63" s="35"/>
      <c r="S63" s="52"/>
      <c r="T63" s="111"/>
      <c r="U63" s="38"/>
      <c r="V63" s="22"/>
    </row>
    <row r="64" spans="1:22" ht="12.75" x14ac:dyDescent="0.25">
      <c r="A64" s="169"/>
      <c r="B64" s="147" t="s">
        <v>276</v>
      </c>
      <c r="C64" s="39"/>
      <c r="D64" s="42" t="s">
        <v>436</v>
      </c>
      <c r="E64" s="47" t="s">
        <v>43</v>
      </c>
      <c r="F64" s="24" t="s">
        <v>437</v>
      </c>
      <c r="G64" s="41" t="s">
        <v>442</v>
      </c>
      <c r="H64" s="26"/>
      <c r="I64" s="27"/>
      <c r="J64" s="28"/>
      <c r="K64" s="77" t="s">
        <v>443</v>
      </c>
      <c r="L64" s="30" t="s">
        <v>435</v>
      </c>
      <c r="M64" s="40">
        <v>0.1</v>
      </c>
      <c r="N64" s="32" t="s">
        <v>31</v>
      </c>
      <c r="O64" s="24"/>
      <c r="P64" s="33"/>
      <c r="Q64" s="34" t="s">
        <v>438</v>
      </c>
      <c r="R64" s="35"/>
      <c r="S64" s="36"/>
      <c r="T64" s="111"/>
      <c r="U64" s="38"/>
      <c r="V64" s="22"/>
    </row>
    <row r="65" spans="1:22" x14ac:dyDescent="0.25">
      <c r="A65" s="169"/>
      <c r="B65" s="147" t="s">
        <v>277</v>
      </c>
      <c r="C65" s="157"/>
      <c r="D65" s="49" t="s">
        <v>460</v>
      </c>
      <c r="E65" s="47" t="s">
        <v>43</v>
      </c>
      <c r="F65" s="24" t="s">
        <v>459</v>
      </c>
      <c r="G65" s="41" t="s">
        <v>459</v>
      </c>
      <c r="H65" s="26"/>
      <c r="I65" s="27"/>
      <c r="J65" s="28"/>
      <c r="K65" s="29" t="s">
        <v>458</v>
      </c>
      <c r="L65" s="30" t="s">
        <v>435</v>
      </c>
      <c r="M65" s="40">
        <v>0.1</v>
      </c>
      <c r="N65" s="32" t="s">
        <v>425</v>
      </c>
      <c r="O65" s="24"/>
      <c r="P65" s="33"/>
      <c r="Q65" s="34" t="s">
        <v>178</v>
      </c>
      <c r="R65" s="35" t="s">
        <v>461</v>
      </c>
      <c r="S65" s="36"/>
      <c r="T65" s="111"/>
      <c r="U65" s="38"/>
      <c r="V65" s="22"/>
    </row>
    <row r="66" spans="1:22" x14ac:dyDescent="0.25">
      <c r="A66" s="169"/>
      <c r="B66" s="147" t="s">
        <v>278</v>
      </c>
      <c r="C66" s="157"/>
      <c r="D66" s="49" t="s">
        <v>460</v>
      </c>
      <c r="E66" s="47" t="s">
        <v>43</v>
      </c>
      <c r="F66" s="24" t="s">
        <v>459</v>
      </c>
      <c r="G66" s="41" t="s">
        <v>459</v>
      </c>
      <c r="H66" s="26"/>
      <c r="I66" s="27"/>
      <c r="J66" s="28"/>
      <c r="K66" s="29" t="s">
        <v>458</v>
      </c>
      <c r="L66" s="30" t="s">
        <v>435</v>
      </c>
      <c r="M66" s="40">
        <v>0.1</v>
      </c>
      <c r="N66" s="32" t="s">
        <v>425</v>
      </c>
      <c r="O66" s="24"/>
      <c r="P66" s="33"/>
      <c r="Q66" s="34" t="s">
        <v>178</v>
      </c>
      <c r="R66" s="35" t="s">
        <v>461</v>
      </c>
      <c r="S66" s="36"/>
      <c r="T66" s="111"/>
      <c r="U66" s="38"/>
      <c r="V66" s="22"/>
    </row>
    <row r="67" spans="1:22" x14ac:dyDescent="0.25">
      <c r="A67" s="169"/>
      <c r="B67" s="147" t="s">
        <v>279</v>
      </c>
      <c r="C67" s="23"/>
      <c r="D67" s="49" t="s">
        <v>472</v>
      </c>
      <c r="E67" s="47" t="s">
        <v>43</v>
      </c>
      <c r="F67" s="24" t="s">
        <v>468</v>
      </c>
      <c r="G67" s="25" t="s">
        <v>468</v>
      </c>
      <c r="H67" s="26"/>
      <c r="I67" s="27"/>
      <c r="J67" s="28"/>
      <c r="K67" s="29" t="s">
        <v>469</v>
      </c>
      <c r="L67" s="30" t="s">
        <v>470</v>
      </c>
      <c r="M67" s="40">
        <v>0.1</v>
      </c>
      <c r="N67" s="32" t="s">
        <v>471</v>
      </c>
      <c r="O67" s="24"/>
      <c r="P67" s="33"/>
      <c r="Q67" s="34" t="s">
        <v>178</v>
      </c>
      <c r="R67" s="35" t="s">
        <v>467</v>
      </c>
      <c r="S67" s="52">
        <v>0.375</v>
      </c>
      <c r="T67" s="111"/>
      <c r="U67" s="38"/>
      <c r="V67" s="22"/>
    </row>
    <row r="68" spans="1:22" x14ac:dyDescent="0.2">
      <c r="A68" s="169"/>
      <c r="B68" s="147" t="s">
        <v>280</v>
      </c>
      <c r="C68" s="78"/>
      <c r="D68" s="49" t="s">
        <v>482</v>
      </c>
      <c r="E68" s="47" t="s">
        <v>43</v>
      </c>
      <c r="F68" s="158" t="s">
        <v>481</v>
      </c>
      <c r="G68" s="25" t="s">
        <v>481</v>
      </c>
      <c r="H68" s="26"/>
      <c r="I68" s="27"/>
      <c r="J68" s="28"/>
      <c r="K68" s="79" t="s">
        <v>480</v>
      </c>
      <c r="L68" s="30" t="s">
        <v>44</v>
      </c>
      <c r="M68" s="40">
        <v>0.1</v>
      </c>
      <c r="N68" s="32" t="s">
        <v>425</v>
      </c>
      <c r="O68" s="24"/>
      <c r="P68" s="33"/>
      <c r="Q68" s="34" t="s">
        <v>178</v>
      </c>
      <c r="R68" s="35" t="s">
        <v>483</v>
      </c>
      <c r="S68" s="52">
        <v>0.55500000000000005</v>
      </c>
      <c r="T68" s="111"/>
      <c r="U68" s="38"/>
      <c r="V68" s="22"/>
    </row>
    <row r="69" spans="1:22" x14ac:dyDescent="0.2">
      <c r="A69" s="169"/>
      <c r="B69" s="147" t="s">
        <v>281</v>
      </c>
      <c r="C69" s="78"/>
      <c r="D69" s="49" t="s">
        <v>482</v>
      </c>
      <c r="E69" s="47" t="s">
        <v>43</v>
      </c>
      <c r="F69" s="158" t="s">
        <v>481</v>
      </c>
      <c r="G69" s="25" t="s">
        <v>481</v>
      </c>
      <c r="H69" s="26"/>
      <c r="I69" s="27"/>
      <c r="J69" s="28"/>
      <c r="K69" s="79" t="s">
        <v>480</v>
      </c>
      <c r="L69" s="30" t="s">
        <v>44</v>
      </c>
      <c r="M69" s="40">
        <v>0.1</v>
      </c>
      <c r="N69" s="32" t="s">
        <v>425</v>
      </c>
      <c r="O69" s="24"/>
      <c r="P69" s="33"/>
      <c r="Q69" s="34" t="s">
        <v>178</v>
      </c>
      <c r="R69" s="35" t="s">
        <v>483</v>
      </c>
      <c r="S69" s="52">
        <v>0.55500000000000005</v>
      </c>
      <c r="T69" s="111"/>
      <c r="U69" s="38"/>
      <c r="V69" s="22"/>
    </row>
    <row r="70" spans="1:22" ht="12.75" x14ac:dyDescent="0.25">
      <c r="A70" s="169"/>
      <c r="B70" s="147" t="s">
        <v>282</v>
      </c>
      <c r="C70" s="39"/>
      <c r="D70" s="42" t="s">
        <v>436</v>
      </c>
      <c r="E70" s="47" t="s">
        <v>43</v>
      </c>
      <c r="F70" s="24" t="s">
        <v>437</v>
      </c>
      <c r="G70" s="41" t="s">
        <v>442</v>
      </c>
      <c r="H70" s="26"/>
      <c r="I70" s="27"/>
      <c r="J70" s="28"/>
      <c r="K70" s="77" t="s">
        <v>443</v>
      </c>
      <c r="L70" s="30" t="s">
        <v>435</v>
      </c>
      <c r="M70" s="40">
        <v>0.1</v>
      </c>
      <c r="N70" s="32" t="s">
        <v>31</v>
      </c>
      <c r="O70" s="24"/>
      <c r="P70" s="33"/>
      <c r="Q70" s="34" t="s">
        <v>438</v>
      </c>
      <c r="R70" s="35"/>
      <c r="S70" s="36"/>
      <c r="T70" s="111"/>
      <c r="U70" s="38"/>
      <c r="V70" s="22"/>
    </row>
    <row r="71" spans="1:22" x14ac:dyDescent="0.25">
      <c r="A71" s="169"/>
      <c r="B71" s="147" t="s">
        <v>283</v>
      </c>
      <c r="C71" s="23"/>
      <c r="D71" s="49" t="s">
        <v>472</v>
      </c>
      <c r="E71" s="47" t="s">
        <v>43</v>
      </c>
      <c r="F71" s="24" t="s">
        <v>468</v>
      </c>
      <c r="G71" s="25" t="s">
        <v>468</v>
      </c>
      <c r="H71" s="26"/>
      <c r="I71" s="27"/>
      <c r="J71" s="28"/>
      <c r="K71" s="29" t="s">
        <v>469</v>
      </c>
      <c r="L71" s="30" t="s">
        <v>470</v>
      </c>
      <c r="M71" s="40">
        <v>0.1</v>
      </c>
      <c r="N71" s="32" t="s">
        <v>471</v>
      </c>
      <c r="O71" s="24"/>
      <c r="P71" s="33"/>
      <c r="Q71" s="34" t="s">
        <v>178</v>
      </c>
      <c r="R71" s="35" t="s">
        <v>467</v>
      </c>
      <c r="S71" s="52">
        <v>0.375</v>
      </c>
      <c r="T71" s="111"/>
      <c r="U71" s="38"/>
      <c r="V71" s="22"/>
    </row>
    <row r="72" spans="1:22" ht="12.75" x14ac:dyDescent="0.25">
      <c r="A72" s="169"/>
      <c r="B72" s="147" t="s">
        <v>284</v>
      </c>
      <c r="C72" s="39"/>
      <c r="D72" s="42" t="s">
        <v>436</v>
      </c>
      <c r="E72" s="47" t="s">
        <v>43</v>
      </c>
      <c r="F72" s="24" t="s">
        <v>437</v>
      </c>
      <c r="G72" s="41" t="s">
        <v>442</v>
      </c>
      <c r="H72" s="26"/>
      <c r="I72" s="27"/>
      <c r="J72" s="28"/>
      <c r="K72" s="77" t="s">
        <v>443</v>
      </c>
      <c r="L72" s="30" t="s">
        <v>435</v>
      </c>
      <c r="M72" s="40">
        <v>0.1</v>
      </c>
      <c r="N72" s="32" t="s">
        <v>31</v>
      </c>
      <c r="O72" s="24"/>
      <c r="P72" s="33"/>
      <c r="Q72" s="34" t="s">
        <v>438</v>
      </c>
      <c r="R72" s="35"/>
      <c r="S72" s="36"/>
      <c r="T72" s="111"/>
      <c r="U72" s="38"/>
    </row>
    <row r="73" spans="1:22" x14ac:dyDescent="0.25">
      <c r="A73" s="169"/>
      <c r="B73" s="147" t="s">
        <v>285</v>
      </c>
      <c r="C73" s="23"/>
      <c r="D73" s="49" t="s">
        <v>472</v>
      </c>
      <c r="E73" s="47" t="s">
        <v>43</v>
      </c>
      <c r="F73" s="24" t="s">
        <v>468</v>
      </c>
      <c r="G73" s="25" t="s">
        <v>468</v>
      </c>
      <c r="H73" s="26"/>
      <c r="I73" s="27"/>
      <c r="J73" s="28"/>
      <c r="K73" s="29" t="s">
        <v>469</v>
      </c>
      <c r="L73" s="30" t="s">
        <v>470</v>
      </c>
      <c r="M73" s="40">
        <v>0.1</v>
      </c>
      <c r="N73" s="32" t="s">
        <v>471</v>
      </c>
      <c r="O73" s="24"/>
      <c r="P73" s="33"/>
      <c r="Q73" s="34" t="s">
        <v>178</v>
      </c>
      <c r="R73" s="35" t="s">
        <v>467</v>
      </c>
      <c r="S73" s="52">
        <v>0.375</v>
      </c>
      <c r="T73" s="111"/>
      <c r="U73" s="38"/>
      <c r="V73" s="22"/>
    </row>
    <row r="74" spans="1:22" x14ac:dyDescent="0.2">
      <c r="A74" s="169"/>
      <c r="B74" s="147" t="s">
        <v>286</v>
      </c>
      <c r="C74" s="78"/>
      <c r="D74" s="49" t="s">
        <v>482</v>
      </c>
      <c r="E74" s="47" t="s">
        <v>43</v>
      </c>
      <c r="F74" s="158" t="s">
        <v>481</v>
      </c>
      <c r="G74" s="25" t="s">
        <v>481</v>
      </c>
      <c r="H74" s="26"/>
      <c r="I74" s="27"/>
      <c r="J74" s="28"/>
      <c r="K74" s="79" t="s">
        <v>480</v>
      </c>
      <c r="L74" s="30" t="s">
        <v>44</v>
      </c>
      <c r="M74" s="40">
        <v>0.1</v>
      </c>
      <c r="N74" s="32" t="s">
        <v>425</v>
      </c>
      <c r="O74" s="24"/>
      <c r="P74" s="33"/>
      <c r="Q74" s="34" t="s">
        <v>178</v>
      </c>
      <c r="R74" s="35" t="s">
        <v>483</v>
      </c>
      <c r="S74" s="52">
        <v>0.55500000000000005</v>
      </c>
      <c r="T74" s="111"/>
      <c r="U74" s="38"/>
      <c r="V74" s="22"/>
    </row>
    <row r="75" spans="1:22" x14ac:dyDescent="0.2">
      <c r="A75" s="169"/>
      <c r="B75" s="147" t="s">
        <v>287</v>
      </c>
      <c r="C75" s="78"/>
      <c r="D75" s="49" t="s">
        <v>482</v>
      </c>
      <c r="E75" s="47" t="s">
        <v>43</v>
      </c>
      <c r="F75" s="158" t="s">
        <v>481</v>
      </c>
      <c r="G75" s="25" t="s">
        <v>481</v>
      </c>
      <c r="H75" s="26"/>
      <c r="I75" s="27"/>
      <c r="J75" s="28"/>
      <c r="K75" s="79" t="s">
        <v>480</v>
      </c>
      <c r="L75" s="30" t="s">
        <v>44</v>
      </c>
      <c r="M75" s="40">
        <v>0.1</v>
      </c>
      <c r="N75" s="32" t="s">
        <v>425</v>
      </c>
      <c r="O75" s="24"/>
      <c r="P75" s="33"/>
      <c r="Q75" s="34" t="s">
        <v>178</v>
      </c>
      <c r="R75" s="35" t="s">
        <v>483</v>
      </c>
      <c r="S75" s="52">
        <v>0.55500000000000005</v>
      </c>
      <c r="T75" s="111"/>
      <c r="U75" s="38"/>
      <c r="V75" s="22"/>
    </row>
    <row r="76" spans="1:22" ht="12.75" x14ac:dyDescent="0.2">
      <c r="A76" s="169"/>
      <c r="B76" s="147" t="s">
        <v>288</v>
      </c>
      <c r="C76" s="78"/>
      <c r="D76" s="42"/>
      <c r="E76" s="47" t="s">
        <v>193</v>
      </c>
      <c r="F76" s="158"/>
      <c r="G76" s="25"/>
      <c r="H76" s="26"/>
      <c r="I76" s="27"/>
      <c r="J76" s="28"/>
      <c r="K76" s="79"/>
      <c r="L76" s="30"/>
      <c r="M76" s="40"/>
      <c r="N76" s="32"/>
      <c r="O76" s="24"/>
      <c r="P76" s="33"/>
      <c r="Q76" s="34"/>
      <c r="R76" s="35"/>
      <c r="S76" s="52"/>
      <c r="T76" s="111"/>
      <c r="U76" s="38"/>
      <c r="V76" s="22"/>
    </row>
    <row r="77" spans="1:22" x14ac:dyDescent="0.25">
      <c r="A77" s="169"/>
      <c r="B77" s="147" t="s">
        <v>289</v>
      </c>
      <c r="C77" s="23"/>
      <c r="D77" s="49"/>
      <c r="E77" s="47" t="s">
        <v>193</v>
      </c>
      <c r="F77" s="24"/>
      <c r="G77" s="25"/>
      <c r="H77" s="26"/>
      <c r="I77" s="27"/>
      <c r="J77" s="28"/>
      <c r="K77" s="29"/>
      <c r="L77" s="30"/>
      <c r="M77" s="144"/>
      <c r="N77" s="32"/>
      <c r="O77" s="24"/>
      <c r="P77" s="33"/>
      <c r="Q77" s="34"/>
      <c r="R77" s="35"/>
      <c r="S77" s="52"/>
      <c r="T77" s="111"/>
      <c r="U77" s="38"/>
      <c r="V77" s="22"/>
    </row>
    <row r="78" spans="1:22" x14ac:dyDescent="0.2">
      <c r="A78" s="169"/>
      <c r="B78" s="147" t="s">
        <v>290</v>
      </c>
      <c r="C78" s="23"/>
      <c r="D78" s="49"/>
      <c r="E78" s="47" t="s">
        <v>193</v>
      </c>
      <c r="F78" s="158"/>
      <c r="G78" s="25"/>
      <c r="H78" s="26"/>
      <c r="I78" s="27"/>
      <c r="J78" s="28"/>
      <c r="K78" s="29"/>
      <c r="L78" s="30"/>
      <c r="M78" s="40"/>
      <c r="N78" s="32"/>
      <c r="O78" s="24"/>
      <c r="P78" s="33"/>
      <c r="Q78" s="34"/>
      <c r="R78" s="35"/>
      <c r="S78" s="52"/>
      <c r="T78" s="111"/>
      <c r="U78" s="38"/>
      <c r="V78" s="22"/>
    </row>
    <row r="79" spans="1:22" x14ac:dyDescent="0.2">
      <c r="A79" s="169"/>
      <c r="B79" s="147" t="s">
        <v>291</v>
      </c>
      <c r="C79" s="23"/>
      <c r="D79" s="49"/>
      <c r="E79" s="47" t="s">
        <v>193</v>
      </c>
      <c r="F79" s="159"/>
      <c r="G79" s="25"/>
      <c r="H79" s="26"/>
      <c r="I79" s="27"/>
      <c r="J79" s="28"/>
      <c r="K79" s="29"/>
      <c r="L79" s="30"/>
      <c r="M79" s="40"/>
      <c r="N79" s="32"/>
      <c r="O79" s="24"/>
      <c r="P79" s="33"/>
      <c r="Q79" s="34"/>
      <c r="R79" s="35"/>
      <c r="S79" s="36"/>
      <c r="T79" s="111"/>
      <c r="U79" s="38"/>
      <c r="V79" s="22"/>
    </row>
    <row r="80" spans="1:22" ht="12.75" x14ac:dyDescent="0.25">
      <c r="A80" s="169"/>
      <c r="B80" s="151" t="s">
        <v>292</v>
      </c>
      <c r="C80" s="23"/>
      <c r="D80" s="42"/>
      <c r="E80" s="47"/>
      <c r="F80" s="24" t="s">
        <v>192</v>
      </c>
      <c r="G80" s="25" t="s">
        <v>484</v>
      </c>
      <c r="H80" s="26"/>
      <c r="I80" s="27"/>
      <c r="J80" s="28"/>
      <c r="K80" s="29" t="s">
        <v>192</v>
      </c>
      <c r="L80" s="30"/>
      <c r="M80" s="31"/>
      <c r="N80" s="32"/>
      <c r="O80" s="24"/>
      <c r="P80" s="33"/>
      <c r="Q80" s="34"/>
      <c r="R80" s="35"/>
      <c r="S80" s="52"/>
      <c r="T80" s="111"/>
      <c r="U80" s="38"/>
      <c r="V80" s="22"/>
    </row>
    <row r="81" spans="1:22" ht="12.75" x14ac:dyDescent="0.25">
      <c r="A81" s="169"/>
      <c r="B81" s="151" t="s">
        <v>293</v>
      </c>
      <c r="C81" s="23"/>
      <c r="D81" s="42"/>
      <c r="E81" s="47"/>
      <c r="F81" s="24" t="s">
        <v>192</v>
      </c>
      <c r="G81" s="25" t="s">
        <v>484</v>
      </c>
      <c r="H81" s="26"/>
      <c r="I81" s="27"/>
      <c r="J81" s="28"/>
      <c r="K81" s="29" t="s">
        <v>192</v>
      </c>
      <c r="L81" s="30"/>
      <c r="M81" s="31"/>
      <c r="N81" s="32"/>
      <c r="O81" s="24"/>
      <c r="P81" s="33"/>
      <c r="Q81" s="34"/>
      <c r="R81" s="35"/>
      <c r="S81" s="52"/>
      <c r="T81" s="111"/>
      <c r="U81" s="38"/>
      <c r="V81" s="22"/>
    </row>
    <row r="82" spans="1:22" s="141" customFormat="1" x14ac:dyDescent="0.25">
      <c r="A82" s="169"/>
      <c r="B82" s="151" t="s">
        <v>294</v>
      </c>
      <c r="C82" s="23"/>
      <c r="D82" s="49"/>
      <c r="E82" s="47"/>
      <c r="F82" s="24" t="s">
        <v>192</v>
      </c>
      <c r="G82" s="25" t="s">
        <v>484</v>
      </c>
      <c r="H82" s="26"/>
      <c r="I82" s="27"/>
      <c r="J82" s="28"/>
      <c r="K82" s="29" t="s">
        <v>192</v>
      </c>
      <c r="L82" s="30"/>
      <c r="M82" s="31"/>
      <c r="N82" s="32"/>
      <c r="O82" s="24"/>
      <c r="P82" s="33"/>
      <c r="Q82" s="34"/>
      <c r="R82" s="35"/>
      <c r="S82" s="52"/>
      <c r="T82" s="111"/>
      <c r="U82" s="38"/>
      <c r="V82" s="22"/>
    </row>
    <row r="83" spans="1:22" s="141" customFormat="1" x14ac:dyDescent="0.2">
      <c r="A83" s="169"/>
      <c r="B83" s="151" t="s">
        <v>295</v>
      </c>
      <c r="C83" s="23"/>
      <c r="D83" s="49" t="s">
        <v>486</v>
      </c>
      <c r="E83" s="47" t="s">
        <v>43</v>
      </c>
      <c r="F83" s="158" t="s">
        <v>487</v>
      </c>
      <c r="G83" s="25" t="s">
        <v>487</v>
      </c>
      <c r="H83" s="26"/>
      <c r="I83" s="27"/>
      <c r="J83" s="28"/>
      <c r="K83" s="29" t="s">
        <v>485</v>
      </c>
      <c r="L83" s="30"/>
      <c r="M83" s="31"/>
      <c r="N83" s="32"/>
      <c r="O83" s="24"/>
      <c r="P83" s="33"/>
      <c r="Q83" s="34" t="s">
        <v>178</v>
      </c>
      <c r="R83" s="35" t="s">
        <v>488</v>
      </c>
      <c r="S83" s="52"/>
      <c r="T83" s="111"/>
      <c r="U83" s="38"/>
      <c r="V83" s="22"/>
    </row>
    <row r="84" spans="1:22" s="141" customFormat="1" x14ac:dyDescent="0.2">
      <c r="A84" s="169"/>
      <c r="B84" s="151" t="s">
        <v>296</v>
      </c>
      <c r="C84" s="23"/>
      <c r="D84" s="49" t="s">
        <v>496</v>
      </c>
      <c r="E84" s="47" t="s">
        <v>43</v>
      </c>
      <c r="F84" s="158" t="s">
        <v>494</v>
      </c>
      <c r="G84" s="25" t="s">
        <v>494</v>
      </c>
      <c r="H84" s="26"/>
      <c r="I84" s="27"/>
      <c r="J84" s="28"/>
      <c r="K84" s="29" t="s">
        <v>495</v>
      </c>
      <c r="L84" s="30"/>
      <c r="M84" s="31"/>
      <c r="N84" s="32"/>
      <c r="O84" s="24"/>
      <c r="P84" s="33"/>
      <c r="Q84" s="34" t="s">
        <v>178</v>
      </c>
      <c r="R84" s="35" t="s">
        <v>497</v>
      </c>
      <c r="S84" s="52">
        <v>0.21</v>
      </c>
      <c r="T84" s="111"/>
      <c r="U84" s="38"/>
      <c r="V84" s="22"/>
    </row>
    <row r="85" spans="1:22" s="141" customFormat="1" ht="15" customHeight="1" x14ac:dyDescent="0.25">
      <c r="A85" s="169"/>
      <c r="B85" s="151" t="s">
        <v>297</v>
      </c>
      <c r="C85" s="23"/>
      <c r="D85" s="49" t="s">
        <v>501</v>
      </c>
      <c r="E85" s="47" t="s">
        <v>43</v>
      </c>
      <c r="F85" s="24" t="s">
        <v>498</v>
      </c>
      <c r="G85" s="25" t="s">
        <v>498</v>
      </c>
      <c r="H85" s="26"/>
      <c r="I85" s="27"/>
      <c r="J85" s="28"/>
      <c r="K85" s="145" t="s">
        <v>499</v>
      </c>
      <c r="L85" s="30"/>
      <c r="M85" s="40"/>
      <c r="N85" s="32"/>
      <c r="O85" s="24"/>
      <c r="P85" s="33"/>
      <c r="Q85" s="34" t="s">
        <v>178</v>
      </c>
      <c r="R85" s="35" t="s">
        <v>500</v>
      </c>
      <c r="S85" s="52">
        <v>7.4999999999999997E-2</v>
      </c>
      <c r="T85" s="111"/>
      <c r="U85" s="38"/>
      <c r="V85" s="22"/>
    </row>
    <row r="86" spans="1:22" s="141" customFormat="1" ht="13.5" customHeight="1" x14ac:dyDescent="0.25">
      <c r="A86" s="169"/>
      <c r="B86" s="151" t="s">
        <v>298</v>
      </c>
      <c r="C86" s="23"/>
      <c r="D86" s="49" t="s">
        <v>501</v>
      </c>
      <c r="E86" s="47" t="s">
        <v>43</v>
      </c>
      <c r="F86" s="24" t="s">
        <v>498</v>
      </c>
      <c r="G86" s="25" t="s">
        <v>498</v>
      </c>
      <c r="H86" s="26"/>
      <c r="I86" s="27"/>
      <c r="J86" s="28"/>
      <c r="K86" s="145" t="s">
        <v>499</v>
      </c>
      <c r="L86" s="30"/>
      <c r="M86" s="40"/>
      <c r="N86" s="32"/>
      <c r="O86" s="24"/>
      <c r="P86" s="33"/>
      <c r="Q86" s="34" t="s">
        <v>178</v>
      </c>
      <c r="R86" s="35" t="s">
        <v>500</v>
      </c>
      <c r="S86" s="52">
        <v>7.4999999999999997E-2</v>
      </c>
      <c r="T86" s="111"/>
      <c r="U86" s="38"/>
      <c r="V86" s="22"/>
    </row>
    <row r="87" spans="1:22" s="141" customFormat="1" ht="15" customHeight="1" x14ac:dyDescent="0.25">
      <c r="A87" s="169"/>
      <c r="B87" s="151" t="s">
        <v>299</v>
      </c>
      <c r="C87" s="23"/>
      <c r="D87" s="49" t="s">
        <v>501</v>
      </c>
      <c r="E87" s="47" t="s">
        <v>43</v>
      </c>
      <c r="F87" s="24" t="s">
        <v>498</v>
      </c>
      <c r="G87" s="25" t="s">
        <v>498</v>
      </c>
      <c r="H87" s="26"/>
      <c r="I87" s="27"/>
      <c r="J87" s="28"/>
      <c r="K87" s="145" t="s">
        <v>499</v>
      </c>
      <c r="L87" s="30"/>
      <c r="M87" s="40"/>
      <c r="N87" s="32"/>
      <c r="O87" s="24"/>
      <c r="P87" s="33"/>
      <c r="Q87" s="34" t="s">
        <v>178</v>
      </c>
      <c r="R87" s="35" t="s">
        <v>500</v>
      </c>
      <c r="S87" s="52">
        <v>7.4999999999999997E-2</v>
      </c>
      <c r="T87" s="111"/>
      <c r="U87" s="38"/>
      <c r="V87" s="22"/>
    </row>
    <row r="88" spans="1:22" s="141" customFormat="1" ht="13.5" customHeight="1" x14ac:dyDescent="0.25">
      <c r="A88" s="169"/>
      <c r="B88" s="151" t="s">
        <v>300</v>
      </c>
      <c r="C88" s="23"/>
      <c r="D88" s="49" t="s">
        <v>501</v>
      </c>
      <c r="E88" s="47" t="s">
        <v>43</v>
      </c>
      <c r="F88" s="24" t="s">
        <v>498</v>
      </c>
      <c r="G88" s="25" t="s">
        <v>498</v>
      </c>
      <c r="H88" s="26"/>
      <c r="I88" s="27"/>
      <c r="J88" s="28"/>
      <c r="K88" s="145" t="s">
        <v>499</v>
      </c>
      <c r="L88" s="30"/>
      <c r="M88" s="40"/>
      <c r="N88" s="32"/>
      <c r="O88" s="24"/>
      <c r="P88" s="33"/>
      <c r="Q88" s="34" t="s">
        <v>178</v>
      </c>
      <c r="R88" s="35" t="s">
        <v>500</v>
      </c>
      <c r="S88" s="52">
        <v>7.4999999999999997E-2</v>
      </c>
      <c r="T88" s="111"/>
      <c r="U88" s="38"/>
      <c r="V88" s="22"/>
    </row>
    <row r="89" spans="1:22" s="141" customFormat="1" x14ac:dyDescent="0.2">
      <c r="A89" s="169"/>
      <c r="B89" s="151" t="s">
        <v>301</v>
      </c>
      <c r="C89" s="23"/>
      <c r="D89" s="49" t="s">
        <v>496</v>
      </c>
      <c r="E89" s="47" t="s">
        <v>43</v>
      </c>
      <c r="F89" s="158" t="s">
        <v>494</v>
      </c>
      <c r="G89" s="25" t="s">
        <v>494</v>
      </c>
      <c r="H89" s="26"/>
      <c r="I89" s="27"/>
      <c r="J89" s="28"/>
      <c r="K89" s="29" t="s">
        <v>495</v>
      </c>
      <c r="L89" s="30"/>
      <c r="M89" s="31"/>
      <c r="N89" s="32"/>
      <c r="O89" s="24"/>
      <c r="P89" s="33"/>
      <c r="Q89" s="34" t="s">
        <v>178</v>
      </c>
      <c r="R89" s="35" t="s">
        <v>497</v>
      </c>
      <c r="S89" s="52">
        <v>0.21</v>
      </c>
      <c r="T89" s="111"/>
      <c r="U89" s="38"/>
      <c r="V89" s="22"/>
    </row>
    <row r="90" spans="1:22" s="141" customFormat="1" ht="16.5" customHeight="1" x14ac:dyDescent="0.25">
      <c r="A90" s="169"/>
      <c r="B90" s="151" t="s">
        <v>302</v>
      </c>
      <c r="C90" s="23"/>
      <c r="D90" s="49" t="s">
        <v>501</v>
      </c>
      <c r="E90" s="47" t="s">
        <v>43</v>
      </c>
      <c r="F90" s="24" t="s">
        <v>498</v>
      </c>
      <c r="G90" s="25" t="s">
        <v>498</v>
      </c>
      <c r="H90" s="26"/>
      <c r="I90" s="27"/>
      <c r="J90" s="28"/>
      <c r="K90" s="145" t="s">
        <v>499</v>
      </c>
      <c r="L90" s="30"/>
      <c r="M90" s="40"/>
      <c r="N90" s="32"/>
      <c r="O90" s="24"/>
      <c r="P90" s="33"/>
      <c r="Q90" s="34" t="s">
        <v>178</v>
      </c>
      <c r="R90" s="35" t="s">
        <v>500</v>
      </c>
      <c r="S90" s="52">
        <v>7.4999999999999997E-2</v>
      </c>
      <c r="T90" s="111"/>
      <c r="U90" s="38"/>
      <c r="V90" s="22"/>
    </row>
    <row r="91" spans="1:22" s="141" customFormat="1" ht="15" customHeight="1" x14ac:dyDescent="0.25">
      <c r="A91" s="169"/>
      <c r="B91" s="151" t="s">
        <v>303</v>
      </c>
      <c r="C91" s="23"/>
      <c r="D91" s="49" t="s">
        <v>501</v>
      </c>
      <c r="E91" s="47" t="s">
        <v>43</v>
      </c>
      <c r="F91" s="24" t="s">
        <v>498</v>
      </c>
      <c r="G91" s="25" t="s">
        <v>498</v>
      </c>
      <c r="H91" s="26"/>
      <c r="I91" s="27"/>
      <c r="J91" s="28"/>
      <c r="K91" s="145" t="s">
        <v>499</v>
      </c>
      <c r="L91" s="30"/>
      <c r="M91" s="40"/>
      <c r="N91" s="32"/>
      <c r="O91" s="24"/>
      <c r="P91" s="33"/>
      <c r="Q91" s="34" t="s">
        <v>178</v>
      </c>
      <c r="R91" s="35" t="s">
        <v>500</v>
      </c>
      <c r="S91" s="52">
        <v>7.4999999999999997E-2</v>
      </c>
      <c r="T91" s="111"/>
      <c r="U91" s="38"/>
      <c r="V91" s="22"/>
    </row>
    <row r="92" spans="1:22" s="141" customFormat="1" x14ac:dyDescent="0.2">
      <c r="A92" s="169"/>
      <c r="B92" s="151" t="s">
        <v>304</v>
      </c>
      <c r="C92" s="23"/>
      <c r="D92" s="49" t="s">
        <v>496</v>
      </c>
      <c r="E92" s="47" t="s">
        <v>43</v>
      </c>
      <c r="F92" s="158" t="s">
        <v>494</v>
      </c>
      <c r="G92" s="25" t="s">
        <v>494</v>
      </c>
      <c r="H92" s="26"/>
      <c r="I92" s="27"/>
      <c r="J92" s="28"/>
      <c r="K92" s="29" t="s">
        <v>495</v>
      </c>
      <c r="L92" s="30"/>
      <c r="M92" s="31"/>
      <c r="N92" s="32"/>
      <c r="O92" s="24"/>
      <c r="P92" s="33"/>
      <c r="Q92" s="34" t="s">
        <v>178</v>
      </c>
      <c r="R92" s="35" t="s">
        <v>497</v>
      </c>
      <c r="S92" s="52">
        <v>0.21</v>
      </c>
      <c r="T92" s="111"/>
      <c r="U92" s="38"/>
      <c r="V92" s="22"/>
    </row>
    <row r="93" spans="1:22" s="141" customFormat="1" x14ac:dyDescent="0.2">
      <c r="A93" s="169"/>
      <c r="B93" s="151" t="s">
        <v>305</v>
      </c>
      <c r="C93" s="23"/>
      <c r="D93" s="49" t="s">
        <v>503</v>
      </c>
      <c r="E93" s="47" t="s">
        <v>43</v>
      </c>
      <c r="F93" s="158" t="s">
        <v>502</v>
      </c>
      <c r="G93" s="25" t="s">
        <v>502</v>
      </c>
      <c r="H93" s="26"/>
      <c r="I93" s="27"/>
      <c r="J93" s="28"/>
      <c r="K93" s="29" t="s">
        <v>504</v>
      </c>
      <c r="L93" s="30"/>
      <c r="M93" s="31"/>
      <c r="N93" s="32"/>
      <c r="O93" s="24"/>
      <c r="P93" s="33"/>
      <c r="Q93" s="34" t="s">
        <v>178</v>
      </c>
      <c r="R93" s="35" t="s">
        <v>505</v>
      </c>
      <c r="S93" s="52">
        <v>0.72799999999999998</v>
      </c>
      <c r="T93" s="111"/>
      <c r="U93" s="38"/>
      <c r="V93" s="22"/>
    </row>
    <row r="94" spans="1:22" s="141" customFormat="1" x14ac:dyDescent="0.2">
      <c r="A94" s="169"/>
      <c r="B94" s="151" t="s">
        <v>306</v>
      </c>
      <c r="C94" s="23"/>
      <c r="D94" s="49" t="s">
        <v>503</v>
      </c>
      <c r="E94" s="47" t="s">
        <v>43</v>
      </c>
      <c r="F94" s="158" t="s">
        <v>502</v>
      </c>
      <c r="G94" s="25" t="s">
        <v>502</v>
      </c>
      <c r="H94" s="26"/>
      <c r="I94" s="27"/>
      <c r="J94" s="28"/>
      <c r="K94" s="29" t="s">
        <v>504</v>
      </c>
      <c r="L94" s="30"/>
      <c r="M94" s="31"/>
      <c r="N94" s="32"/>
      <c r="O94" s="24"/>
      <c r="P94" s="33"/>
      <c r="Q94" s="34" t="s">
        <v>178</v>
      </c>
      <c r="R94" s="35" t="s">
        <v>505</v>
      </c>
      <c r="S94" s="52">
        <v>0.72799999999999998</v>
      </c>
      <c r="T94" s="111"/>
      <c r="U94" s="38"/>
      <c r="V94" s="22"/>
    </row>
    <row r="95" spans="1:22" s="141" customFormat="1" ht="12.75" x14ac:dyDescent="0.25">
      <c r="A95" s="169"/>
      <c r="B95" s="151" t="s">
        <v>307</v>
      </c>
      <c r="C95" s="23"/>
      <c r="D95" s="42"/>
      <c r="E95" s="47"/>
      <c r="F95" s="24" t="s">
        <v>192</v>
      </c>
      <c r="G95" s="25" t="s">
        <v>484</v>
      </c>
      <c r="H95" s="26"/>
      <c r="I95" s="27"/>
      <c r="J95" s="28"/>
      <c r="K95" s="29" t="s">
        <v>192</v>
      </c>
      <c r="L95" s="30"/>
      <c r="M95" s="31"/>
      <c r="N95" s="32"/>
      <c r="O95" s="24"/>
      <c r="P95" s="33"/>
      <c r="Q95" s="34"/>
      <c r="R95" s="35"/>
      <c r="S95" s="52"/>
      <c r="T95" s="111"/>
      <c r="U95" s="38"/>
      <c r="V95" s="22"/>
    </row>
    <row r="96" spans="1:22" s="141" customFormat="1" x14ac:dyDescent="0.25">
      <c r="A96" s="169"/>
      <c r="B96" s="151" t="s">
        <v>308</v>
      </c>
      <c r="C96" s="23"/>
      <c r="D96" s="49" t="s">
        <v>184</v>
      </c>
      <c r="E96" s="47" t="s">
        <v>43</v>
      </c>
      <c r="F96" s="24" t="s">
        <v>182</v>
      </c>
      <c r="G96" s="25" t="s">
        <v>182</v>
      </c>
      <c r="H96" s="26"/>
      <c r="I96" s="27"/>
      <c r="J96" s="28"/>
      <c r="K96" s="29" t="s">
        <v>183</v>
      </c>
      <c r="L96" s="30"/>
      <c r="M96" s="31"/>
      <c r="N96" s="32"/>
      <c r="O96" s="24"/>
      <c r="P96" s="33"/>
      <c r="Q96" s="34" t="s">
        <v>178</v>
      </c>
      <c r="R96" s="35" t="s">
        <v>185</v>
      </c>
      <c r="S96" s="52">
        <v>0.72099999999999997</v>
      </c>
      <c r="T96" s="111"/>
      <c r="U96" s="38"/>
      <c r="V96" s="22"/>
    </row>
    <row r="97" spans="1:23" s="141" customFormat="1" x14ac:dyDescent="0.2">
      <c r="A97" s="169"/>
      <c r="B97" s="151" t="s">
        <v>309</v>
      </c>
      <c r="C97" s="23"/>
      <c r="D97" s="49" t="s">
        <v>186</v>
      </c>
      <c r="E97" s="47" t="s">
        <v>43</v>
      </c>
      <c r="F97" s="159" t="s">
        <v>506</v>
      </c>
      <c r="G97" s="25" t="s">
        <v>506</v>
      </c>
      <c r="H97" s="26"/>
      <c r="I97" s="27"/>
      <c r="J97" s="28"/>
      <c r="K97" s="29" t="s">
        <v>187</v>
      </c>
      <c r="L97" s="30"/>
      <c r="M97" s="40"/>
      <c r="N97" s="32"/>
      <c r="O97" s="24"/>
      <c r="P97" s="33"/>
      <c r="Q97" s="34" t="s">
        <v>178</v>
      </c>
      <c r="R97" s="35" t="s">
        <v>507</v>
      </c>
      <c r="S97" s="52">
        <v>2.5499999999999998</v>
      </c>
      <c r="T97" s="111"/>
      <c r="U97" s="38"/>
      <c r="V97" s="22"/>
    </row>
    <row r="98" spans="1:23" s="141" customFormat="1" x14ac:dyDescent="0.2">
      <c r="A98" s="169"/>
      <c r="B98" s="151" t="s">
        <v>310</v>
      </c>
      <c r="C98" s="23"/>
      <c r="D98" s="49" t="s">
        <v>186</v>
      </c>
      <c r="E98" s="47" t="s">
        <v>43</v>
      </c>
      <c r="F98" s="159" t="s">
        <v>506</v>
      </c>
      <c r="G98" s="25" t="s">
        <v>506</v>
      </c>
      <c r="H98" s="26"/>
      <c r="I98" s="27"/>
      <c r="J98" s="28"/>
      <c r="K98" s="29" t="s">
        <v>187</v>
      </c>
      <c r="L98" s="30"/>
      <c r="M98" s="40"/>
      <c r="N98" s="32"/>
      <c r="O98" s="24"/>
      <c r="P98" s="33"/>
      <c r="Q98" s="34" t="s">
        <v>178</v>
      </c>
      <c r="R98" s="35" t="s">
        <v>507</v>
      </c>
      <c r="S98" s="52">
        <v>2.5499999999999998</v>
      </c>
      <c r="T98" s="111"/>
      <c r="U98" s="38"/>
      <c r="V98" s="22"/>
    </row>
    <row r="99" spans="1:23" s="141" customFormat="1" x14ac:dyDescent="0.2">
      <c r="A99" s="169"/>
      <c r="B99" s="151" t="s">
        <v>311</v>
      </c>
      <c r="C99" s="23"/>
      <c r="D99" s="49" t="s">
        <v>186</v>
      </c>
      <c r="E99" s="47" t="s">
        <v>43</v>
      </c>
      <c r="F99" s="159" t="s">
        <v>506</v>
      </c>
      <c r="G99" s="25" t="s">
        <v>506</v>
      </c>
      <c r="H99" s="26"/>
      <c r="I99" s="27"/>
      <c r="J99" s="28"/>
      <c r="K99" s="29" t="s">
        <v>187</v>
      </c>
      <c r="L99" s="30"/>
      <c r="M99" s="40"/>
      <c r="N99" s="32"/>
      <c r="O99" s="24"/>
      <c r="P99" s="33"/>
      <c r="Q99" s="34" t="s">
        <v>178</v>
      </c>
      <c r="R99" s="35" t="s">
        <v>507</v>
      </c>
      <c r="S99" s="52">
        <v>2.5499999999999998</v>
      </c>
      <c r="T99" s="111"/>
      <c r="U99" s="38"/>
      <c r="V99" s="22"/>
    </row>
    <row r="100" spans="1:23" s="141" customFormat="1" x14ac:dyDescent="0.2">
      <c r="A100" s="169"/>
      <c r="B100" s="151" t="s">
        <v>312</v>
      </c>
      <c r="C100" s="23"/>
      <c r="D100" s="49" t="s">
        <v>186</v>
      </c>
      <c r="E100" s="47" t="s">
        <v>43</v>
      </c>
      <c r="F100" s="159" t="s">
        <v>506</v>
      </c>
      <c r="G100" s="25" t="s">
        <v>506</v>
      </c>
      <c r="H100" s="26"/>
      <c r="I100" s="27"/>
      <c r="J100" s="28"/>
      <c r="K100" s="29" t="s">
        <v>187</v>
      </c>
      <c r="L100" s="30"/>
      <c r="M100" s="40"/>
      <c r="N100" s="32"/>
      <c r="O100" s="24"/>
      <c r="P100" s="33"/>
      <c r="Q100" s="34" t="s">
        <v>178</v>
      </c>
      <c r="R100" s="35" t="s">
        <v>507</v>
      </c>
      <c r="S100" s="52">
        <v>2.5499999999999998</v>
      </c>
      <c r="T100" s="111"/>
      <c r="U100" s="38"/>
      <c r="V100" s="22"/>
    </row>
    <row r="101" spans="1:23" s="141" customFormat="1" x14ac:dyDescent="0.25">
      <c r="A101" s="169"/>
      <c r="B101" s="151" t="s">
        <v>314</v>
      </c>
      <c r="C101" s="23"/>
      <c r="D101" s="49" t="s">
        <v>521</v>
      </c>
      <c r="E101" s="47" t="s">
        <v>43</v>
      </c>
      <c r="F101" s="24" t="s">
        <v>520</v>
      </c>
      <c r="G101" s="25" t="s">
        <v>520</v>
      </c>
      <c r="H101" s="26"/>
      <c r="I101" s="27"/>
      <c r="J101" s="28"/>
      <c r="K101" s="29" t="s">
        <v>520</v>
      </c>
      <c r="L101" s="30"/>
      <c r="M101" s="31"/>
      <c r="N101" s="32"/>
      <c r="O101" s="24"/>
      <c r="P101" s="33"/>
      <c r="Q101" s="34" t="s">
        <v>523</v>
      </c>
      <c r="R101" s="35" t="s">
        <v>522</v>
      </c>
      <c r="S101" s="52">
        <v>1.25</v>
      </c>
      <c r="T101" s="111"/>
      <c r="U101" s="38"/>
      <c r="V101" s="22"/>
      <c r="W101" s="1"/>
    </row>
    <row r="102" spans="1:23" s="141" customFormat="1" x14ac:dyDescent="0.25">
      <c r="A102" s="169"/>
      <c r="B102" s="151" t="s">
        <v>315</v>
      </c>
      <c r="C102" s="23"/>
      <c r="D102" s="49" t="s">
        <v>521</v>
      </c>
      <c r="E102" s="47" t="s">
        <v>43</v>
      </c>
      <c r="F102" s="24" t="s">
        <v>520</v>
      </c>
      <c r="G102" s="25" t="s">
        <v>520</v>
      </c>
      <c r="H102" s="26"/>
      <c r="I102" s="27"/>
      <c r="J102" s="28"/>
      <c r="K102" s="29" t="s">
        <v>520</v>
      </c>
      <c r="L102" s="30"/>
      <c r="M102" s="31"/>
      <c r="N102" s="32"/>
      <c r="O102" s="24"/>
      <c r="P102" s="33"/>
      <c r="Q102" s="34" t="s">
        <v>523</v>
      </c>
      <c r="R102" s="35" t="s">
        <v>522</v>
      </c>
      <c r="S102" s="52">
        <v>1.25</v>
      </c>
      <c r="T102" s="111"/>
      <c r="U102" s="38"/>
      <c r="V102" s="22"/>
    </row>
    <row r="103" spans="1:23" s="141" customFormat="1" ht="16.5" customHeight="1" x14ac:dyDescent="0.25">
      <c r="A103" s="169"/>
      <c r="B103" s="151" t="s">
        <v>316</v>
      </c>
      <c r="C103" s="23"/>
      <c r="D103" s="49" t="s">
        <v>524</v>
      </c>
      <c r="E103" s="47" t="s">
        <v>43</v>
      </c>
      <c r="F103" s="146" t="s">
        <v>525</v>
      </c>
      <c r="G103" s="25" t="s">
        <v>525</v>
      </c>
      <c r="H103" s="26"/>
      <c r="I103" s="27"/>
      <c r="J103" s="28"/>
      <c r="K103" s="145" t="s">
        <v>525</v>
      </c>
      <c r="L103" s="30"/>
      <c r="M103" s="40"/>
      <c r="N103" s="32"/>
      <c r="O103" s="24"/>
      <c r="P103" s="33"/>
      <c r="Q103" s="167" t="s">
        <v>526</v>
      </c>
      <c r="R103" s="168" t="s">
        <v>527</v>
      </c>
      <c r="S103" s="52">
        <v>2.17</v>
      </c>
      <c r="T103" s="111"/>
      <c r="U103" s="38"/>
      <c r="V103" s="22"/>
    </row>
    <row r="104" spans="1:23" s="141" customFormat="1" ht="16.5" customHeight="1" x14ac:dyDescent="0.25">
      <c r="A104" s="169"/>
      <c r="B104" s="151" t="s">
        <v>317</v>
      </c>
      <c r="C104" s="23"/>
      <c r="D104" s="49" t="s">
        <v>528</v>
      </c>
      <c r="E104" s="47" t="s">
        <v>43</v>
      </c>
      <c r="F104" s="146" t="s">
        <v>529</v>
      </c>
      <c r="G104" s="181" t="s">
        <v>529</v>
      </c>
      <c r="H104" s="26"/>
      <c r="I104" s="27"/>
      <c r="J104" s="28"/>
      <c r="K104" s="145" t="s">
        <v>529</v>
      </c>
      <c r="L104" s="30"/>
      <c r="M104" s="40"/>
      <c r="N104" s="32"/>
      <c r="O104" s="24"/>
      <c r="P104" s="33"/>
      <c r="Q104" s="167" t="s">
        <v>526</v>
      </c>
      <c r="R104" s="35"/>
      <c r="S104" s="52"/>
      <c r="T104" s="111"/>
      <c r="U104" s="38"/>
      <c r="V104" s="22"/>
    </row>
    <row r="105" spans="1:23" s="141" customFormat="1" ht="16.5" customHeight="1" x14ac:dyDescent="0.25">
      <c r="A105" s="169"/>
      <c r="B105" s="151" t="s">
        <v>318</v>
      </c>
      <c r="C105" s="23"/>
      <c r="D105" s="49"/>
      <c r="E105" s="47"/>
      <c r="F105" s="146"/>
      <c r="G105" s="25"/>
      <c r="H105" s="26"/>
      <c r="I105" s="27"/>
      <c r="J105" s="28"/>
      <c r="K105" s="145"/>
      <c r="L105" s="30"/>
      <c r="M105" s="40"/>
      <c r="N105" s="32"/>
      <c r="O105" s="24"/>
      <c r="P105" s="33"/>
      <c r="Q105" s="34"/>
      <c r="R105" s="35"/>
      <c r="S105" s="52"/>
      <c r="T105" s="111"/>
      <c r="U105" s="38"/>
      <c r="V105" s="22"/>
    </row>
    <row r="106" spans="1:23" s="141" customFormat="1" ht="16.5" customHeight="1" x14ac:dyDescent="0.2">
      <c r="A106" s="169"/>
      <c r="B106" s="151" t="s">
        <v>319</v>
      </c>
      <c r="C106" s="23"/>
      <c r="D106" s="49"/>
      <c r="E106" s="47"/>
      <c r="F106" s="159"/>
      <c r="G106" s="25"/>
      <c r="H106" s="26"/>
      <c r="I106" s="27"/>
      <c r="J106" s="28"/>
      <c r="K106" s="29"/>
      <c r="L106" s="30"/>
      <c r="M106" s="40"/>
      <c r="N106" s="32"/>
      <c r="O106" s="24"/>
      <c r="P106" s="33"/>
      <c r="Q106" s="34"/>
      <c r="R106" s="35"/>
      <c r="S106" s="52"/>
      <c r="T106" s="111"/>
      <c r="U106" s="38"/>
      <c r="V106" s="22"/>
    </row>
    <row r="107" spans="1:23" s="141" customFormat="1" ht="16.5" customHeight="1" x14ac:dyDescent="0.25">
      <c r="A107" s="169"/>
      <c r="B107" s="151" t="s">
        <v>320</v>
      </c>
      <c r="C107" s="23"/>
      <c r="D107" s="49" t="s">
        <v>524</v>
      </c>
      <c r="E107" s="47" t="s">
        <v>43</v>
      </c>
      <c r="F107" s="146" t="s">
        <v>525</v>
      </c>
      <c r="G107" s="25" t="s">
        <v>525</v>
      </c>
      <c r="H107" s="26"/>
      <c r="I107" s="27"/>
      <c r="J107" s="28"/>
      <c r="K107" s="145" t="s">
        <v>525</v>
      </c>
      <c r="L107" s="30"/>
      <c r="M107" s="40"/>
      <c r="N107" s="32"/>
      <c r="O107" s="24"/>
      <c r="P107" s="33"/>
      <c r="Q107" s="167" t="s">
        <v>526</v>
      </c>
      <c r="R107" s="168" t="s">
        <v>527</v>
      </c>
      <c r="S107" s="52">
        <v>2.17</v>
      </c>
      <c r="T107" s="111"/>
      <c r="U107" s="38"/>
      <c r="V107" s="22"/>
    </row>
    <row r="108" spans="1:23" s="141" customFormat="1" ht="16.5" customHeight="1" x14ac:dyDescent="0.25">
      <c r="A108" s="169"/>
      <c r="B108" s="151" t="s">
        <v>321</v>
      </c>
      <c r="C108" s="23"/>
      <c r="D108" s="49" t="s">
        <v>530</v>
      </c>
      <c r="E108" s="47" t="s">
        <v>43</v>
      </c>
      <c r="F108" s="146" t="s">
        <v>531</v>
      </c>
      <c r="G108" s="25" t="s">
        <v>531</v>
      </c>
      <c r="H108" s="26"/>
      <c r="I108" s="27"/>
      <c r="J108" s="28"/>
      <c r="K108" s="145" t="s">
        <v>531</v>
      </c>
      <c r="L108" s="30"/>
      <c r="M108" s="40"/>
      <c r="N108" s="32"/>
      <c r="O108" s="24"/>
      <c r="P108" s="33"/>
      <c r="Q108" s="34"/>
      <c r="R108" s="35"/>
      <c r="S108" s="52"/>
      <c r="T108" s="111"/>
      <c r="U108" s="38"/>
      <c r="V108" s="22"/>
    </row>
    <row r="109" spans="1:23" s="141" customFormat="1" ht="16.5" customHeight="1" x14ac:dyDescent="0.25">
      <c r="A109" s="169"/>
      <c r="B109" s="151" t="s">
        <v>322</v>
      </c>
      <c r="C109" s="23"/>
      <c r="D109" s="49" t="s">
        <v>521</v>
      </c>
      <c r="E109" s="47" t="s">
        <v>43</v>
      </c>
      <c r="F109" s="24" t="s">
        <v>533</v>
      </c>
      <c r="G109" s="25" t="s">
        <v>533</v>
      </c>
      <c r="H109" s="26"/>
      <c r="I109" s="27"/>
      <c r="J109" s="28"/>
      <c r="K109" s="29" t="s">
        <v>533</v>
      </c>
      <c r="L109" s="30"/>
      <c r="M109" s="40"/>
      <c r="N109" s="32"/>
      <c r="O109" s="24"/>
      <c r="P109" s="33"/>
      <c r="Q109" s="34" t="s">
        <v>523</v>
      </c>
      <c r="R109" s="35" t="s">
        <v>522</v>
      </c>
      <c r="S109" s="52"/>
      <c r="T109" s="111"/>
      <c r="U109" s="38"/>
      <c r="V109" s="22"/>
    </row>
    <row r="110" spans="1:23" s="141" customFormat="1" x14ac:dyDescent="0.25">
      <c r="A110" s="169"/>
      <c r="B110" s="151" t="s">
        <v>323</v>
      </c>
      <c r="C110" s="23"/>
      <c r="D110" s="49"/>
      <c r="E110" s="47" t="s">
        <v>193</v>
      </c>
      <c r="F110" s="146"/>
      <c r="G110" s="25"/>
      <c r="H110" s="26"/>
      <c r="I110" s="27"/>
      <c r="J110" s="28"/>
      <c r="K110" s="145"/>
      <c r="L110" s="30"/>
      <c r="M110" s="31"/>
      <c r="N110" s="32"/>
      <c r="O110" s="24"/>
      <c r="P110" s="33"/>
      <c r="Q110" s="34"/>
      <c r="R110" s="35"/>
      <c r="S110" s="52"/>
      <c r="T110" s="111"/>
      <c r="U110" s="38"/>
      <c r="V110" s="22"/>
    </row>
    <row r="111" spans="1:23" s="141" customFormat="1" x14ac:dyDescent="0.25">
      <c r="A111" s="169"/>
      <c r="B111" s="151" t="s">
        <v>313</v>
      </c>
      <c r="C111" s="23"/>
      <c r="D111" s="49" t="s">
        <v>530</v>
      </c>
      <c r="E111" s="47" t="s">
        <v>43</v>
      </c>
      <c r="F111" s="146" t="s">
        <v>534</v>
      </c>
      <c r="G111" s="25" t="s">
        <v>534</v>
      </c>
      <c r="H111" s="26"/>
      <c r="I111" s="27"/>
      <c r="J111" s="28"/>
      <c r="K111" s="29" t="s">
        <v>534</v>
      </c>
      <c r="L111" s="30"/>
      <c r="M111" s="40"/>
      <c r="N111" s="32"/>
      <c r="O111" s="24"/>
      <c r="P111" s="33"/>
      <c r="Q111" s="34"/>
      <c r="R111" s="35"/>
      <c r="S111" s="52"/>
      <c r="T111" s="111"/>
      <c r="U111" s="38"/>
      <c r="V111" s="22"/>
    </row>
    <row r="112" spans="1:23" s="141" customFormat="1" ht="15.75" customHeight="1" x14ac:dyDescent="0.25">
      <c r="A112" s="169"/>
      <c r="B112" s="151" t="s">
        <v>324</v>
      </c>
      <c r="C112" s="23"/>
      <c r="D112" s="49" t="s">
        <v>530</v>
      </c>
      <c r="E112" s="47" t="s">
        <v>43</v>
      </c>
      <c r="F112" s="146" t="s">
        <v>534</v>
      </c>
      <c r="G112" s="25" t="s">
        <v>534</v>
      </c>
      <c r="H112" s="26"/>
      <c r="I112" s="27"/>
      <c r="J112" s="28"/>
      <c r="K112" s="145" t="s">
        <v>534</v>
      </c>
      <c r="L112" s="30"/>
      <c r="M112" s="40"/>
      <c r="N112" s="32"/>
      <c r="O112" s="24"/>
      <c r="P112" s="33"/>
      <c r="Q112" s="34"/>
      <c r="R112" s="35"/>
      <c r="S112" s="52"/>
      <c r="T112" s="111"/>
      <c r="U112" s="38"/>
      <c r="V112" s="22"/>
    </row>
    <row r="113" spans="1:22" s="141" customFormat="1" ht="15.75" customHeight="1" x14ac:dyDescent="0.25">
      <c r="A113" s="169"/>
      <c r="B113" s="151" t="s">
        <v>325</v>
      </c>
      <c r="C113" s="23"/>
      <c r="D113" s="49" t="s">
        <v>521</v>
      </c>
      <c r="E113" s="47" t="s">
        <v>43</v>
      </c>
      <c r="F113" s="24" t="s">
        <v>520</v>
      </c>
      <c r="G113" s="25" t="s">
        <v>520</v>
      </c>
      <c r="H113" s="26"/>
      <c r="I113" s="27"/>
      <c r="J113" s="28"/>
      <c r="K113" s="29" t="s">
        <v>520</v>
      </c>
      <c r="L113" s="30"/>
      <c r="M113" s="31"/>
      <c r="N113" s="32"/>
      <c r="O113" s="24"/>
      <c r="P113" s="33"/>
      <c r="Q113" s="34" t="s">
        <v>523</v>
      </c>
      <c r="R113" s="35" t="s">
        <v>522</v>
      </c>
      <c r="S113" s="52">
        <v>1.25</v>
      </c>
      <c r="T113" s="111"/>
      <c r="U113" s="38"/>
      <c r="V113" s="22"/>
    </row>
    <row r="114" spans="1:22" s="141" customFormat="1" ht="15.75" customHeight="1" x14ac:dyDescent="0.25">
      <c r="A114" s="169"/>
      <c r="B114" s="151" t="s">
        <v>326</v>
      </c>
      <c r="C114" s="23"/>
      <c r="D114" s="49" t="s">
        <v>521</v>
      </c>
      <c r="E114" s="47" t="s">
        <v>43</v>
      </c>
      <c r="F114" s="24" t="s">
        <v>520</v>
      </c>
      <c r="G114" s="25" t="s">
        <v>520</v>
      </c>
      <c r="H114" s="26"/>
      <c r="I114" s="27"/>
      <c r="J114" s="28"/>
      <c r="K114" s="29" t="s">
        <v>520</v>
      </c>
      <c r="L114" s="30"/>
      <c r="M114" s="31"/>
      <c r="N114" s="32"/>
      <c r="O114" s="24"/>
      <c r="P114" s="33"/>
      <c r="Q114" s="34" t="s">
        <v>523</v>
      </c>
      <c r="R114" s="35" t="s">
        <v>522</v>
      </c>
      <c r="S114" s="52">
        <v>1.25</v>
      </c>
      <c r="T114" s="111"/>
      <c r="U114" s="38"/>
      <c r="V114" s="22"/>
    </row>
    <row r="115" spans="1:22" s="141" customFormat="1" ht="14.25" customHeight="1" x14ac:dyDescent="0.25">
      <c r="A115" s="169"/>
      <c r="B115" s="151" t="s">
        <v>327</v>
      </c>
      <c r="C115" s="23"/>
      <c r="D115" s="49" t="s">
        <v>521</v>
      </c>
      <c r="E115" s="47" t="s">
        <v>43</v>
      </c>
      <c r="F115" s="24" t="s">
        <v>533</v>
      </c>
      <c r="G115" s="25" t="s">
        <v>533</v>
      </c>
      <c r="H115" s="26"/>
      <c r="I115" s="27"/>
      <c r="J115" s="28"/>
      <c r="K115" s="29" t="s">
        <v>533</v>
      </c>
      <c r="L115" s="30"/>
      <c r="M115" s="40"/>
      <c r="N115" s="32"/>
      <c r="O115" s="24"/>
      <c r="P115" s="33"/>
      <c r="Q115" s="34" t="s">
        <v>523</v>
      </c>
      <c r="R115" s="35" t="s">
        <v>522</v>
      </c>
      <c r="S115" s="52"/>
      <c r="T115" s="111"/>
      <c r="U115" s="38"/>
      <c r="V115" s="22"/>
    </row>
    <row r="116" spans="1:22" s="141" customFormat="1" x14ac:dyDescent="0.25">
      <c r="A116" s="169"/>
      <c r="B116" s="151" t="s">
        <v>328</v>
      </c>
      <c r="C116" s="23"/>
      <c r="D116" s="49"/>
      <c r="E116" s="47" t="s">
        <v>193</v>
      </c>
      <c r="F116" s="24"/>
      <c r="G116" s="25"/>
      <c r="H116" s="26"/>
      <c r="I116" s="27"/>
      <c r="J116" s="28"/>
      <c r="K116" s="29"/>
      <c r="L116" s="30"/>
      <c r="M116" s="40"/>
      <c r="N116" s="32"/>
      <c r="O116" s="24"/>
      <c r="P116" s="33"/>
      <c r="Q116" s="34"/>
      <c r="R116" s="35"/>
      <c r="S116" s="52"/>
      <c r="T116" s="111"/>
      <c r="U116" s="38"/>
      <c r="V116" s="22"/>
    </row>
    <row r="117" spans="1:22" s="141" customFormat="1" ht="19.5" customHeight="1" x14ac:dyDescent="0.25">
      <c r="A117" s="169"/>
      <c r="B117" s="151" t="s">
        <v>329</v>
      </c>
      <c r="C117" s="23"/>
      <c r="D117" s="49" t="s">
        <v>530</v>
      </c>
      <c r="E117" s="47" t="s">
        <v>43</v>
      </c>
      <c r="F117" s="146" t="s">
        <v>532</v>
      </c>
      <c r="G117" s="25" t="s">
        <v>532</v>
      </c>
      <c r="H117" s="26"/>
      <c r="I117" s="27"/>
      <c r="J117" s="28"/>
      <c r="K117" s="29" t="s">
        <v>532</v>
      </c>
      <c r="L117" s="30"/>
      <c r="M117" s="31"/>
      <c r="N117" s="32"/>
      <c r="O117" s="24"/>
      <c r="P117" s="33"/>
      <c r="Q117" s="167" t="s">
        <v>526</v>
      </c>
      <c r="R117" s="35"/>
      <c r="S117" s="52"/>
      <c r="T117" s="111"/>
      <c r="U117" s="38"/>
      <c r="V117" s="22"/>
    </row>
    <row r="118" spans="1:22" s="141" customFormat="1" x14ac:dyDescent="0.25">
      <c r="A118" s="169"/>
      <c r="B118" s="151" t="s">
        <v>330</v>
      </c>
      <c r="C118" s="23"/>
      <c r="D118" s="49"/>
      <c r="E118" s="47" t="s">
        <v>193</v>
      </c>
      <c r="F118" s="24"/>
      <c r="G118" s="25"/>
      <c r="H118" s="26"/>
      <c r="I118" s="27"/>
      <c r="J118" s="28"/>
      <c r="K118" s="29"/>
      <c r="L118" s="30"/>
      <c r="M118" s="31"/>
      <c r="N118" s="32"/>
      <c r="O118" s="24"/>
      <c r="P118" s="33"/>
      <c r="Q118" s="34"/>
      <c r="R118" s="35"/>
      <c r="S118" s="52"/>
      <c r="T118" s="111"/>
      <c r="U118" s="38"/>
      <c r="V118" s="22"/>
    </row>
    <row r="119" spans="1:22" s="141" customFormat="1" x14ac:dyDescent="0.2">
      <c r="A119" s="169"/>
      <c r="B119" s="151" t="s">
        <v>331</v>
      </c>
      <c r="C119" s="23"/>
      <c r="D119" s="49"/>
      <c r="E119" s="47" t="s">
        <v>193</v>
      </c>
      <c r="F119" s="159"/>
      <c r="G119" s="25"/>
      <c r="H119" s="26"/>
      <c r="I119" s="27"/>
      <c r="J119" s="28"/>
      <c r="K119" s="29"/>
      <c r="L119" s="30"/>
      <c r="M119" s="31"/>
      <c r="N119" s="32"/>
      <c r="O119" s="24"/>
      <c r="P119" s="33"/>
      <c r="Q119" s="34"/>
      <c r="R119" s="35"/>
      <c r="S119" s="52"/>
      <c r="T119" s="111"/>
      <c r="U119" s="38"/>
      <c r="V119" s="22"/>
    </row>
    <row r="120" spans="1:22" s="141" customFormat="1" ht="15" customHeight="1" x14ac:dyDescent="0.25">
      <c r="A120" s="169"/>
      <c r="B120" s="151" t="s">
        <v>332</v>
      </c>
      <c r="C120" s="23"/>
      <c r="D120" s="49"/>
      <c r="E120" s="47" t="s">
        <v>193</v>
      </c>
      <c r="F120" s="24"/>
      <c r="G120" s="25"/>
      <c r="H120" s="26"/>
      <c r="I120" s="27"/>
      <c r="J120" s="28"/>
      <c r="K120" s="29"/>
      <c r="L120" s="30"/>
      <c r="M120" s="31"/>
      <c r="N120" s="32"/>
      <c r="O120" s="24"/>
      <c r="P120" s="33"/>
      <c r="Q120" s="34"/>
      <c r="R120" s="35"/>
      <c r="S120" s="52"/>
      <c r="T120" s="111"/>
      <c r="U120" s="38"/>
      <c r="V120" s="22"/>
    </row>
    <row r="121" spans="1:22" s="141" customFormat="1" ht="15" customHeight="1" x14ac:dyDescent="0.2">
      <c r="A121" s="169"/>
      <c r="B121" s="151" t="s">
        <v>333</v>
      </c>
      <c r="C121" s="78"/>
      <c r="D121" s="49"/>
      <c r="E121" s="47" t="s">
        <v>193</v>
      </c>
      <c r="F121" s="158"/>
      <c r="G121" s="25"/>
      <c r="H121" s="26"/>
      <c r="I121" s="27"/>
      <c r="J121" s="28"/>
      <c r="K121" s="79"/>
      <c r="L121" s="30"/>
      <c r="M121" s="40"/>
      <c r="N121" s="32"/>
      <c r="O121" s="24"/>
      <c r="P121" s="33"/>
      <c r="Q121" s="34"/>
      <c r="R121" s="35"/>
      <c r="S121" s="52"/>
      <c r="T121" s="111"/>
      <c r="U121" s="38"/>
      <c r="V121" s="22"/>
    </row>
    <row r="122" spans="1:22" s="141" customFormat="1" ht="15" customHeight="1" x14ac:dyDescent="0.25">
      <c r="A122" s="169"/>
      <c r="B122" s="151" t="s">
        <v>334</v>
      </c>
      <c r="C122" s="23"/>
      <c r="D122" s="49"/>
      <c r="E122" s="47" t="s">
        <v>193</v>
      </c>
      <c r="F122" s="24"/>
      <c r="G122" s="41"/>
      <c r="H122" s="26"/>
      <c r="I122" s="27"/>
      <c r="J122" s="28"/>
      <c r="K122" s="29"/>
      <c r="L122" s="30"/>
      <c r="M122" s="40"/>
      <c r="N122" s="32"/>
      <c r="O122" s="24"/>
      <c r="P122" s="33"/>
      <c r="Q122" s="34"/>
      <c r="R122" s="35"/>
      <c r="S122" s="52"/>
      <c r="T122" s="111"/>
      <c r="U122" s="38"/>
      <c r="V122" s="22"/>
    </row>
    <row r="123" spans="1:22" s="141" customFormat="1" x14ac:dyDescent="0.25">
      <c r="A123" s="169"/>
      <c r="B123" s="151" t="s">
        <v>335</v>
      </c>
      <c r="C123" s="23"/>
      <c r="D123" s="49"/>
      <c r="E123" s="47" t="s">
        <v>193</v>
      </c>
      <c r="F123" s="24"/>
      <c r="G123" s="25"/>
      <c r="H123" s="26"/>
      <c r="I123" s="27"/>
      <c r="J123" s="28"/>
      <c r="K123" s="29"/>
      <c r="L123" s="30"/>
      <c r="M123" s="31"/>
      <c r="N123" s="32"/>
      <c r="O123" s="24"/>
      <c r="P123" s="33"/>
      <c r="Q123" s="34"/>
      <c r="R123" s="35"/>
      <c r="S123" s="52"/>
      <c r="T123" s="111"/>
      <c r="U123" s="38"/>
      <c r="V123" s="22"/>
    </row>
    <row r="124" spans="1:22" s="141" customFormat="1" x14ac:dyDescent="0.25">
      <c r="A124" s="169"/>
      <c r="B124" s="151" t="s">
        <v>336</v>
      </c>
      <c r="C124" s="23"/>
      <c r="D124" s="49"/>
      <c r="E124" s="47" t="s">
        <v>193</v>
      </c>
      <c r="F124" s="24"/>
      <c r="G124" s="25"/>
      <c r="H124" s="26"/>
      <c r="I124" s="27"/>
      <c r="J124" s="28"/>
      <c r="K124" s="29"/>
      <c r="L124" s="30"/>
      <c r="M124" s="31"/>
      <c r="N124" s="32"/>
      <c r="O124" s="24"/>
      <c r="P124" s="33"/>
      <c r="Q124" s="34"/>
      <c r="R124" s="35"/>
      <c r="S124" s="52"/>
      <c r="T124" s="111"/>
      <c r="U124" s="38"/>
      <c r="V124" s="22"/>
    </row>
    <row r="125" spans="1:22" s="141" customFormat="1" ht="15" customHeight="1" x14ac:dyDescent="0.25">
      <c r="A125" s="169"/>
      <c r="B125" s="151" t="s">
        <v>337</v>
      </c>
      <c r="C125" s="23"/>
      <c r="D125" s="142"/>
      <c r="E125" s="47" t="s">
        <v>193</v>
      </c>
      <c r="F125" s="24"/>
      <c r="G125" s="25"/>
      <c r="H125" s="26"/>
      <c r="I125" s="27"/>
      <c r="J125" s="28"/>
      <c r="K125" s="29"/>
      <c r="L125" s="30"/>
      <c r="M125" s="31"/>
      <c r="N125" s="32"/>
      <c r="O125" s="24"/>
      <c r="P125" s="33"/>
      <c r="Q125" s="34"/>
      <c r="R125" s="35"/>
      <c r="S125" s="36"/>
      <c r="T125" s="111"/>
      <c r="U125" s="38"/>
      <c r="V125" s="22"/>
    </row>
    <row r="126" spans="1:22" s="141" customFormat="1" ht="15" customHeight="1" x14ac:dyDescent="0.25">
      <c r="A126" s="169"/>
      <c r="B126" s="151" t="s">
        <v>338</v>
      </c>
      <c r="C126" s="23"/>
      <c r="D126" s="142"/>
      <c r="E126" s="47" t="s">
        <v>193</v>
      </c>
      <c r="F126" s="24"/>
      <c r="G126" s="25"/>
      <c r="H126" s="26"/>
      <c r="I126" s="27"/>
      <c r="J126" s="28"/>
      <c r="K126" s="29"/>
      <c r="L126" s="30"/>
      <c r="M126" s="31"/>
      <c r="N126" s="32"/>
      <c r="O126" s="24"/>
      <c r="P126" s="33"/>
      <c r="Q126" s="34"/>
      <c r="R126" s="35"/>
      <c r="S126" s="36"/>
      <c r="T126" s="111"/>
      <c r="U126" s="38"/>
      <c r="V126" s="22"/>
    </row>
    <row r="127" spans="1:22" s="141" customFormat="1" x14ac:dyDescent="0.25">
      <c r="A127" s="169"/>
      <c r="B127" s="148" t="s">
        <v>339</v>
      </c>
      <c r="C127" s="23"/>
      <c r="D127" s="49"/>
      <c r="E127" s="47"/>
      <c r="F127" s="24" t="s">
        <v>535</v>
      </c>
      <c r="G127" s="25" t="s">
        <v>535</v>
      </c>
      <c r="H127" s="26"/>
      <c r="I127" s="27"/>
      <c r="J127" s="28"/>
      <c r="K127" s="29" t="s">
        <v>536</v>
      </c>
      <c r="L127" s="30" t="s">
        <v>539</v>
      </c>
      <c r="M127" s="31"/>
      <c r="N127" s="32" t="s">
        <v>538</v>
      </c>
      <c r="O127" s="24"/>
      <c r="P127" s="33"/>
      <c r="Q127" s="34" t="s">
        <v>178</v>
      </c>
      <c r="R127" s="35" t="s">
        <v>537</v>
      </c>
      <c r="S127" s="52">
        <v>0.75900000000000001</v>
      </c>
      <c r="T127" s="111"/>
      <c r="U127" s="38"/>
      <c r="V127" s="22"/>
    </row>
    <row r="128" spans="1:22" s="141" customFormat="1" x14ac:dyDescent="0.25">
      <c r="A128" s="169"/>
      <c r="B128" s="148" t="s">
        <v>340</v>
      </c>
      <c r="C128" s="23"/>
      <c r="D128" s="142"/>
      <c r="E128" s="153"/>
      <c r="F128" s="24" t="s">
        <v>535</v>
      </c>
      <c r="G128" s="25" t="s">
        <v>535</v>
      </c>
      <c r="H128" s="26"/>
      <c r="I128" s="27"/>
      <c r="J128" s="28"/>
      <c r="K128" s="29" t="s">
        <v>536</v>
      </c>
      <c r="L128" s="30" t="s">
        <v>542</v>
      </c>
      <c r="M128" s="31"/>
      <c r="N128" s="32" t="s">
        <v>538</v>
      </c>
      <c r="O128" s="24"/>
      <c r="P128" s="33"/>
      <c r="Q128" s="34" t="s">
        <v>178</v>
      </c>
      <c r="R128" s="35" t="s">
        <v>537</v>
      </c>
      <c r="S128" s="52">
        <v>0.75900000000000001</v>
      </c>
      <c r="T128" s="111"/>
      <c r="U128" s="38"/>
      <c r="V128" s="22"/>
    </row>
    <row r="129" spans="1:22" s="141" customFormat="1" x14ac:dyDescent="0.25">
      <c r="A129" s="169"/>
      <c r="B129" s="148" t="s">
        <v>341</v>
      </c>
      <c r="C129" s="23"/>
      <c r="D129" s="142"/>
      <c r="E129" s="47"/>
      <c r="F129" s="24" t="s">
        <v>540</v>
      </c>
      <c r="G129" s="25" t="s">
        <v>540</v>
      </c>
      <c r="H129" s="26"/>
      <c r="I129" s="27"/>
      <c r="J129" s="28"/>
      <c r="K129" s="29" t="s">
        <v>541</v>
      </c>
      <c r="L129" s="30"/>
      <c r="M129" s="31"/>
      <c r="N129" s="32"/>
      <c r="O129" s="24"/>
      <c r="P129" s="33"/>
      <c r="Q129" s="34"/>
      <c r="R129" s="35"/>
      <c r="S129" s="36"/>
      <c r="T129" s="111"/>
      <c r="U129" s="38"/>
      <c r="V129" s="22"/>
    </row>
    <row r="130" spans="1:22" s="141" customFormat="1" x14ac:dyDescent="0.25">
      <c r="A130" s="169"/>
      <c r="B130" s="148" t="s">
        <v>342</v>
      </c>
      <c r="C130" s="23"/>
      <c r="D130" s="49" t="s">
        <v>478</v>
      </c>
      <c r="E130" s="47" t="s">
        <v>43</v>
      </c>
      <c r="F130" s="24" t="s">
        <v>180</v>
      </c>
      <c r="G130" s="25" t="s">
        <v>180</v>
      </c>
      <c r="H130" s="26"/>
      <c r="I130" s="27"/>
      <c r="J130" s="28"/>
      <c r="K130" s="29" t="s">
        <v>179</v>
      </c>
      <c r="L130" s="30"/>
      <c r="M130" s="31"/>
      <c r="N130" s="32" t="s">
        <v>479</v>
      </c>
      <c r="O130" s="24"/>
      <c r="P130" s="33"/>
      <c r="Q130" s="34" t="s">
        <v>178</v>
      </c>
      <c r="R130" s="35" t="s">
        <v>181</v>
      </c>
      <c r="S130" s="36"/>
      <c r="T130" s="111"/>
      <c r="U130" s="38"/>
      <c r="V130" s="22"/>
    </row>
    <row r="131" spans="1:22" s="141" customFormat="1" x14ac:dyDescent="0.25">
      <c r="A131" s="169"/>
      <c r="B131" s="148" t="s">
        <v>343</v>
      </c>
      <c r="C131" s="23"/>
      <c r="D131" s="142" t="s">
        <v>473</v>
      </c>
      <c r="E131" s="47" t="s">
        <v>43</v>
      </c>
      <c r="F131" s="24" t="s">
        <v>475</v>
      </c>
      <c r="G131" s="25"/>
      <c r="H131" s="26"/>
      <c r="I131" s="27"/>
      <c r="J131" s="28"/>
      <c r="K131" s="29" t="s">
        <v>475</v>
      </c>
      <c r="L131" s="30" t="s">
        <v>474</v>
      </c>
      <c r="M131" s="31"/>
      <c r="N131" s="32" t="s">
        <v>476</v>
      </c>
      <c r="O131" s="24"/>
      <c r="P131" s="33"/>
      <c r="Q131" s="34" t="s">
        <v>477</v>
      </c>
      <c r="R131" s="35"/>
      <c r="S131" s="36"/>
      <c r="T131" s="111"/>
      <c r="U131" s="38"/>
      <c r="V131" s="22"/>
    </row>
    <row r="132" spans="1:22" s="141" customFormat="1" x14ac:dyDescent="0.25">
      <c r="A132" s="169"/>
      <c r="B132" s="148" t="s">
        <v>344</v>
      </c>
      <c r="C132" s="23"/>
      <c r="D132" s="142" t="s">
        <v>473</v>
      </c>
      <c r="E132" s="47" t="s">
        <v>43</v>
      </c>
      <c r="F132" s="24" t="s">
        <v>475</v>
      </c>
      <c r="G132" s="25"/>
      <c r="H132" s="26"/>
      <c r="I132" s="27"/>
      <c r="J132" s="28"/>
      <c r="K132" s="29" t="s">
        <v>475</v>
      </c>
      <c r="L132" s="30" t="s">
        <v>474</v>
      </c>
      <c r="M132" s="31"/>
      <c r="N132" s="32" t="s">
        <v>476</v>
      </c>
      <c r="O132" s="24"/>
      <c r="P132" s="33"/>
      <c r="Q132" s="34" t="s">
        <v>477</v>
      </c>
      <c r="R132" s="35"/>
      <c r="S132" s="36"/>
      <c r="T132" s="111"/>
      <c r="U132" s="38"/>
      <c r="V132" s="22"/>
    </row>
    <row r="133" spans="1:22" s="141" customFormat="1" x14ac:dyDescent="0.25">
      <c r="A133" s="169"/>
      <c r="B133" s="148" t="s">
        <v>345</v>
      </c>
      <c r="C133" s="23"/>
      <c r="D133" s="142" t="s">
        <v>473</v>
      </c>
      <c r="E133" s="47" t="s">
        <v>43</v>
      </c>
      <c r="F133" s="24" t="s">
        <v>475</v>
      </c>
      <c r="G133" s="25"/>
      <c r="H133" s="26"/>
      <c r="I133" s="27"/>
      <c r="J133" s="28"/>
      <c r="K133" s="29" t="s">
        <v>475</v>
      </c>
      <c r="L133" s="30" t="s">
        <v>474</v>
      </c>
      <c r="M133" s="31"/>
      <c r="N133" s="32" t="s">
        <v>476</v>
      </c>
      <c r="O133" s="24"/>
      <c r="P133" s="33"/>
      <c r="Q133" s="34" t="s">
        <v>477</v>
      </c>
      <c r="R133" s="35"/>
      <c r="S133" s="36"/>
      <c r="T133" s="111"/>
      <c r="U133" s="38"/>
      <c r="V133" s="22"/>
    </row>
    <row r="134" spans="1:22" s="141" customFormat="1" x14ac:dyDescent="0.25">
      <c r="A134" s="169"/>
      <c r="B134" s="148" t="s">
        <v>346</v>
      </c>
      <c r="C134" s="23"/>
      <c r="D134" s="142"/>
      <c r="E134" s="47"/>
      <c r="F134" s="24" t="s">
        <v>543</v>
      </c>
      <c r="G134" s="25" t="s">
        <v>543</v>
      </c>
      <c r="H134" s="26"/>
      <c r="I134" s="27"/>
      <c r="J134" s="28"/>
      <c r="K134" s="29" t="s">
        <v>543</v>
      </c>
      <c r="L134" s="30"/>
      <c r="M134" s="31"/>
      <c r="N134" s="32"/>
      <c r="O134" s="24"/>
      <c r="P134" s="33"/>
      <c r="Q134" s="34"/>
      <c r="R134" s="35"/>
      <c r="S134" s="36"/>
      <c r="T134" s="111"/>
      <c r="U134" s="38"/>
      <c r="V134" s="22"/>
    </row>
    <row r="135" spans="1:22" s="141" customFormat="1" x14ac:dyDescent="0.25">
      <c r="A135" s="169"/>
      <c r="B135" s="148" t="s">
        <v>347</v>
      </c>
      <c r="C135" s="23"/>
      <c r="D135" s="142"/>
      <c r="E135" s="47"/>
      <c r="F135" s="24" t="s">
        <v>543</v>
      </c>
      <c r="G135" s="25" t="s">
        <v>543</v>
      </c>
      <c r="H135" s="26"/>
      <c r="I135" s="27"/>
      <c r="J135" s="28"/>
      <c r="K135" s="29" t="s">
        <v>543</v>
      </c>
      <c r="L135" s="30"/>
      <c r="M135" s="31"/>
      <c r="N135" s="32"/>
      <c r="O135" s="24"/>
      <c r="P135" s="33"/>
      <c r="Q135" s="34"/>
      <c r="R135" s="35"/>
      <c r="S135" s="36"/>
      <c r="T135" s="111"/>
      <c r="U135" s="38"/>
      <c r="V135" s="22"/>
    </row>
    <row r="136" spans="1:22" s="141" customFormat="1" x14ac:dyDescent="0.25">
      <c r="A136" s="169"/>
      <c r="B136" s="148" t="s">
        <v>348</v>
      </c>
      <c r="C136" s="23"/>
      <c r="D136" s="142"/>
      <c r="E136" s="47"/>
      <c r="F136" s="24" t="s">
        <v>543</v>
      </c>
      <c r="G136" s="25" t="s">
        <v>543</v>
      </c>
      <c r="H136" s="26"/>
      <c r="I136" s="27"/>
      <c r="J136" s="28"/>
      <c r="K136" s="29" t="s">
        <v>543</v>
      </c>
      <c r="L136" s="30"/>
      <c r="M136" s="31"/>
      <c r="N136" s="32"/>
      <c r="O136" s="24"/>
      <c r="P136" s="33"/>
      <c r="Q136" s="34"/>
      <c r="R136" s="35"/>
      <c r="S136" s="36"/>
      <c r="T136" s="111"/>
      <c r="U136" s="38"/>
      <c r="V136" s="22"/>
    </row>
    <row r="137" spans="1:22" s="141" customFormat="1" x14ac:dyDescent="0.25">
      <c r="A137" s="169"/>
      <c r="B137" s="148" t="s">
        <v>349</v>
      </c>
      <c r="C137" s="23"/>
      <c r="D137" s="142"/>
      <c r="E137" s="47"/>
      <c r="F137" s="24" t="s">
        <v>543</v>
      </c>
      <c r="G137" s="25" t="s">
        <v>543</v>
      </c>
      <c r="H137" s="26"/>
      <c r="I137" s="27"/>
      <c r="J137" s="28"/>
      <c r="K137" s="29" t="s">
        <v>543</v>
      </c>
      <c r="L137" s="30"/>
      <c r="M137" s="31"/>
      <c r="N137" s="32"/>
      <c r="O137" s="24"/>
      <c r="P137" s="33"/>
      <c r="Q137" s="34"/>
      <c r="R137" s="35"/>
      <c r="S137" s="36"/>
      <c r="T137" s="111"/>
      <c r="U137" s="38"/>
      <c r="V137" s="22"/>
    </row>
    <row r="138" spans="1:22" s="141" customFormat="1" x14ac:dyDescent="0.25">
      <c r="A138" s="169"/>
      <c r="B138" s="148" t="s">
        <v>350</v>
      </c>
      <c r="C138" s="23"/>
      <c r="D138" s="142"/>
      <c r="E138" s="47"/>
      <c r="F138" s="24" t="s">
        <v>543</v>
      </c>
      <c r="G138" s="25" t="s">
        <v>543</v>
      </c>
      <c r="H138" s="26"/>
      <c r="I138" s="27"/>
      <c r="J138" s="28"/>
      <c r="K138" s="29" t="s">
        <v>543</v>
      </c>
      <c r="L138" s="30"/>
      <c r="M138" s="31"/>
      <c r="N138" s="32"/>
      <c r="O138" s="24"/>
      <c r="P138" s="33"/>
      <c r="Q138" s="34"/>
      <c r="R138" s="35"/>
      <c r="S138" s="36"/>
      <c r="T138" s="111"/>
      <c r="U138" s="38"/>
      <c r="V138" s="22"/>
    </row>
    <row r="139" spans="1:22" s="141" customFormat="1" x14ac:dyDescent="0.25">
      <c r="A139" s="169"/>
      <c r="B139" s="148" t="s">
        <v>351</v>
      </c>
      <c r="C139" s="23"/>
      <c r="D139" s="142"/>
      <c r="E139" s="47"/>
      <c r="F139" s="24" t="s">
        <v>544</v>
      </c>
      <c r="G139" s="25" t="s">
        <v>544</v>
      </c>
      <c r="H139" s="26"/>
      <c r="I139" s="27"/>
      <c r="J139" s="28"/>
      <c r="K139" s="29" t="s">
        <v>544</v>
      </c>
      <c r="L139" s="30"/>
      <c r="M139" s="31"/>
      <c r="N139" s="32"/>
      <c r="O139" s="24"/>
      <c r="P139" s="33"/>
      <c r="Q139" s="34"/>
      <c r="R139" s="35"/>
      <c r="S139" s="36"/>
      <c r="T139" s="111"/>
      <c r="U139" s="38"/>
      <c r="V139" s="22"/>
    </row>
    <row r="140" spans="1:22" s="141" customFormat="1" x14ac:dyDescent="0.25">
      <c r="A140" s="169"/>
      <c r="B140" s="148" t="s">
        <v>352</v>
      </c>
      <c r="C140" s="23"/>
      <c r="D140" s="142"/>
      <c r="E140" s="47"/>
      <c r="F140" s="24" t="s">
        <v>544</v>
      </c>
      <c r="G140" s="25" t="s">
        <v>544</v>
      </c>
      <c r="H140" s="26"/>
      <c r="I140" s="27"/>
      <c r="J140" s="28"/>
      <c r="K140" s="29" t="s">
        <v>544</v>
      </c>
      <c r="L140" s="30"/>
      <c r="M140" s="31"/>
      <c r="N140" s="32"/>
      <c r="O140" s="24"/>
      <c r="P140" s="33"/>
      <c r="Q140" s="34"/>
      <c r="R140" s="35"/>
      <c r="S140" s="36"/>
      <c r="T140" s="111"/>
      <c r="U140" s="38"/>
      <c r="V140" s="22"/>
    </row>
    <row r="141" spans="1:22" s="141" customFormat="1" x14ac:dyDescent="0.25">
      <c r="A141" s="169"/>
      <c r="B141" s="148" t="s">
        <v>353</v>
      </c>
      <c r="C141" s="23"/>
      <c r="D141" s="142"/>
      <c r="E141" s="47"/>
      <c r="F141" s="24" t="s">
        <v>544</v>
      </c>
      <c r="G141" s="25" t="s">
        <v>544</v>
      </c>
      <c r="H141" s="26"/>
      <c r="I141" s="27"/>
      <c r="J141" s="28"/>
      <c r="K141" s="29" t="s">
        <v>544</v>
      </c>
      <c r="L141" s="30"/>
      <c r="M141" s="31"/>
      <c r="N141" s="32"/>
      <c r="O141" s="24"/>
      <c r="P141" s="33"/>
      <c r="Q141" s="34"/>
      <c r="R141" s="35"/>
      <c r="S141" s="36"/>
      <c r="T141" s="111"/>
      <c r="U141" s="38"/>
      <c r="V141" s="22"/>
    </row>
    <row r="142" spans="1:22" s="141" customFormat="1" x14ac:dyDescent="0.25">
      <c r="A142" s="169"/>
      <c r="B142" s="148" t="s">
        <v>354</v>
      </c>
      <c r="C142" s="23"/>
      <c r="D142" s="142"/>
      <c r="E142" s="47"/>
      <c r="F142" s="24" t="s">
        <v>544</v>
      </c>
      <c r="G142" s="25" t="s">
        <v>544</v>
      </c>
      <c r="H142" s="26"/>
      <c r="I142" s="27"/>
      <c r="J142" s="28"/>
      <c r="K142" s="29" t="s">
        <v>544</v>
      </c>
      <c r="L142" s="30"/>
      <c r="M142" s="31"/>
      <c r="N142" s="32"/>
      <c r="O142" s="24"/>
      <c r="P142" s="33"/>
      <c r="Q142" s="34"/>
      <c r="R142" s="35"/>
      <c r="S142" s="36"/>
      <c r="T142" s="111"/>
      <c r="U142" s="38"/>
      <c r="V142" s="22"/>
    </row>
    <row r="143" spans="1:22" s="141" customFormat="1" x14ac:dyDescent="0.25">
      <c r="A143" s="169"/>
      <c r="B143" s="148" t="s">
        <v>355</v>
      </c>
      <c r="C143" s="23"/>
      <c r="D143" s="142"/>
      <c r="E143" s="47"/>
      <c r="F143" s="24" t="s">
        <v>544</v>
      </c>
      <c r="G143" s="25" t="s">
        <v>544</v>
      </c>
      <c r="H143" s="26"/>
      <c r="I143" s="27"/>
      <c r="J143" s="28"/>
      <c r="K143" s="29" t="s">
        <v>544</v>
      </c>
      <c r="L143" s="30"/>
      <c r="M143" s="31"/>
      <c r="N143" s="32"/>
      <c r="O143" s="24"/>
      <c r="P143" s="33"/>
      <c r="Q143" s="34"/>
      <c r="R143" s="35"/>
      <c r="S143" s="36"/>
      <c r="T143" s="111"/>
      <c r="U143" s="38"/>
      <c r="V143" s="22"/>
    </row>
    <row r="144" spans="1:22" s="141" customFormat="1" x14ac:dyDescent="0.25">
      <c r="A144" s="169"/>
      <c r="B144" s="148" t="s">
        <v>356</v>
      </c>
      <c r="C144" s="23"/>
      <c r="D144" s="49" t="s">
        <v>428</v>
      </c>
      <c r="E144" s="47" t="s">
        <v>43</v>
      </c>
      <c r="F144" s="24" t="s">
        <v>427</v>
      </c>
      <c r="G144" s="25" t="s">
        <v>427</v>
      </c>
      <c r="H144" s="26"/>
      <c r="I144" s="27">
        <v>1</v>
      </c>
      <c r="J144" s="28" t="s">
        <v>429</v>
      </c>
      <c r="K144" s="29" t="s">
        <v>430</v>
      </c>
      <c r="L144" s="30" t="s">
        <v>432</v>
      </c>
      <c r="M144" s="40">
        <v>0.05</v>
      </c>
      <c r="N144" s="32"/>
      <c r="O144" s="24" t="s">
        <v>431</v>
      </c>
      <c r="P144" s="33"/>
      <c r="Q144" s="34" t="s">
        <v>433</v>
      </c>
      <c r="R144" s="35" t="s">
        <v>427</v>
      </c>
      <c r="S144" s="36" t="s">
        <v>434</v>
      </c>
      <c r="T144" s="111"/>
      <c r="U144" s="38"/>
      <c r="V144" s="22"/>
    </row>
    <row r="145" spans="1:22" s="141" customFormat="1" ht="13.5" customHeight="1" x14ac:dyDescent="0.25">
      <c r="A145" s="169"/>
      <c r="B145" s="148" t="s">
        <v>357</v>
      </c>
      <c r="C145" s="23"/>
      <c r="D145" s="49" t="s">
        <v>545</v>
      </c>
      <c r="E145" s="47" t="s">
        <v>43</v>
      </c>
      <c r="F145" s="146" t="s">
        <v>546</v>
      </c>
      <c r="G145" s="25" t="s">
        <v>547</v>
      </c>
      <c r="H145" s="26"/>
      <c r="I145" s="27"/>
      <c r="J145" s="28">
        <v>0</v>
      </c>
      <c r="K145" s="145" t="s">
        <v>546</v>
      </c>
      <c r="L145" s="30" t="s">
        <v>564</v>
      </c>
      <c r="M145" s="40"/>
      <c r="N145" s="32"/>
      <c r="O145" s="24"/>
      <c r="P145" s="33"/>
      <c r="Q145" s="34" t="s">
        <v>178</v>
      </c>
      <c r="R145" s="35" t="s">
        <v>548</v>
      </c>
      <c r="S145" s="52">
        <v>0.09</v>
      </c>
      <c r="T145" s="111">
        <f t="shared" ref="T145" si="0">S145*I145</f>
        <v>0</v>
      </c>
      <c r="U145" s="38"/>
      <c r="V145" s="22"/>
    </row>
    <row r="146" spans="1:22" s="141" customFormat="1" x14ac:dyDescent="0.25">
      <c r="A146" s="169"/>
      <c r="B146" s="148" t="s">
        <v>358</v>
      </c>
      <c r="C146" s="23"/>
      <c r="D146" s="142"/>
      <c r="E146" s="47"/>
      <c r="F146" s="24" t="s">
        <v>550</v>
      </c>
      <c r="G146" s="25" t="s">
        <v>550</v>
      </c>
      <c r="H146" s="26"/>
      <c r="I146" s="27"/>
      <c r="J146" s="28"/>
      <c r="K146" s="29" t="s">
        <v>549</v>
      </c>
      <c r="L146" s="30" t="s">
        <v>565</v>
      </c>
      <c r="M146" s="40">
        <v>0.01</v>
      </c>
      <c r="N146" s="32"/>
      <c r="O146" s="24" t="s">
        <v>26</v>
      </c>
      <c r="P146" s="33"/>
      <c r="Q146" s="34" t="s">
        <v>477</v>
      </c>
      <c r="R146" s="35"/>
      <c r="S146" s="36"/>
      <c r="T146" s="111"/>
      <c r="U146" s="38"/>
      <c r="V146" s="22"/>
    </row>
    <row r="147" spans="1:22" s="141" customFormat="1" x14ac:dyDescent="0.25">
      <c r="A147" s="169"/>
      <c r="B147" s="148" t="s">
        <v>359</v>
      </c>
      <c r="C147" s="23"/>
      <c r="D147" s="142"/>
      <c r="E147" s="47"/>
      <c r="F147" s="24" t="s">
        <v>550</v>
      </c>
      <c r="G147" s="25" t="s">
        <v>550</v>
      </c>
      <c r="H147" s="26"/>
      <c r="I147" s="27"/>
      <c r="J147" s="28"/>
      <c r="K147" s="29" t="s">
        <v>551</v>
      </c>
      <c r="L147" s="30" t="s">
        <v>561</v>
      </c>
      <c r="M147" s="40">
        <v>0.01</v>
      </c>
      <c r="N147" s="32"/>
      <c r="O147" s="24" t="s">
        <v>26</v>
      </c>
      <c r="P147" s="33"/>
      <c r="Q147" s="34" t="s">
        <v>477</v>
      </c>
      <c r="R147" s="35"/>
      <c r="S147" s="36"/>
      <c r="T147" s="111"/>
      <c r="U147" s="38"/>
      <c r="V147" s="22"/>
    </row>
    <row r="148" spans="1:22" s="141" customFormat="1" x14ac:dyDescent="0.25">
      <c r="A148" s="169"/>
      <c r="B148" s="148" t="s">
        <v>360</v>
      </c>
      <c r="C148" s="23"/>
      <c r="D148" s="142"/>
      <c r="E148" s="47"/>
      <c r="F148" s="24" t="s">
        <v>550</v>
      </c>
      <c r="G148" s="25" t="s">
        <v>550</v>
      </c>
      <c r="H148" s="26"/>
      <c r="I148" s="27"/>
      <c r="J148" s="28"/>
      <c r="K148" s="29" t="s">
        <v>551</v>
      </c>
      <c r="L148" s="30" t="s">
        <v>561</v>
      </c>
      <c r="M148" s="40">
        <v>0.01</v>
      </c>
      <c r="N148" s="32"/>
      <c r="O148" s="24" t="s">
        <v>26</v>
      </c>
      <c r="P148" s="33"/>
      <c r="Q148" s="34" t="s">
        <v>477</v>
      </c>
      <c r="R148" s="35"/>
      <c r="S148" s="36"/>
      <c r="T148" s="111"/>
      <c r="U148" s="38"/>
      <c r="V148" s="22"/>
    </row>
    <row r="149" spans="1:22" s="141" customFormat="1" x14ac:dyDescent="0.25">
      <c r="A149" s="169"/>
      <c r="B149" s="148" t="s">
        <v>361</v>
      </c>
      <c r="C149" s="23"/>
      <c r="D149" s="142"/>
      <c r="E149" s="47"/>
      <c r="F149" s="24" t="s">
        <v>550</v>
      </c>
      <c r="G149" s="25" t="s">
        <v>550</v>
      </c>
      <c r="H149" s="26"/>
      <c r="I149" s="27"/>
      <c r="J149" s="28"/>
      <c r="K149" s="29" t="s">
        <v>552</v>
      </c>
      <c r="L149" s="30" t="s">
        <v>560</v>
      </c>
      <c r="M149" s="40">
        <v>0.01</v>
      </c>
      <c r="N149" s="32"/>
      <c r="O149" s="24" t="s">
        <v>26</v>
      </c>
      <c r="P149" s="33"/>
      <c r="Q149" s="34" t="s">
        <v>477</v>
      </c>
      <c r="R149" s="35"/>
      <c r="S149" s="36"/>
      <c r="T149" s="111"/>
      <c r="U149" s="38"/>
      <c r="V149" s="22"/>
    </row>
    <row r="150" spans="1:22" s="141" customFormat="1" ht="17.25" customHeight="1" x14ac:dyDescent="0.25">
      <c r="A150" s="169"/>
      <c r="B150" s="148" t="s">
        <v>362</v>
      </c>
      <c r="C150" s="23"/>
      <c r="D150" s="49" t="s">
        <v>545</v>
      </c>
      <c r="E150" s="47" t="s">
        <v>43</v>
      </c>
      <c r="F150" s="146" t="s">
        <v>546</v>
      </c>
      <c r="G150" s="25" t="s">
        <v>547</v>
      </c>
      <c r="H150" s="26"/>
      <c r="I150" s="27"/>
      <c r="J150" s="28">
        <v>0</v>
      </c>
      <c r="K150" s="145" t="s">
        <v>546</v>
      </c>
      <c r="L150" s="30" t="s">
        <v>564</v>
      </c>
      <c r="M150" s="40"/>
      <c r="N150" s="32"/>
      <c r="O150" s="24"/>
      <c r="P150" s="33"/>
      <c r="Q150" s="34" t="s">
        <v>178</v>
      </c>
      <c r="R150" s="35" t="s">
        <v>548</v>
      </c>
      <c r="S150" s="52">
        <v>0.09</v>
      </c>
      <c r="T150" s="111">
        <f t="shared" ref="T150" si="1">S150*I150</f>
        <v>0</v>
      </c>
      <c r="U150" s="38"/>
      <c r="V150" s="22"/>
    </row>
    <row r="151" spans="1:22" s="141" customFormat="1" x14ac:dyDescent="0.25">
      <c r="A151" s="169"/>
      <c r="B151" s="148" t="s">
        <v>363</v>
      </c>
      <c r="C151" s="23"/>
      <c r="D151" s="142"/>
      <c r="E151" s="47" t="s">
        <v>43</v>
      </c>
      <c r="F151" s="24" t="s">
        <v>550</v>
      </c>
      <c r="G151" s="25" t="s">
        <v>550</v>
      </c>
      <c r="H151" s="26"/>
      <c r="I151" s="27"/>
      <c r="J151" s="28"/>
      <c r="K151" s="29" t="s">
        <v>553</v>
      </c>
      <c r="L151" s="30" t="s">
        <v>563</v>
      </c>
      <c r="M151" s="40">
        <v>0.01</v>
      </c>
      <c r="N151" s="32"/>
      <c r="O151" s="24" t="s">
        <v>26</v>
      </c>
      <c r="P151" s="33"/>
      <c r="Q151" s="34" t="s">
        <v>477</v>
      </c>
      <c r="R151" s="35"/>
      <c r="S151" s="36"/>
      <c r="T151" s="111"/>
      <c r="U151" s="38"/>
      <c r="V151" s="22"/>
    </row>
    <row r="152" spans="1:22" s="141" customFormat="1" x14ac:dyDescent="0.25">
      <c r="A152" s="169"/>
      <c r="B152" s="148" t="s">
        <v>364</v>
      </c>
      <c r="C152" s="23"/>
      <c r="D152" s="142"/>
      <c r="E152" s="47" t="s">
        <v>193</v>
      </c>
      <c r="F152" s="24"/>
      <c r="G152" s="25"/>
      <c r="H152" s="26"/>
      <c r="I152" s="27"/>
      <c r="J152" s="28"/>
      <c r="K152" s="29"/>
      <c r="L152" s="30"/>
      <c r="M152" s="31"/>
      <c r="N152" s="32"/>
      <c r="O152" s="24"/>
      <c r="P152" s="33"/>
      <c r="Q152" s="34"/>
      <c r="R152" s="35"/>
      <c r="S152" s="36"/>
      <c r="T152" s="111"/>
      <c r="U152" s="38"/>
      <c r="V152" s="22"/>
    </row>
    <row r="153" spans="1:22" s="141" customFormat="1" x14ac:dyDescent="0.25">
      <c r="A153" s="169"/>
      <c r="B153" s="148" t="s">
        <v>365</v>
      </c>
      <c r="C153" s="23"/>
      <c r="D153" s="142"/>
      <c r="E153" s="47" t="s">
        <v>193</v>
      </c>
      <c r="F153" s="24"/>
      <c r="G153" s="25"/>
      <c r="H153" s="26"/>
      <c r="I153" s="27"/>
      <c r="J153" s="28"/>
      <c r="K153" s="29"/>
      <c r="L153" s="30"/>
      <c r="M153" s="31"/>
      <c r="N153" s="32"/>
      <c r="O153" s="24"/>
      <c r="P153" s="33"/>
      <c r="Q153" s="34"/>
      <c r="R153" s="35"/>
      <c r="S153" s="36"/>
      <c r="T153" s="111"/>
      <c r="U153" s="38"/>
      <c r="V153" s="22"/>
    </row>
    <row r="154" spans="1:22" s="141" customFormat="1" x14ac:dyDescent="0.25">
      <c r="A154" s="169"/>
      <c r="B154" s="148" t="s">
        <v>366</v>
      </c>
      <c r="C154" s="23"/>
      <c r="D154" s="142"/>
      <c r="E154" s="47"/>
      <c r="F154" s="24" t="s">
        <v>550</v>
      </c>
      <c r="G154" s="25" t="s">
        <v>550</v>
      </c>
      <c r="H154" s="26"/>
      <c r="I154" s="27"/>
      <c r="J154" s="28"/>
      <c r="K154" s="29" t="s">
        <v>551</v>
      </c>
      <c r="L154" s="30" t="s">
        <v>561</v>
      </c>
      <c r="M154" s="40">
        <v>0.01</v>
      </c>
      <c r="N154" s="32"/>
      <c r="O154" s="24" t="s">
        <v>26</v>
      </c>
      <c r="P154" s="33"/>
      <c r="Q154" s="34" t="s">
        <v>477</v>
      </c>
      <c r="R154" s="35"/>
      <c r="S154" s="36"/>
      <c r="T154" s="111"/>
      <c r="U154" s="38"/>
      <c r="V154" s="22"/>
    </row>
    <row r="155" spans="1:22" s="141" customFormat="1" x14ac:dyDescent="0.25">
      <c r="A155" s="169"/>
      <c r="B155" s="148" t="s">
        <v>367</v>
      </c>
      <c r="C155" s="23"/>
      <c r="D155" s="142"/>
      <c r="E155" s="47" t="s">
        <v>43</v>
      </c>
      <c r="F155" s="24" t="s">
        <v>550</v>
      </c>
      <c r="G155" s="25" t="s">
        <v>550</v>
      </c>
      <c r="H155" s="26"/>
      <c r="I155" s="27"/>
      <c r="J155" s="28"/>
      <c r="K155" s="29" t="s">
        <v>553</v>
      </c>
      <c r="L155" s="30" t="s">
        <v>560</v>
      </c>
      <c r="M155" s="40">
        <v>0.01</v>
      </c>
      <c r="N155" s="32"/>
      <c r="O155" s="24" t="s">
        <v>26</v>
      </c>
      <c r="P155" s="33"/>
      <c r="Q155" s="34" t="s">
        <v>477</v>
      </c>
      <c r="R155" s="35"/>
      <c r="S155" s="36"/>
      <c r="T155" s="111"/>
      <c r="U155" s="38"/>
      <c r="V155" s="22"/>
    </row>
    <row r="156" spans="1:22" s="141" customFormat="1" x14ac:dyDescent="0.25">
      <c r="A156" s="169"/>
      <c r="B156" s="148" t="s">
        <v>368</v>
      </c>
      <c r="C156" s="23"/>
      <c r="D156" s="142"/>
      <c r="E156" s="47"/>
      <c r="F156" s="24" t="s">
        <v>550</v>
      </c>
      <c r="G156" s="25" t="s">
        <v>550</v>
      </c>
      <c r="H156" s="26"/>
      <c r="I156" s="27"/>
      <c r="J156" s="28"/>
      <c r="K156" s="29" t="s">
        <v>554</v>
      </c>
      <c r="L156" s="30" t="s">
        <v>562</v>
      </c>
      <c r="M156" s="40">
        <v>0.01</v>
      </c>
      <c r="N156" s="32"/>
      <c r="O156" s="24" t="s">
        <v>26</v>
      </c>
      <c r="P156" s="33"/>
      <c r="Q156" s="34" t="s">
        <v>477</v>
      </c>
      <c r="R156" s="35"/>
      <c r="S156" s="36"/>
      <c r="T156" s="111"/>
      <c r="U156" s="38"/>
      <c r="V156" s="22"/>
    </row>
    <row r="157" spans="1:22" s="141" customFormat="1" x14ac:dyDescent="0.25">
      <c r="A157" s="169"/>
      <c r="B157" s="148" t="s">
        <v>369</v>
      </c>
      <c r="C157" s="23"/>
      <c r="D157" s="142"/>
      <c r="E157" s="47"/>
      <c r="F157" s="24" t="s">
        <v>550</v>
      </c>
      <c r="G157" s="25" t="s">
        <v>550</v>
      </c>
      <c r="H157" s="26"/>
      <c r="I157" s="27"/>
      <c r="J157" s="28"/>
      <c r="K157" s="29" t="s">
        <v>551</v>
      </c>
      <c r="L157" s="30" t="s">
        <v>561</v>
      </c>
      <c r="M157" s="40">
        <v>0.01</v>
      </c>
      <c r="N157" s="32"/>
      <c r="O157" s="24" t="s">
        <v>26</v>
      </c>
      <c r="P157" s="33"/>
      <c r="Q157" s="34" t="s">
        <v>477</v>
      </c>
      <c r="R157" s="35"/>
      <c r="S157" s="36"/>
      <c r="T157" s="111"/>
      <c r="U157" s="38"/>
      <c r="V157" s="22"/>
    </row>
    <row r="158" spans="1:22" s="141" customFormat="1" x14ac:dyDescent="0.25">
      <c r="A158" s="169"/>
      <c r="B158" s="148" t="s">
        <v>370</v>
      </c>
      <c r="C158" s="23"/>
      <c r="D158" s="142"/>
      <c r="E158" s="47" t="s">
        <v>43</v>
      </c>
      <c r="F158" s="24" t="s">
        <v>550</v>
      </c>
      <c r="G158" s="25" t="s">
        <v>550</v>
      </c>
      <c r="H158" s="26"/>
      <c r="I158" s="27"/>
      <c r="J158" s="28"/>
      <c r="K158" s="29" t="s">
        <v>553</v>
      </c>
      <c r="L158" s="30" t="s">
        <v>560</v>
      </c>
      <c r="M158" s="40">
        <v>0.01</v>
      </c>
      <c r="N158" s="32"/>
      <c r="O158" s="24" t="s">
        <v>26</v>
      </c>
      <c r="P158" s="33"/>
      <c r="Q158" s="34" t="s">
        <v>477</v>
      </c>
      <c r="R158" s="35"/>
      <c r="S158" s="36"/>
      <c r="T158" s="111"/>
      <c r="U158" s="38"/>
      <c r="V158" s="22"/>
    </row>
    <row r="159" spans="1:22" s="141" customFormat="1" x14ac:dyDescent="0.25">
      <c r="A159" s="169"/>
      <c r="B159" s="148" t="s">
        <v>371</v>
      </c>
      <c r="C159" s="23"/>
      <c r="D159" s="142"/>
      <c r="E159" s="47"/>
      <c r="F159" s="24" t="s">
        <v>558</v>
      </c>
      <c r="G159" s="25" t="s">
        <v>558</v>
      </c>
      <c r="H159" s="26"/>
      <c r="I159" s="27"/>
      <c r="J159" s="28"/>
      <c r="K159" s="29" t="s">
        <v>557</v>
      </c>
      <c r="L159" s="30" t="s">
        <v>559</v>
      </c>
      <c r="M159" s="40">
        <v>0.01</v>
      </c>
      <c r="N159" s="32"/>
      <c r="O159" s="24" t="s">
        <v>566</v>
      </c>
      <c r="P159" s="33"/>
      <c r="Q159" s="34" t="s">
        <v>178</v>
      </c>
      <c r="R159" s="35" t="s">
        <v>567</v>
      </c>
      <c r="S159" s="52">
        <v>1.61</v>
      </c>
      <c r="T159" s="37"/>
      <c r="U159" s="38"/>
      <c r="V159" s="22"/>
    </row>
    <row r="160" spans="1:22" s="141" customFormat="1" x14ac:dyDescent="0.25">
      <c r="A160" s="169"/>
      <c r="B160" s="148" t="s">
        <v>372</v>
      </c>
      <c r="C160" s="23"/>
      <c r="D160" s="142"/>
      <c r="E160" s="47"/>
      <c r="F160" s="24" t="s">
        <v>550</v>
      </c>
      <c r="G160" s="25" t="s">
        <v>550</v>
      </c>
      <c r="H160" s="26"/>
      <c r="I160" s="27"/>
      <c r="J160" s="28"/>
      <c r="K160" s="29" t="s">
        <v>568</v>
      </c>
      <c r="L160" s="30" t="s">
        <v>569</v>
      </c>
      <c r="M160" s="40">
        <v>0.01</v>
      </c>
      <c r="N160" s="32"/>
      <c r="O160" s="24" t="s">
        <v>26</v>
      </c>
      <c r="P160" s="33"/>
      <c r="Q160" s="34" t="s">
        <v>477</v>
      </c>
      <c r="R160" s="35"/>
      <c r="S160" s="36"/>
      <c r="T160" s="37"/>
      <c r="U160" s="38"/>
      <c r="V160" s="22"/>
    </row>
    <row r="161" spans="1:22" s="141" customFormat="1" x14ac:dyDescent="0.25">
      <c r="A161" s="169"/>
      <c r="B161" s="148" t="s">
        <v>373</v>
      </c>
      <c r="C161" s="23"/>
      <c r="D161" s="142"/>
      <c r="E161" s="47"/>
      <c r="F161" s="24" t="s">
        <v>550</v>
      </c>
      <c r="G161" s="25" t="s">
        <v>550</v>
      </c>
      <c r="H161" s="26"/>
      <c r="I161" s="27"/>
      <c r="J161" s="28"/>
      <c r="K161" s="29" t="s">
        <v>570</v>
      </c>
      <c r="L161" s="30" t="s">
        <v>571</v>
      </c>
      <c r="M161" s="40">
        <v>0.01</v>
      </c>
      <c r="N161" s="32"/>
      <c r="O161" s="24" t="s">
        <v>26</v>
      </c>
      <c r="P161" s="33"/>
      <c r="Q161" s="34" t="s">
        <v>477</v>
      </c>
      <c r="R161" s="35"/>
      <c r="S161" s="36"/>
      <c r="T161" s="37"/>
      <c r="U161" s="38"/>
      <c r="V161" s="22"/>
    </row>
    <row r="162" spans="1:22" s="141" customFormat="1" x14ac:dyDescent="0.25">
      <c r="A162" s="169"/>
      <c r="B162" s="148" t="s">
        <v>374</v>
      </c>
      <c r="C162" s="23"/>
      <c r="D162" s="142"/>
      <c r="E162" s="47"/>
      <c r="F162" s="24" t="s">
        <v>550</v>
      </c>
      <c r="G162" s="25" t="s">
        <v>550</v>
      </c>
      <c r="H162" s="26"/>
      <c r="I162" s="27"/>
      <c r="J162" s="28"/>
      <c r="K162" s="29" t="s">
        <v>551</v>
      </c>
      <c r="L162" s="30" t="s">
        <v>561</v>
      </c>
      <c r="M162" s="40">
        <v>0.01</v>
      </c>
      <c r="N162" s="32"/>
      <c r="O162" s="24" t="s">
        <v>26</v>
      </c>
      <c r="P162" s="33"/>
      <c r="Q162" s="34" t="s">
        <v>477</v>
      </c>
      <c r="R162" s="35"/>
      <c r="S162" s="36"/>
      <c r="T162" s="37"/>
      <c r="U162" s="38"/>
      <c r="V162" s="22"/>
    </row>
    <row r="163" spans="1:22" s="141" customFormat="1" x14ac:dyDescent="0.25">
      <c r="A163" s="169"/>
      <c r="B163" s="148" t="s">
        <v>375</v>
      </c>
      <c r="C163" s="23"/>
      <c r="D163" s="142"/>
      <c r="E163" s="47"/>
      <c r="F163" s="24" t="s">
        <v>550</v>
      </c>
      <c r="G163" s="25" t="s">
        <v>550</v>
      </c>
      <c r="H163" s="26"/>
      <c r="I163" s="27"/>
      <c r="J163" s="28"/>
      <c r="K163" s="29" t="s">
        <v>552</v>
      </c>
      <c r="L163" s="30" t="s">
        <v>560</v>
      </c>
      <c r="M163" s="40">
        <v>0.01</v>
      </c>
      <c r="N163" s="32"/>
      <c r="O163" s="24" t="s">
        <v>26</v>
      </c>
      <c r="P163" s="33"/>
      <c r="Q163" s="34" t="s">
        <v>477</v>
      </c>
      <c r="R163" s="35"/>
      <c r="S163" s="36"/>
      <c r="T163" s="37"/>
      <c r="U163" s="38"/>
      <c r="V163" s="22"/>
    </row>
    <row r="164" spans="1:22" s="141" customFormat="1" x14ac:dyDescent="0.25">
      <c r="A164" s="169"/>
      <c r="B164" s="148" t="s">
        <v>376</v>
      </c>
      <c r="C164" s="23"/>
      <c r="D164" s="142"/>
      <c r="E164" s="47"/>
      <c r="F164" s="24" t="s">
        <v>550</v>
      </c>
      <c r="G164" s="25" t="s">
        <v>550</v>
      </c>
      <c r="H164" s="26"/>
      <c r="I164" s="27"/>
      <c r="J164" s="28"/>
      <c r="K164" s="29" t="s">
        <v>572</v>
      </c>
      <c r="L164" s="30" t="s">
        <v>573</v>
      </c>
      <c r="M164" s="40">
        <v>0.01</v>
      </c>
      <c r="N164" s="32"/>
      <c r="O164" s="24" t="s">
        <v>26</v>
      </c>
      <c r="P164" s="33"/>
      <c r="Q164" s="34" t="s">
        <v>477</v>
      </c>
      <c r="R164" s="35"/>
      <c r="S164" s="36"/>
      <c r="T164" s="37"/>
      <c r="U164" s="38"/>
      <c r="V164" s="22"/>
    </row>
    <row r="165" spans="1:22" s="141" customFormat="1" x14ac:dyDescent="0.25">
      <c r="A165" s="169"/>
      <c r="B165" s="148" t="s">
        <v>377</v>
      </c>
      <c r="C165" s="23"/>
      <c r="D165" s="142"/>
      <c r="E165" s="47"/>
      <c r="F165" s="24" t="s">
        <v>550</v>
      </c>
      <c r="G165" s="25" t="s">
        <v>550</v>
      </c>
      <c r="H165" s="26"/>
      <c r="I165" s="27"/>
      <c r="J165" s="28"/>
      <c r="K165" s="29" t="s">
        <v>572</v>
      </c>
      <c r="L165" s="30" t="s">
        <v>573</v>
      </c>
      <c r="M165" s="40">
        <v>0.01</v>
      </c>
      <c r="N165" s="32"/>
      <c r="O165" s="24" t="s">
        <v>26</v>
      </c>
      <c r="P165" s="33"/>
      <c r="Q165" s="34" t="s">
        <v>477</v>
      </c>
      <c r="R165" s="35"/>
      <c r="S165" s="36"/>
      <c r="T165" s="37"/>
      <c r="U165" s="38"/>
      <c r="V165" s="22"/>
    </row>
    <row r="166" spans="1:22" s="141" customFormat="1" x14ac:dyDescent="0.25">
      <c r="A166" s="169"/>
      <c r="B166" s="148" t="s">
        <v>378</v>
      </c>
      <c r="C166" s="23"/>
      <c r="D166" s="142"/>
      <c r="E166" s="47"/>
      <c r="F166" s="24" t="s">
        <v>550</v>
      </c>
      <c r="G166" s="25" t="s">
        <v>550</v>
      </c>
      <c r="H166" s="26"/>
      <c r="I166" s="27"/>
      <c r="J166" s="28"/>
      <c r="K166" s="29" t="s">
        <v>551</v>
      </c>
      <c r="L166" s="30" t="s">
        <v>561</v>
      </c>
      <c r="M166" s="40">
        <v>0.01</v>
      </c>
      <c r="N166" s="32"/>
      <c r="O166" s="24" t="s">
        <v>26</v>
      </c>
      <c r="P166" s="33"/>
      <c r="Q166" s="34" t="s">
        <v>477</v>
      </c>
      <c r="R166" s="35"/>
      <c r="S166" s="36"/>
      <c r="T166" s="37"/>
      <c r="U166" s="38"/>
      <c r="V166" s="22"/>
    </row>
    <row r="167" spans="1:22" s="141" customFormat="1" x14ac:dyDescent="0.25">
      <c r="A167" s="169"/>
      <c r="B167" s="148" t="s">
        <v>379</v>
      </c>
      <c r="C167" s="23"/>
      <c r="D167" s="142"/>
      <c r="E167" s="47"/>
      <c r="F167" s="24" t="s">
        <v>550</v>
      </c>
      <c r="G167" s="25" t="s">
        <v>550</v>
      </c>
      <c r="H167" s="26"/>
      <c r="I167" s="27"/>
      <c r="J167" s="28"/>
      <c r="K167" s="29" t="s">
        <v>551</v>
      </c>
      <c r="L167" s="30" t="s">
        <v>561</v>
      </c>
      <c r="M167" s="40">
        <v>0.01</v>
      </c>
      <c r="N167" s="32"/>
      <c r="O167" s="24" t="s">
        <v>26</v>
      </c>
      <c r="P167" s="33"/>
      <c r="Q167" s="34" t="s">
        <v>477</v>
      </c>
      <c r="R167" s="35"/>
      <c r="S167" s="36"/>
      <c r="T167" s="37"/>
      <c r="U167" s="38"/>
      <c r="V167" s="22"/>
    </row>
    <row r="168" spans="1:22" s="141" customFormat="1" x14ac:dyDescent="0.25">
      <c r="A168" s="169"/>
      <c r="B168" s="148" t="s">
        <v>380</v>
      </c>
      <c r="C168" s="23"/>
      <c r="D168" s="142"/>
      <c r="E168" s="47" t="s">
        <v>193</v>
      </c>
      <c r="F168" s="24"/>
      <c r="G168" s="25"/>
      <c r="H168" s="26"/>
      <c r="I168" s="27"/>
      <c r="J168" s="28"/>
      <c r="K168" s="29"/>
      <c r="L168" s="30"/>
      <c r="M168" s="31"/>
      <c r="N168" s="32"/>
      <c r="O168" s="24"/>
      <c r="P168" s="33"/>
      <c r="Q168" s="34"/>
      <c r="R168" s="35"/>
      <c r="S168" s="36"/>
      <c r="T168" s="37"/>
      <c r="U168" s="38"/>
      <c r="V168" s="22"/>
    </row>
    <row r="169" spans="1:22" s="141" customFormat="1" x14ac:dyDescent="0.25">
      <c r="A169" s="169"/>
      <c r="B169" s="148" t="s">
        <v>381</v>
      </c>
      <c r="C169" s="23"/>
      <c r="D169" s="142"/>
      <c r="E169" s="47" t="s">
        <v>193</v>
      </c>
      <c r="F169" s="24"/>
      <c r="G169" s="25"/>
      <c r="H169" s="26"/>
      <c r="I169" s="27"/>
      <c r="J169" s="28"/>
      <c r="K169" s="29"/>
      <c r="L169" s="30"/>
      <c r="M169" s="31"/>
      <c r="N169" s="32"/>
      <c r="O169" s="24"/>
      <c r="P169" s="33"/>
      <c r="Q169" s="34"/>
      <c r="R169" s="35"/>
      <c r="S169" s="36"/>
      <c r="T169" s="37"/>
      <c r="U169" s="38"/>
      <c r="V169" s="22"/>
    </row>
    <row r="170" spans="1:22" s="141" customFormat="1" x14ac:dyDescent="0.25">
      <c r="A170" s="169"/>
      <c r="B170" s="148" t="s">
        <v>382</v>
      </c>
      <c r="C170" s="23"/>
      <c r="D170" s="142"/>
      <c r="E170" s="47"/>
      <c r="F170" s="24" t="s">
        <v>550</v>
      </c>
      <c r="G170" s="25" t="s">
        <v>550</v>
      </c>
      <c r="H170" s="26"/>
      <c r="I170" s="27"/>
      <c r="J170" s="28"/>
      <c r="K170" s="29" t="s">
        <v>556</v>
      </c>
      <c r="L170" s="30" t="s">
        <v>555</v>
      </c>
      <c r="M170" s="40">
        <v>0.01</v>
      </c>
      <c r="N170" s="32"/>
      <c r="O170" s="24" t="s">
        <v>26</v>
      </c>
      <c r="P170" s="33"/>
      <c r="Q170" s="34" t="s">
        <v>477</v>
      </c>
      <c r="R170" s="35"/>
      <c r="S170" s="36"/>
      <c r="T170" s="37"/>
      <c r="U170" s="38"/>
      <c r="V170" s="22"/>
    </row>
    <row r="171" spans="1:22" x14ac:dyDescent="0.25">
      <c r="A171" s="169"/>
      <c r="B171" s="148" t="s">
        <v>383</v>
      </c>
      <c r="C171" s="23"/>
      <c r="D171" s="142"/>
      <c r="E171" s="47"/>
      <c r="F171" s="24" t="s">
        <v>550</v>
      </c>
      <c r="G171" s="25" t="s">
        <v>550</v>
      </c>
      <c r="H171" s="26"/>
      <c r="I171" s="27"/>
      <c r="J171" s="28"/>
      <c r="K171" s="29" t="s">
        <v>551</v>
      </c>
      <c r="L171" s="30" t="s">
        <v>561</v>
      </c>
      <c r="M171" s="40">
        <v>0.01</v>
      </c>
      <c r="N171" s="32"/>
      <c r="O171" s="24" t="s">
        <v>26</v>
      </c>
      <c r="P171" s="33"/>
      <c r="Q171" s="34" t="s">
        <v>477</v>
      </c>
      <c r="R171" s="35"/>
      <c r="S171" s="36"/>
      <c r="T171" s="37"/>
      <c r="U171" s="38"/>
      <c r="V171" s="22"/>
    </row>
    <row r="172" spans="1:22" x14ac:dyDescent="0.25">
      <c r="A172" s="169"/>
      <c r="B172" s="148" t="s">
        <v>384</v>
      </c>
      <c r="C172" s="23"/>
      <c r="D172" s="142"/>
      <c r="E172" s="47"/>
      <c r="F172" s="24" t="s">
        <v>550</v>
      </c>
      <c r="G172" s="25" t="s">
        <v>550</v>
      </c>
      <c r="H172" s="26"/>
      <c r="I172" s="27"/>
      <c r="J172" s="28"/>
      <c r="K172" s="29" t="s">
        <v>553</v>
      </c>
      <c r="L172" s="30" t="s">
        <v>563</v>
      </c>
      <c r="M172" s="40">
        <v>0.01</v>
      </c>
      <c r="N172" s="32"/>
      <c r="O172" s="24" t="s">
        <v>26</v>
      </c>
      <c r="P172" s="33"/>
      <c r="Q172" s="34" t="s">
        <v>477</v>
      </c>
      <c r="R172" s="35"/>
      <c r="S172" s="36"/>
      <c r="T172" s="37"/>
      <c r="U172" s="38"/>
      <c r="V172" s="22"/>
    </row>
    <row r="173" spans="1:22" x14ac:dyDescent="0.25">
      <c r="A173" s="169"/>
      <c r="B173" s="148" t="s">
        <v>385</v>
      </c>
      <c r="C173" s="23"/>
      <c r="D173" s="142"/>
      <c r="E173" s="47"/>
      <c r="F173" s="24" t="s">
        <v>550</v>
      </c>
      <c r="G173" s="25" t="s">
        <v>550</v>
      </c>
      <c r="H173" s="26"/>
      <c r="I173" s="27"/>
      <c r="J173" s="28"/>
      <c r="K173" s="29" t="s">
        <v>572</v>
      </c>
      <c r="L173" s="30" t="s">
        <v>573</v>
      </c>
      <c r="M173" s="40">
        <v>0.01</v>
      </c>
      <c r="N173" s="32"/>
      <c r="O173" s="24" t="s">
        <v>26</v>
      </c>
      <c r="P173" s="33"/>
      <c r="Q173" s="34" t="s">
        <v>477</v>
      </c>
      <c r="R173" s="35"/>
      <c r="S173" s="36"/>
      <c r="T173" s="37"/>
      <c r="U173" s="38"/>
      <c r="V173" s="22"/>
    </row>
    <row r="174" spans="1:22" x14ac:dyDescent="0.25">
      <c r="A174" s="169"/>
      <c r="B174" s="148" t="s">
        <v>386</v>
      </c>
      <c r="C174" s="23"/>
      <c r="D174" s="142"/>
      <c r="E174" s="47"/>
      <c r="F174" s="24" t="s">
        <v>550</v>
      </c>
      <c r="G174" s="25" t="s">
        <v>550</v>
      </c>
      <c r="H174" s="26"/>
      <c r="I174" s="27"/>
      <c r="J174" s="28"/>
      <c r="K174" s="29" t="s">
        <v>572</v>
      </c>
      <c r="L174" s="30" t="s">
        <v>573</v>
      </c>
      <c r="M174" s="40">
        <v>0.01</v>
      </c>
      <c r="N174" s="32"/>
      <c r="O174" s="24" t="s">
        <v>26</v>
      </c>
      <c r="P174" s="33"/>
      <c r="Q174" s="34" t="s">
        <v>477</v>
      </c>
      <c r="R174" s="35"/>
      <c r="S174" s="36"/>
      <c r="T174" s="37"/>
      <c r="U174" s="38"/>
      <c r="V174" s="22"/>
    </row>
    <row r="175" spans="1:22" x14ac:dyDescent="0.25">
      <c r="A175" s="169"/>
      <c r="B175" s="148" t="s">
        <v>387</v>
      </c>
      <c r="C175" s="23"/>
      <c r="D175" s="142"/>
      <c r="E175" s="47" t="s">
        <v>193</v>
      </c>
      <c r="F175" s="24"/>
      <c r="G175" s="25"/>
      <c r="H175" s="26"/>
      <c r="I175" s="27"/>
      <c r="J175" s="28"/>
      <c r="K175" s="29"/>
      <c r="L175" s="30"/>
      <c r="M175" s="31"/>
      <c r="N175" s="32"/>
      <c r="O175" s="24"/>
      <c r="P175" s="33"/>
      <c r="Q175" s="34"/>
      <c r="R175" s="35"/>
      <c r="S175" s="36"/>
      <c r="T175" s="37"/>
      <c r="U175" s="38"/>
      <c r="V175" s="22"/>
    </row>
    <row r="176" spans="1:22" x14ac:dyDescent="0.25">
      <c r="A176" s="169"/>
      <c r="B176" s="148" t="s">
        <v>388</v>
      </c>
      <c r="C176" s="23"/>
      <c r="D176" s="142"/>
      <c r="E176" s="47" t="s">
        <v>193</v>
      </c>
      <c r="F176" s="24"/>
      <c r="G176" s="25"/>
      <c r="H176" s="26"/>
      <c r="I176" s="27"/>
      <c r="J176" s="28"/>
      <c r="K176" s="29"/>
      <c r="L176" s="30"/>
      <c r="M176" s="31"/>
      <c r="N176" s="32"/>
      <c r="O176" s="24"/>
      <c r="P176" s="33"/>
      <c r="Q176" s="34"/>
      <c r="R176" s="35"/>
      <c r="S176" s="36"/>
      <c r="T176" s="37"/>
      <c r="U176" s="38"/>
      <c r="V176" s="22"/>
    </row>
    <row r="177" spans="1:22" x14ac:dyDescent="0.25">
      <c r="A177" s="169"/>
      <c r="B177" s="148" t="s">
        <v>389</v>
      </c>
      <c r="C177" s="23"/>
      <c r="D177" s="142"/>
      <c r="E177" s="47"/>
      <c r="F177" s="24" t="s">
        <v>550</v>
      </c>
      <c r="G177" s="25" t="s">
        <v>550</v>
      </c>
      <c r="H177" s="26"/>
      <c r="I177" s="27"/>
      <c r="J177" s="28"/>
      <c r="K177" s="29" t="s">
        <v>551</v>
      </c>
      <c r="L177" s="30" t="s">
        <v>561</v>
      </c>
      <c r="M177" s="40">
        <v>0.01</v>
      </c>
      <c r="N177" s="32"/>
      <c r="O177" s="24" t="s">
        <v>26</v>
      </c>
      <c r="P177" s="33"/>
      <c r="Q177" s="34" t="s">
        <v>477</v>
      </c>
      <c r="R177" s="35"/>
      <c r="S177" s="36"/>
      <c r="T177" s="37"/>
      <c r="U177" s="38"/>
      <c r="V177" s="22"/>
    </row>
    <row r="178" spans="1:22" x14ac:dyDescent="0.25">
      <c r="A178" s="169"/>
      <c r="B178" s="148" t="s">
        <v>390</v>
      </c>
      <c r="C178" s="23"/>
      <c r="D178" s="142"/>
      <c r="E178" s="47"/>
      <c r="F178" s="24" t="s">
        <v>550</v>
      </c>
      <c r="G178" s="25" t="s">
        <v>550</v>
      </c>
      <c r="H178" s="26"/>
      <c r="I178" s="27"/>
      <c r="J178" s="28"/>
      <c r="K178" s="29" t="s">
        <v>551</v>
      </c>
      <c r="L178" s="30" t="s">
        <v>561</v>
      </c>
      <c r="M178" s="40">
        <v>0.01</v>
      </c>
      <c r="N178" s="32"/>
      <c r="O178" s="24" t="s">
        <v>26</v>
      </c>
      <c r="P178" s="33"/>
      <c r="Q178" s="34" t="s">
        <v>477</v>
      </c>
      <c r="R178" s="35"/>
      <c r="S178" s="36"/>
      <c r="T178" s="37"/>
      <c r="U178" s="38"/>
      <c r="V178" s="22"/>
    </row>
    <row r="179" spans="1:22" x14ac:dyDescent="0.25">
      <c r="A179" s="169"/>
      <c r="B179" s="148" t="s">
        <v>391</v>
      </c>
      <c r="C179" s="23"/>
      <c r="D179" s="142"/>
      <c r="E179" s="47"/>
      <c r="F179" s="24"/>
      <c r="G179" s="25"/>
      <c r="H179" s="26"/>
      <c r="I179" s="27"/>
      <c r="J179" s="28"/>
      <c r="K179" s="29"/>
      <c r="L179" s="30"/>
      <c r="M179" s="31"/>
      <c r="N179" s="32"/>
      <c r="O179" s="24"/>
      <c r="P179" s="33"/>
      <c r="Q179" s="34"/>
      <c r="R179" s="35"/>
      <c r="S179" s="36"/>
      <c r="T179" s="37"/>
      <c r="U179" s="38"/>
      <c r="V179" s="22"/>
    </row>
    <row r="180" spans="1:22" x14ac:dyDescent="0.25">
      <c r="A180" s="169"/>
      <c r="B180" s="148" t="s">
        <v>392</v>
      </c>
      <c r="C180" s="23"/>
      <c r="D180" s="142"/>
      <c r="E180" s="47"/>
      <c r="F180" s="24"/>
      <c r="G180" s="25"/>
      <c r="H180" s="26"/>
      <c r="I180" s="27"/>
      <c r="J180" s="28"/>
      <c r="K180" s="29"/>
      <c r="L180" s="30"/>
      <c r="M180" s="31"/>
      <c r="N180" s="32"/>
      <c r="O180" s="24"/>
      <c r="P180" s="33"/>
      <c r="Q180" s="34"/>
      <c r="R180" s="35"/>
      <c r="S180" s="36"/>
      <c r="T180" s="37"/>
      <c r="U180" s="38"/>
      <c r="V180" s="22"/>
    </row>
    <row r="181" spans="1:22" x14ac:dyDescent="0.25">
      <c r="A181" s="169"/>
      <c r="B181" s="148" t="s">
        <v>393</v>
      </c>
      <c r="C181" s="23"/>
      <c r="D181" s="142"/>
      <c r="E181" s="47"/>
      <c r="F181" s="24"/>
      <c r="G181" s="25"/>
      <c r="H181" s="26"/>
      <c r="I181" s="27"/>
      <c r="J181" s="28"/>
      <c r="K181" s="29"/>
      <c r="L181" s="30"/>
      <c r="M181" s="31"/>
      <c r="N181" s="32"/>
      <c r="O181" s="24"/>
      <c r="P181" s="33"/>
      <c r="Q181" s="34"/>
      <c r="R181" s="35"/>
      <c r="S181" s="36"/>
      <c r="T181" s="37"/>
      <c r="U181" s="38"/>
      <c r="V181" s="22"/>
    </row>
    <row r="182" spans="1:22" x14ac:dyDescent="0.25">
      <c r="A182" s="169"/>
      <c r="B182" s="148" t="s">
        <v>574</v>
      </c>
      <c r="C182" s="23"/>
      <c r="D182" s="142"/>
      <c r="E182" s="47"/>
      <c r="F182" s="24"/>
      <c r="G182" s="25"/>
      <c r="H182" s="26"/>
      <c r="I182" s="27"/>
      <c r="J182" s="28"/>
      <c r="K182" s="29"/>
      <c r="L182" s="30"/>
      <c r="M182" s="31"/>
      <c r="N182" s="32"/>
      <c r="O182" s="24"/>
      <c r="P182" s="33"/>
      <c r="Q182" s="34"/>
      <c r="R182" s="35"/>
      <c r="S182" s="36"/>
      <c r="T182" s="37"/>
      <c r="U182" s="38"/>
      <c r="V182" s="22"/>
    </row>
    <row r="183" spans="1:22" x14ac:dyDescent="0.25">
      <c r="A183" s="169"/>
      <c r="B183" s="148" t="s">
        <v>575</v>
      </c>
      <c r="C183" s="23"/>
      <c r="D183" s="142"/>
      <c r="E183" s="47"/>
      <c r="F183" s="24"/>
      <c r="G183" s="25"/>
      <c r="H183" s="26"/>
      <c r="I183" s="27"/>
      <c r="J183" s="28"/>
      <c r="K183" s="29"/>
      <c r="L183" s="30"/>
      <c r="M183" s="31"/>
      <c r="N183" s="32"/>
      <c r="O183" s="24"/>
      <c r="P183" s="33"/>
      <c r="Q183" s="34"/>
      <c r="R183" s="35"/>
      <c r="S183" s="36"/>
      <c r="T183" s="37"/>
      <c r="U183" s="38"/>
      <c r="V183" s="22"/>
    </row>
    <row r="184" spans="1:22" x14ac:dyDescent="0.25">
      <c r="A184" s="169"/>
      <c r="B184" s="148" t="s">
        <v>394</v>
      </c>
      <c r="C184" s="23"/>
      <c r="D184" s="142"/>
      <c r="E184" s="47"/>
      <c r="F184" s="24"/>
      <c r="G184" s="25"/>
      <c r="H184" s="26"/>
      <c r="I184" s="27"/>
      <c r="J184" s="28"/>
      <c r="K184" s="29"/>
      <c r="L184" s="30"/>
      <c r="M184" s="31"/>
      <c r="N184" s="32"/>
      <c r="O184" s="24"/>
      <c r="P184" s="33"/>
      <c r="Q184" s="34"/>
      <c r="R184" s="35"/>
      <c r="S184" s="36"/>
      <c r="T184" s="37"/>
      <c r="U184" s="38"/>
      <c r="V184" s="22"/>
    </row>
    <row r="185" spans="1:22" x14ac:dyDescent="0.25">
      <c r="A185" s="169"/>
      <c r="B185" s="148" t="s">
        <v>395</v>
      </c>
      <c r="C185" s="23"/>
      <c r="D185" s="142"/>
      <c r="E185" s="47"/>
      <c r="F185" s="24"/>
      <c r="G185" s="25"/>
      <c r="H185" s="26"/>
      <c r="I185" s="27"/>
      <c r="J185" s="28"/>
      <c r="K185" s="29"/>
      <c r="L185" s="30"/>
      <c r="M185" s="31"/>
      <c r="N185" s="32"/>
      <c r="O185" s="24"/>
      <c r="P185" s="33"/>
      <c r="Q185" s="34"/>
      <c r="R185" s="35"/>
      <c r="S185" s="36"/>
      <c r="T185" s="37"/>
      <c r="U185" s="38"/>
      <c r="V185" s="22"/>
    </row>
    <row r="186" spans="1:22" x14ac:dyDescent="0.25">
      <c r="A186" s="169"/>
      <c r="B186" s="148" t="s">
        <v>396</v>
      </c>
      <c r="C186" s="23"/>
      <c r="D186" s="142"/>
      <c r="E186" s="47"/>
      <c r="F186" s="24"/>
      <c r="G186" s="25"/>
      <c r="H186" s="26"/>
      <c r="I186" s="27"/>
      <c r="J186" s="28"/>
      <c r="K186" s="29"/>
      <c r="L186" s="30"/>
      <c r="M186" s="31"/>
      <c r="N186" s="32"/>
      <c r="O186" s="24"/>
      <c r="P186" s="33"/>
      <c r="Q186" s="34"/>
      <c r="R186" s="35"/>
      <c r="S186" s="36"/>
      <c r="T186" s="37"/>
      <c r="U186" s="38"/>
      <c r="V186" s="22"/>
    </row>
    <row r="187" spans="1:22" x14ac:dyDescent="0.25">
      <c r="A187" s="169"/>
      <c r="B187" s="148" t="s">
        <v>397</v>
      </c>
      <c r="C187" s="23"/>
      <c r="D187" s="142"/>
      <c r="E187" s="47"/>
      <c r="F187" s="24"/>
      <c r="G187" s="25"/>
      <c r="H187" s="26"/>
      <c r="I187" s="27"/>
      <c r="J187" s="28"/>
      <c r="K187" s="29"/>
      <c r="L187" s="30"/>
      <c r="M187" s="31"/>
      <c r="N187" s="32"/>
      <c r="O187" s="24"/>
      <c r="P187" s="33"/>
      <c r="Q187" s="34"/>
      <c r="R187" s="35"/>
      <c r="S187" s="36"/>
      <c r="T187" s="37"/>
      <c r="U187" s="38"/>
      <c r="V187" s="22"/>
    </row>
    <row r="188" spans="1:22" x14ac:dyDescent="0.25">
      <c r="A188" s="169"/>
      <c r="B188" s="148" t="s">
        <v>398</v>
      </c>
      <c r="C188" s="23"/>
      <c r="D188" s="142"/>
      <c r="E188" s="47"/>
      <c r="F188" s="24"/>
      <c r="G188" s="25"/>
      <c r="H188" s="26"/>
      <c r="I188" s="27"/>
      <c r="J188" s="28"/>
      <c r="K188" s="29"/>
      <c r="L188" s="30"/>
      <c r="M188" s="31"/>
      <c r="N188" s="32"/>
      <c r="O188" s="24"/>
      <c r="P188" s="33"/>
      <c r="Q188" s="34"/>
      <c r="R188" s="35"/>
      <c r="S188" s="36"/>
      <c r="T188" s="37"/>
      <c r="U188" s="38"/>
      <c r="V188" s="22"/>
    </row>
    <row r="189" spans="1:22" x14ac:dyDescent="0.25">
      <c r="A189" s="169"/>
      <c r="B189" s="148" t="s">
        <v>399</v>
      </c>
      <c r="C189" s="23"/>
      <c r="D189" s="142"/>
      <c r="E189" s="47"/>
      <c r="F189" s="24"/>
      <c r="G189" s="25"/>
      <c r="H189" s="26"/>
      <c r="I189" s="27"/>
      <c r="J189" s="28"/>
      <c r="K189" s="29"/>
      <c r="L189" s="30"/>
      <c r="M189" s="31"/>
      <c r="N189" s="32"/>
      <c r="O189" s="24"/>
      <c r="P189" s="33"/>
      <c r="Q189" s="34"/>
      <c r="R189" s="35"/>
      <c r="S189" s="36"/>
      <c r="T189" s="37"/>
      <c r="U189" s="38"/>
      <c r="V189" s="22"/>
    </row>
    <row r="190" spans="1:22" x14ac:dyDescent="0.25">
      <c r="A190" s="169"/>
      <c r="B190" s="148" t="s">
        <v>400</v>
      </c>
      <c r="C190" s="23"/>
      <c r="D190" s="142"/>
      <c r="E190" s="47"/>
      <c r="F190" s="24"/>
      <c r="G190" s="25"/>
      <c r="H190" s="26"/>
      <c r="I190" s="27"/>
      <c r="J190" s="28"/>
      <c r="K190" s="29"/>
      <c r="L190" s="30"/>
      <c r="M190" s="31"/>
      <c r="N190" s="32"/>
      <c r="O190" s="24"/>
      <c r="P190" s="33"/>
      <c r="Q190" s="34"/>
      <c r="R190" s="35"/>
      <c r="S190" s="36"/>
      <c r="T190" s="37"/>
      <c r="U190" s="38"/>
      <c r="V190" s="22"/>
    </row>
    <row r="191" spans="1:22" x14ac:dyDescent="0.25">
      <c r="A191" s="169"/>
      <c r="B191" s="148" t="s">
        <v>401</v>
      </c>
      <c r="C191" s="23"/>
      <c r="D191" s="142"/>
      <c r="E191" s="47"/>
      <c r="F191" s="24"/>
      <c r="G191" s="25"/>
      <c r="H191" s="26"/>
      <c r="I191" s="27"/>
      <c r="J191" s="28"/>
      <c r="K191" s="29"/>
      <c r="L191" s="30"/>
      <c r="M191" s="31"/>
      <c r="N191" s="32"/>
      <c r="O191" s="24"/>
      <c r="P191" s="33"/>
      <c r="Q191" s="34"/>
      <c r="R191" s="35"/>
      <c r="S191" s="36"/>
      <c r="T191" s="37"/>
      <c r="U191" s="38"/>
      <c r="V191" s="22"/>
    </row>
    <row r="192" spans="1:22" x14ac:dyDescent="0.25">
      <c r="A192" s="169"/>
      <c r="B192" s="148" t="s">
        <v>402</v>
      </c>
      <c r="C192" s="23"/>
      <c r="D192" s="142"/>
      <c r="E192" s="47"/>
      <c r="F192" s="24"/>
      <c r="G192" s="25"/>
      <c r="H192" s="26"/>
      <c r="I192" s="27"/>
      <c r="J192" s="28"/>
      <c r="K192" s="29"/>
      <c r="L192" s="30"/>
      <c r="M192" s="31"/>
      <c r="N192" s="32"/>
      <c r="O192" s="24"/>
      <c r="P192" s="33"/>
      <c r="Q192" s="34"/>
      <c r="R192" s="35"/>
      <c r="S192" s="36"/>
      <c r="T192" s="37"/>
      <c r="U192" s="38"/>
      <c r="V192" s="22"/>
    </row>
    <row r="193" spans="1:22" x14ac:dyDescent="0.25">
      <c r="A193" s="169"/>
      <c r="B193" s="148" t="s">
        <v>403</v>
      </c>
      <c r="C193" s="23"/>
      <c r="D193" s="142"/>
      <c r="E193" s="47"/>
      <c r="F193" s="24"/>
      <c r="G193" s="25"/>
      <c r="H193" s="26"/>
      <c r="I193" s="27"/>
      <c r="J193" s="28"/>
      <c r="K193" s="29"/>
      <c r="L193" s="30"/>
      <c r="M193" s="31"/>
      <c r="N193" s="32"/>
      <c r="O193" s="24"/>
      <c r="P193" s="33"/>
      <c r="Q193" s="34"/>
      <c r="R193" s="35"/>
      <c r="S193" s="36"/>
      <c r="T193" s="37"/>
      <c r="U193" s="38"/>
      <c r="V193" s="22"/>
    </row>
    <row r="194" spans="1:22" x14ac:dyDescent="0.25">
      <c r="A194" s="169"/>
      <c r="B194" s="148" t="s">
        <v>404</v>
      </c>
      <c r="C194" s="23"/>
      <c r="D194" s="142"/>
      <c r="E194" s="47"/>
      <c r="F194" s="24"/>
      <c r="G194" s="25"/>
      <c r="H194" s="26"/>
      <c r="I194" s="27"/>
      <c r="J194" s="28"/>
      <c r="K194" s="29"/>
      <c r="L194" s="30"/>
      <c r="M194" s="31"/>
      <c r="N194" s="32"/>
      <c r="O194" s="24"/>
      <c r="P194" s="33"/>
      <c r="Q194" s="34"/>
      <c r="R194" s="35"/>
      <c r="S194" s="36"/>
      <c r="T194" s="37"/>
      <c r="U194" s="38"/>
      <c r="V194" s="22"/>
    </row>
    <row r="195" spans="1:22" x14ac:dyDescent="0.25">
      <c r="A195" s="169"/>
      <c r="B195" s="148" t="s">
        <v>405</v>
      </c>
      <c r="C195" s="23"/>
      <c r="D195" s="142"/>
      <c r="E195" s="47"/>
      <c r="F195" s="24"/>
      <c r="G195" s="25"/>
      <c r="H195" s="26"/>
      <c r="I195" s="27"/>
      <c r="J195" s="28"/>
      <c r="K195" s="29"/>
      <c r="L195" s="30"/>
      <c r="M195" s="31"/>
      <c r="N195" s="32"/>
      <c r="O195" s="24"/>
      <c r="P195" s="33"/>
      <c r="Q195" s="34"/>
      <c r="R195" s="35"/>
      <c r="S195" s="36"/>
      <c r="T195" s="37"/>
      <c r="U195" s="38"/>
      <c r="V195" s="22"/>
    </row>
    <row r="196" spans="1:22" x14ac:dyDescent="0.25">
      <c r="A196" s="169"/>
      <c r="B196" s="148" t="s">
        <v>406</v>
      </c>
      <c r="C196" s="23"/>
      <c r="D196" s="142"/>
      <c r="E196" s="47"/>
      <c r="F196" s="24"/>
      <c r="G196" s="25"/>
      <c r="H196" s="26"/>
      <c r="I196" s="27"/>
      <c r="J196" s="28"/>
      <c r="K196" s="29"/>
      <c r="L196" s="30"/>
      <c r="M196" s="31"/>
      <c r="N196" s="32"/>
      <c r="O196" s="24"/>
      <c r="P196" s="33"/>
      <c r="Q196" s="34"/>
      <c r="R196" s="35"/>
      <c r="S196" s="36"/>
      <c r="T196" s="37"/>
      <c r="U196" s="38"/>
      <c r="V196" s="22"/>
    </row>
    <row r="197" spans="1:22" x14ac:dyDescent="0.25">
      <c r="A197" s="169"/>
      <c r="B197" s="148" t="s">
        <v>407</v>
      </c>
      <c r="C197" s="23"/>
      <c r="D197" s="142"/>
      <c r="E197" s="47"/>
      <c r="F197" s="24"/>
      <c r="G197" s="25"/>
      <c r="H197" s="26"/>
      <c r="I197" s="27"/>
      <c r="J197" s="28"/>
      <c r="K197" s="29"/>
      <c r="L197" s="30"/>
      <c r="M197" s="31"/>
      <c r="N197" s="32"/>
      <c r="O197" s="24"/>
      <c r="P197" s="33"/>
      <c r="Q197" s="34"/>
      <c r="R197" s="35"/>
      <c r="S197" s="36"/>
      <c r="T197" s="37"/>
      <c r="U197" s="38"/>
      <c r="V197" s="22"/>
    </row>
    <row r="198" spans="1:22" x14ac:dyDescent="0.25">
      <c r="A198" s="169"/>
      <c r="B198" s="148" t="s">
        <v>408</v>
      </c>
      <c r="C198" s="23"/>
      <c r="D198" s="142"/>
      <c r="E198" s="47"/>
      <c r="F198" s="24"/>
      <c r="G198" s="25"/>
      <c r="H198" s="26"/>
      <c r="I198" s="27"/>
      <c r="J198" s="28"/>
      <c r="K198" s="29"/>
      <c r="L198" s="30"/>
      <c r="M198" s="31"/>
      <c r="N198" s="32"/>
      <c r="O198" s="24"/>
      <c r="P198" s="33"/>
      <c r="Q198" s="34"/>
      <c r="R198" s="35"/>
      <c r="S198" s="36"/>
      <c r="T198" s="37"/>
      <c r="U198" s="38"/>
      <c r="V198" s="22"/>
    </row>
    <row r="199" spans="1:22" x14ac:dyDescent="0.25">
      <c r="A199" s="169"/>
      <c r="B199" s="148" t="s">
        <v>409</v>
      </c>
      <c r="C199" s="23"/>
      <c r="D199" s="142"/>
      <c r="E199" s="47"/>
      <c r="F199" s="24"/>
      <c r="G199" s="25"/>
      <c r="H199" s="26"/>
      <c r="I199" s="27"/>
      <c r="J199" s="28"/>
      <c r="K199" s="29"/>
      <c r="L199" s="30"/>
      <c r="M199" s="31"/>
      <c r="N199" s="32"/>
      <c r="O199" s="24"/>
      <c r="P199" s="33"/>
      <c r="Q199" s="34"/>
      <c r="R199" s="35"/>
      <c r="S199" s="36"/>
      <c r="T199" s="37"/>
      <c r="U199" s="38"/>
      <c r="V199" s="22"/>
    </row>
    <row r="200" spans="1:22" x14ac:dyDescent="0.25">
      <c r="A200" s="169"/>
      <c r="B200" s="148" t="s">
        <v>410</v>
      </c>
      <c r="C200" s="23"/>
      <c r="D200" s="142"/>
      <c r="E200" s="47"/>
      <c r="F200" s="24"/>
      <c r="G200" s="25"/>
      <c r="H200" s="26"/>
      <c r="I200" s="27"/>
      <c r="J200" s="28"/>
      <c r="K200" s="29"/>
      <c r="L200" s="30"/>
      <c r="M200" s="31"/>
      <c r="N200" s="32"/>
      <c r="O200" s="24"/>
      <c r="P200" s="33"/>
      <c r="Q200" s="34"/>
      <c r="R200" s="35"/>
      <c r="S200" s="36"/>
      <c r="T200" s="37"/>
      <c r="U200" s="38"/>
      <c r="V200" s="22"/>
    </row>
    <row r="201" spans="1:22" x14ac:dyDescent="0.25">
      <c r="A201" s="169"/>
      <c r="B201" s="148" t="s">
        <v>411</v>
      </c>
      <c r="C201" s="23"/>
      <c r="D201" s="142"/>
      <c r="E201" s="47"/>
      <c r="F201" s="24"/>
      <c r="G201" s="25"/>
      <c r="H201" s="26"/>
      <c r="I201" s="27"/>
      <c r="J201" s="28"/>
      <c r="K201" s="29"/>
      <c r="L201" s="30"/>
      <c r="M201" s="31"/>
      <c r="N201" s="32"/>
      <c r="O201" s="24"/>
      <c r="P201" s="33"/>
      <c r="Q201" s="34"/>
      <c r="R201" s="35"/>
      <c r="S201" s="36"/>
      <c r="T201" s="37"/>
      <c r="U201" s="38"/>
      <c r="V201" s="22"/>
    </row>
    <row r="202" spans="1:22" x14ac:dyDescent="0.25">
      <c r="A202" s="169"/>
      <c r="B202" s="148" t="s">
        <v>412</v>
      </c>
      <c r="C202" s="23"/>
      <c r="D202" s="142"/>
      <c r="E202" s="47"/>
      <c r="F202" s="24"/>
      <c r="G202" s="25"/>
      <c r="H202" s="26"/>
      <c r="I202" s="27"/>
      <c r="J202" s="28"/>
      <c r="K202" s="29"/>
      <c r="L202" s="30"/>
      <c r="M202" s="31"/>
      <c r="N202" s="32"/>
      <c r="O202" s="24"/>
      <c r="P202" s="33"/>
      <c r="Q202" s="34"/>
      <c r="R202" s="35"/>
      <c r="S202" s="36"/>
      <c r="T202" s="37"/>
      <c r="U202" s="38"/>
      <c r="V202" s="22"/>
    </row>
    <row r="203" spans="1:22" x14ac:dyDescent="0.25">
      <c r="A203" s="169"/>
      <c r="B203" s="148" t="s">
        <v>413</v>
      </c>
      <c r="C203" s="23"/>
      <c r="D203" s="142"/>
      <c r="E203" s="47"/>
      <c r="F203" s="24"/>
      <c r="G203" s="25"/>
      <c r="H203" s="26"/>
      <c r="I203" s="27"/>
      <c r="J203" s="28"/>
      <c r="K203" s="29"/>
      <c r="L203" s="30"/>
      <c r="M203" s="31"/>
      <c r="N203" s="32"/>
      <c r="O203" s="24"/>
      <c r="P203" s="33"/>
      <c r="Q203" s="34"/>
      <c r="R203" s="35"/>
      <c r="S203" s="36"/>
      <c r="T203" s="37"/>
      <c r="U203" s="38"/>
      <c r="V203" s="22"/>
    </row>
    <row r="204" spans="1:22" x14ac:dyDescent="0.25">
      <c r="A204" s="169"/>
      <c r="B204" s="148" t="s">
        <v>414</v>
      </c>
      <c r="C204" s="23"/>
      <c r="D204" s="142"/>
      <c r="E204" s="47"/>
      <c r="F204" s="24"/>
      <c r="G204" s="25"/>
      <c r="H204" s="26"/>
      <c r="I204" s="27"/>
      <c r="J204" s="28"/>
      <c r="K204" s="29"/>
      <c r="L204" s="30"/>
      <c r="M204" s="31"/>
      <c r="N204" s="32"/>
      <c r="O204" s="24"/>
      <c r="P204" s="33"/>
      <c r="Q204" s="34"/>
      <c r="R204" s="35"/>
      <c r="S204" s="36"/>
      <c r="T204" s="37"/>
      <c r="U204" s="38"/>
      <c r="V204" s="22"/>
    </row>
    <row r="205" spans="1:22" x14ac:dyDescent="0.25">
      <c r="A205" s="169"/>
      <c r="B205" s="148" t="s">
        <v>415</v>
      </c>
      <c r="C205" s="23"/>
      <c r="D205" s="142"/>
      <c r="E205" s="47"/>
      <c r="F205" s="24"/>
      <c r="G205" s="25"/>
      <c r="H205" s="26"/>
      <c r="I205" s="27"/>
      <c r="J205" s="28"/>
      <c r="K205" s="29"/>
      <c r="L205" s="30"/>
      <c r="M205" s="31"/>
      <c r="N205" s="32"/>
      <c r="O205" s="24"/>
      <c r="P205" s="33"/>
      <c r="Q205" s="34"/>
      <c r="R205" s="35"/>
      <c r="S205" s="36"/>
      <c r="T205" s="37"/>
      <c r="U205" s="38"/>
      <c r="V205" s="22"/>
    </row>
    <row r="206" spans="1:22" x14ac:dyDescent="0.25">
      <c r="A206" s="169"/>
      <c r="B206" s="148" t="s">
        <v>416</v>
      </c>
      <c r="C206" s="23"/>
      <c r="D206" s="142"/>
      <c r="E206" s="47"/>
      <c r="F206" s="24"/>
      <c r="G206" s="25"/>
      <c r="H206" s="26"/>
      <c r="I206" s="27"/>
      <c r="J206" s="28"/>
      <c r="K206" s="29"/>
      <c r="L206" s="30"/>
      <c r="M206" s="31"/>
      <c r="N206" s="32"/>
      <c r="O206" s="24"/>
      <c r="P206" s="33"/>
      <c r="Q206" s="34"/>
      <c r="R206" s="35"/>
      <c r="S206" s="36"/>
      <c r="T206" s="37"/>
      <c r="U206" s="38"/>
      <c r="V206" s="22"/>
    </row>
    <row r="207" spans="1:22" x14ac:dyDescent="0.25">
      <c r="A207" s="169"/>
      <c r="B207" s="148" t="s">
        <v>417</v>
      </c>
      <c r="C207" s="23"/>
      <c r="D207" s="142"/>
      <c r="E207" s="47"/>
      <c r="F207" s="24"/>
      <c r="G207" s="25"/>
      <c r="H207" s="26"/>
      <c r="I207" s="27"/>
      <c r="J207" s="28"/>
      <c r="K207" s="29"/>
      <c r="L207" s="30"/>
      <c r="M207" s="31"/>
      <c r="N207" s="32"/>
      <c r="O207" s="24"/>
      <c r="P207" s="33"/>
      <c r="Q207" s="34"/>
      <c r="R207" s="35"/>
      <c r="S207" s="36"/>
      <c r="T207" s="37"/>
      <c r="U207" s="38"/>
      <c r="V207" s="22"/>
    </row>
    <row r="208" spans="1:22" x14ac:dyDescent="0.25">
      <c r="A208" s="169"/>
      <c r="B208" s="148" t="s">
        <v>418</v>
      </c>
      <c r="C208" s="23"/>
      <c r="D208" s="142"/>
      <c r="E208" s="47"/>
      <c r="F208" s="24"/>
      <c r="G208" s="25"/>
      <c r="H208" s="26"/>
      <c r="I208" s="27"/>
      <c r="J208" s="28"/>
      <c r="K208" s="29"/>
      <c r="L208" s="30"/>
      <c r="M208" s="31"/>
      <c r="N208" s="32"/>
      <c r="O208" s="24"/>
      <c r="P208" s="33"/>
      <c r="Q208" s="34"/>
      <c r="R208" s="35"/>
      <c r="S208" s="36"/>
      <c r="T208" s="37"/>
      <c r="U208" s="38"/>
      <c r="V208" s="22"/>
    </row>
    <row r="209" spans="1:22" x14ac:dyDescent="0.25">
      <c r="A209" s="169"/>
      <c r="B209" s="148" t="s">
        <v>419</v>
      </c>
      <c r="C209" s="23"/>
      <c r="D209" s="142"/>
      <c r="E209" s="47"/>
      <c r="F209" s="24"/>
      <c r="G209" s="25"/>
      <c r="H209" s="26"/>
      <c r="I209" s="27"/>
      <c r="J209" s="28"/>
      <c r="K209" s="29"/>
      <c r="L209" s="30"/>
      <c r="M209" s="31"/>
      <c r="N209" s="32"/>
      <c r="O209" s="24"/>
      <c r="P209" s="33"/>
      <c r="Q209" s="34"/>
      <c r="R209" s="35"/>
      <c r="S209" s="36"/>
      <c r="T209" s="37"/>
      <c r="U209" s="38"/>
      <c r="V209" s="22"/>
    </row>
    <row r="210" spans="1:22" x14ac:dyDescent="0.25">
      <c r="A210" s="169"/>
      <c r="B210" s="148" t="s">
        <v>420</v>
      </c>
      <c r="C210" s="23"/>
      <c r="D210" s="142"/>
      <c r="E210" s="47"/>
      <c r="F210" s="24"/>
      <c r="G210" s="25"/>
      <c r="H210" s="26"/>
      <c r="I210" s="27"/>
      <c r="J210" s="28"/>
      <c r="K210" s="29"/>
      <c r="L210" s="30"/>
      <c r="M210" s="31"/>
      <c r="N210" s="32"/>
      <c r="O210" s="24"/>
      <c r="P210" s="33"/>
      <c r="Q210" s="34"/>
      <c r="R210" s="35"/>
      <c r="S210" s="36"/>
      <c r="T210" s="37"/>
      <c r="U210" s="38"/>
      <c r="V210" s="22"/>
    </row>
    <row r="211" spans="1:22" x14ac:dyDescent="0.25">
      <c r="A211" s="169"/>
      <c r="B211" s="148" t="s">
        <v>421</v>
      </c>
      <c r="C211" s="23"/>
      <c r="D211" s="142"/>
      <c r="E211" s="47"/>
      <c r="F211" s="24"/>
      <c r="G211" s="25"/>
      <c r="H211" s="26"/>
      <c r="I211" s="27"/>
      <c r="J211" s="28"/>
      <c r="K211" s="29"/>
      <c r="L211" s="30"/>
      <c r="M211" s="31"/>
      <c r="N211" s="32"/>
      <c r="O211" s="24"/>
      <c r="P211" s="33"/>
      <c r="Q211" s="34"/>
      <c r="R211" s="35"/>
      <c r="S211" s="36"/>
      <c r="T211" s="37"/>
      <c r="U211" s="38"/>
      <c r="V211" s="22"/>
    </row>
    <row r="212" spans="1:22" x14ac:dyDescent="0.25">
      <c r="A212" s="169"/>
      <c r="B212" s="148" t="s">
        <v>422</v>
      </c>
      <c r="C212" s="23"/>
      <c r="D212" s="142"/>
      <c r="E212" s="47"/>
      <c r="F212" s="24"/>
      <c r="G212" s="25"/>
      <c r="H212" s="26"/>
      <c r="I212" s="27"/>
      <c r="J212" s="28"/>
      <c r="K212" s="29"/>
      <c r="L212" s="30"/>
      <c r="M212" s="31"/>
      <c r="N212" s="32"/>
      <c r="O212" s="24"/>
      <c r="P212" s="33"/>
      <c r="Q212" s="34"/>
      <c r="R212" s="35"/>
      <c r="S212" s="36"/>
      <c r="T212" s="37"/>
      <c r="U212" s="38"/>
      <c r="V212" s="22"/>
    </row>
    <row r="213" spans="1:22" x14ac:dyDescent="0.25">
      <c r="A213" s="169"/>
      <c r="B213" s="148" t="s">
        <v>423</v>
      </c>
      <c r="C213" s="23"/>
      <c r="D213" s="142"/>
      <c r="E213" s="47"/>
      <c r="F213" s="24"/>
      <c r="G213" s="25"/>
      <c r="H213" s="26"/>
      <c r="I213" s="27"/>
      <c r="J213" s="28"/>
      <c r="K213" s="29"/>
      <c r="L213" s="30"/>
      <c r="M213" s="31"/>
      <c r="N213" s="32"/>
      <c r="O213" s="24"/>
      <c r="P213" s="33"/>
      <c r="Q213" s="34"/>
      <c r="R213" s="35"/>
      <c r="S213" s="36"/>
      <c r="T213" s="37"/>
      <c r="U213" s="38"/>
      <c r="V213" s="22"/>
    </row>
    <row r="214" spans="1:22" x14ac:dyDescent="0.25">
      <c r="E214" s="154"/>
    </row>
    <row r="215" spans="1:22" x14ac:dyDescent="0.25">
      <c r="E215" s="154"/>
    </row>
    <row r="216" spans="1:22" x14ac:dyDescent="0.25">
      <c r="E216" s="154"/>
    </row>
    <row r="217" spans="1:22" x14ac:dyDescent="0.25">
      <c r="E217" s="154"/>
    </row>
    <row r="218" spans="1:22" x14ac:dyDescent="0.25">
      <c r="E218" s="154"/>
    </row>
    <row r="219" spans="1:22" x14ac:dyDescent="0.25">
      <c r="E219" s="154"/>
    </row>
    <row r="220" spans="1:22" x14ac:dyDescent="0.25">
      <c r="E220" s="154"/>
    </row>
    <row r="221" spans="1:22" x14ac:dyDescent="0.25">
      <c r="E221" s="154"/>
    </row>
    <row r="222" spans="1:22" x14ac:dyDescent="0.25">
      <c r="E222" s="154"/>
    </row>
    <row r="223" spans="1:22" x14ac:dyDescent="0.25">
      <c r="E223" s="154"/>
    </row>
    <row r="224" spans="1:22" x14ac:dyDescent="0.25">
      <c r="E224" s="154"/>
    </row>
    <row r="225" spans="5:5" x14ac:dyDescent="0.25">
      <c r="E225" s="154"/>
    </row>
    <row r="226" spans="5:5" x14ac:dyDescent="0.25">
      <c r="E226" s="154"/>
    </row>
    <row r="227" spans="5:5" x14ac:dyDescent="0.25">
      <c r="E227" s="154"/>
    </row>
    <row r="228" spans="5:5" x14ac:dyDescent="0.25">
      <c r="E228" s="154"/>
    </row>
    <row r="229" spans="5:5" x14ac:dyDescent="0.25">
      <c r="E229" s="154"/>
    </row>
    <row r="230" spans="5:5" x14ac:dyDescent="0.25">
      <c r="E230" s="154"/>
    </row>
    <row r="231" spans="5:5" x14ac:dyDescent="0.25">
      <c r="E231" s="154"/>
    </row>
    <row r="232" spans="5:5" x14ac:dyDescent="0.25">
      <c r="E232" s="154"/>
    </row>
    <row r="233" spans="5:5" x14ac:dyDescent="0.25">
      <c r="E233" s="154"/>
    </row>
    <row r="234" spans="5:5" x14ac:dyDescent="0.25">
      <c r="E234" s="154"/>
    </row>
    <row r="235" spans="5:5" x14ac:dyDescent="0.25">
      <c r="E235" s="154"/>
    </row>
    <row r="236" spans="5:5" x14ac:dyDescent="0.25">
      <c r="E236" s="154"/>
    </row>
    <row r="237" spans="5:5" x14ac:dyDescent="0.25">
      <c r="E237" s="154"/>
    </row>
    <row r="238" spans="5:5" x14ac:dyDescent="0.25">
      <c r="E238" s="154"/>
    </row>
    <row r="239" spans="5:5" x14ac:dyDescent="0.25">
      <c r="E239" s="154"/>
    </row>
  </sheetData>
  <mergeCells count="1">
    <mergeCell ref="A2:A213"/>
  </mergeCells>
  <hyperlinks>
    <hyperlink ref="D144" display="https://www.aliexpress.com/item/1005003628962029.html?spm=a2g0o.cart.0.0.777738daA2R03f&amp;mp=1&amp;pdp_npi=6%40dis%21GBP%21GBP%201.31%21GBP%201.31%21%21GBP%201.31%21%21%21%40210385db17695734898988383e20dc%2112000031209925049%21ct%21UK%214911257576%21%211%210%21"/>
    <hyperlink ref="D42" r:id="rId1"/>
    <hyperlink ref="D44" r:id="rId2"/>
    <hyperlink ref="D50" r:id="rId3"/>
    <hyperlink ref="D59" r:id="rId4"/>
    <hyperlink ref="D63" r:id="rId5"/>
    <hyperlink ref="D43" r:id="rId6"/>
    <hyperlink ref="D51" r:id="rId7"/>
    <hyperlink ref="D60" r:id="rId8"/>
    <hyperlink ref="D41" r:id="rId9"/>
    <hyperlink ref="D46" r:id="rId10"/>
    <hyperlink ref="D47" r:id="rId11"/>
    <hyperlink ref="D65" r:id="rId12"/>
    <hyperlink ref="D66" r:id="rId13"/>
    <hyperlink ref="D55" r:id="rId14"/>
    <hyperlink ref="D56" r:id="rId15"/>
    <hyperlink ref="D67" r:id="rId16"/>
    <hyperlink ref="D57" r:id="rId17"/>
    <hyperlink ref="D48" r:id="rId18"/>
    <hyperlink ref="D130" r:id="rId19"/>
    <hyperlink ref="D68" r:id="rId20"/>
    <hyperlink ref="D69" r:id="rId21"/>
    <hyperlink ref="D74" r:id="rId22"/>
    <hyperlink ref="D75" r:id="rId23"/>
    <hyperlink ref="D71" r:id="rId24"/>
    <hyperlink ref="D73" r:id="rId25"/>
    <hyperlink ref="D83" r:id="rId26"/>
    <hyperlink ref="D39" r:id="rId27"/>
    <hyperlink ref="D84" r:id="rId28"/>
    <hyperlink ref="D85" r:id="rId29"/>
    <hyperlink ref="D86" r:id="rId30"/>
    <hyperlink ref="D87" r:id="rId31"/>
    <hyperlink ref="D88" r:id="rId32"/>
    <hyperlink ref="D90" r:id="rId33"/>
    <hyperlink ref="D89" r:id="rId34"/>
    <hyperlink ref="D92" r:id="rId35"/>
    <hyperlink ref="D91" r:id="rId36"/>
    <hyperlink ref="D93" r:id="rId37"/>
    <hyperlink ref="D94" r:id="rId38"/>
    <hyperlink ref="D96" r:id="rId39"/>
    <hyperlink ref="D97" r:id="rId40"/>
    <hyperlink ref="D98" r:id="rId41"/>
    <hyperlink ref="D99" r:id="rId42"/>
    <hyperlink ref="D100" r:id="rId43"/>
    <hyperlink ref="D101" r:id="rId44"/>
    <hyperlink ref="D102" r:id="rId45"/>
    <hyperlink ref="D113" r:id="rId46"/>
    <hyperlink ref="D114" r:id="rId47"/>
    <hyperlink ref="D115" r:id="rId48"/>
    <hyperlink ref="D109" r:id="rId49"/>
    <hyperlink ref="D145" r:id="rId50"/>
    <hyperlink ref="D150" r:id="rId51"/>
  </hyperlinks>
  <pageMargins left="0.7" right="0.7" top="0.75" bottom="0.75" header="0.3" footer="0.3"/>
  <pageSetup paperSize="9" orientation="portrait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9"/>
  <sheetViews>
    <sheetView topLeftCell="A16" workbookViewId="0">
      <selection activeCell="C39" sqref="C39"/>
    </sheetView>
  </sheetViews>
  <sheetFormatPr defaultRowHeight="15" x14ac:dyDescent="0.25"/>
  <cols>
    <col min="13" max="13" width="9.140625" customWidth="1"/>
  </cols>
  <sheetData>
    <row r="39" spans="3:3" ht="29.25" x14ac:dyDescent="0.4">
      <c r="C39" s="5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"/>
  <sheetViews>
    <sheetView topLeftCell="F29" zoomScale="55" zoomScaleNormal="55" workbookViewId="0">
      <selection activeCell="L42" sqref="L42"/>
    </sheetView>
  </sheetViews>
  <sheetFormatPr defaultRowHeight="15" x14ac:dyDescent="0.25"/>
  <cols>
    <col min="1" max="1" width="26.85546875" style="48" customWidth="1"/>
    <col min="2" max="2" width="8.85546875" style="7" customWidth="1"/>
    <col min="3" max="3" width="5.85546875" style="3" customWidth="1"/>
    <col min="4" max="4" width="3.5703125" style="9" customWidth="1"/>
    <col min="5" max="5" width="10.7109375" style="10" customWidth="1"/>
    <col min="6" max="6" width="59.85546875" style="8" customWidth="1"/>
    <col min="7" max="7" width="16.85546875" style="11" customWidth="1"/>
    <col min="8" max="8" width="30.140625" style="13" customWidth="1"/>
    <col min="9" max="9" width="13.140625" style="14" customWidth="1"/>
    <col min="10" max="10" width="23.28515625" style="4" customWidth="1"/>
    <col min="11" max="11" width="14.85546875" style="2" customWidth="1"/>
    <col min="12" max="12" width="13.140625" style="5" customWidth="1"/>
    <col min="13" max="13" width="12.42578125" style="6" customWidth="1"/>
    <col min="14" max="14" width="8.85546875" style="10" customWidth="1"/>
    <col min="15" max="15" width="9.140625" style="15" customWidth="1"/>
    <col min="16" max="16" width="9.42578125" style="17" customWidth="1"/>
    <col min="17" max="17" width="13.5703125" style="16" customWidth="1"/>
    <col min="18" max="18" width="10" style="21" customWidth="1"/>
    <col min="19" max="19" width="10.28515625" style="20" customWidth="1"/>
    <col min="20" max="20" width="9.140625" style="18"/>
    <col min="21" max="21" width="9.140625" style="19"/>
    <col min="22" max="16384" width="9.140625" style="1"/>
  </cols>
  <sheetData>
    <row r="1" spans="1:21" s="12" customFormat="1" ht="25.5" x14ac:dyDescent="0.25">
      <c r="A1" s="54" t="s">
        <v>21</v>
      </c>
      <c r="B1" s="55" t="s">
        <v>0</v>
      </c>
      <c r="C1" s="56" t="s">
        <v>22</v>
      </c>
      <c r="D1" s="44" t="s">
        <v>43</v>
      </c>
      <c r="E1" s="57" t="s">
        <v>1</v>
      </c>
      <c r="F1" s="58" t="s">
        <v>2</v>
      </c>
      <c r="G1" s="59" t="s">
        <v>3</v>
      </c>
      <c r="H1" s="60" t="s">
        <v>4</v>
      </c>
      <c r="I1" s="61" t="s">
        <v>5</v>
      </c>
      <c r="J1" s="62" t="s">
        <v>6</v>
      </c>
      <c r="K1" s="63" t="s">
        <v>7</v>
      </c>
      <c r="L1" s="64" t="s">
        <v>8</v>
      </c>
      <c r="M1" s="65" t="s">
        <v>9</v>
      </c>
      <c r="N1" s="57" t="s">
        <v>10</v>
      </c>
      <c r="O1" s="66" t="s">
        <v>11</v>
      </c>
      <c r="P1" s="67" t="s">
        <v>12</v>
      </c>
      <c r="Q1" s="68" t="s">
        <v>13</v>
      </c>
      <c r="R1" s="69" t="s">
        <v>14</v>
      </c>
      <c r="S1" s="70" t="s">
        <v>15</v>
      </c>
      <c r="T1" s="71" t="s">
        <v>17</v>
      </c>
      <c r="U1" s="72" t="s">
        <v>19</v>
      </c>
    </row>
    <row r="2" spans="1:21" ht="12.75" x14ac:dyDescent="0.25">
      <c r="A2" s="170" t="s">
        <v>158</v>
      </c>
      <c r="B2" s="74"/>
      <c r="C2" s="42" t="s">
        <v>43</v>
      </c>
      <c r="D2" s="47" t="s">
        <v>43</v>
      </c>
      <c r="E2" s="75" t="s">
        <v>108</v>
      </c>
      <c r="F2" s="25" t="s">
        <v>24</v>
      </c>
      <c r="G2" s="26"/>
      <c r="H2" s="27">
        <v>1</v>
      </c>
      <c r="I2" s="28">
        <v>0</v>
      </c>
      <c r="J2" s="29" t="s">
        <v>23</v>
      </c>
      <c r="K2" s="30" t="s">
        <v>43</v>
      </c>
      <c r="L2" s="40">
        <v>0.05</v>
      </c>
      <c r="M2" s="32">
        <v>3</v>
      </c>
      <c r="N2" s="24" t="s">
        <v>26</v>
      </c>
      <c r="O2" s="76" t="s">
        <v>25</v>
      </c>
      <c r="P2" s="34"/>
      <c r="Q2" s="35"/>
      <c r="R2" s="36"/>
      <c r="S2" s="37"/>
      <c r="T2" s="38"/>
      <c r="U2" s="22"/>
    </row>
    <row r="3" spans="1:21" ht="12.75" x14ac:dyDescent="0.25">
      <c r="A3" s="171"/>
      <c r="B3" s="39"/>
      <c r="C3" s="42" t="s">
        <v>97</v>
      </c>
      <c r="D3" s="47" t="s">
        <v>43</v>
      </c>
      <c r="E3" s="24" t="s">
        <v>107</v>
      </c>
      <c r="F3" s="41" t="s">
        <v>96</v>
      </c>
      <c r="G3" s="26"/>
      <c r="H3" s="27">
        <v>2</v>
      </c>
      <c r="I3" s="28">
        <v>0</v>
      </c>
      <c r="J3" s="77" t="s">
        <v>27</v>
      </c>
      <c r="K3" s="30" t="s">
        <v>95</v>
      </c>
      <c r="L3" s="40">
        <v>0.01</v>
      </c>
      <c r="M3" s="32" t="s">
        <v>98</v>
      </c>
      <c r="N3" s="24" t="s">
        <v>28</v>
      </c>
      <c r="O3" s="33"/>
      <c r="P3" s="34"/>
      <c r="Q3" s="35"/>
      <c r="R3" s="52">
        <v>2.56</v>
      </c>
      <c r="S3" s="111">
        <f>H3*R3</f>
        <v>5.12</v>
      </c>
      <c r="T3" s="38"/>
      <c r="U3" s="22"/>
    </row>
    <row r="4" spans="1:21" x14ac:dyDescent="0.25">
      <c r="A4" s="171"/>
      <c r="B4" s="39"/>
      <c r="C4" s="49" t="s">
        <v>131</v>
      </c>
      <c r="D4" s="47" t="s">
        <v>43</v>
      </c>
      <c r="E4" s="24" t="s">
        <v>106</v>
      </c>
      <c r="F4" s="41" t="s">
        <v>130</v>
      </c>
      <c r="G4" s="26"/>
      <c r="H4" s="27">
        <v>1</v>
      </c>
      <c r="I4" s="28">
        <v>0</v>
      </c>
      <c r="J4" s="77" t="s">
        <v>129</v>
      </c>
      <c r="K4" s="30">
        <v>27000</v>
      </c>
      <c r="L4" s="40">
        <v>0.01</v>
      </c>
      <c r="M4" s="32" t="s">
        <v>94</v>
      </c>
      <c r="N4" s="24" t="s">
        <v>26</v>
      </c>
      <c r="O4" s="33"/>
      <c r="P4" s="34"/>
      <c r="Q4" s="35"/>
      <c r="R4" s="36"/>
      <c r="S4" s="37"/>
      <c r="T4" s="38"/>
      <c r="U4" s="22"/>
    </row>
    <row r="5" spans="1:21" ht="12.75" x14ac:dyDescent="0.25">
      <c r="A5" s="171"/>
      <c r="B5" s="23"/>
      <c r="C5" s="42" t="s">
        <v>43</v>
      </c>
      <c r="D5" s="47" t="s">
        <v>43</v>
      </c>
      <c r="E5" s="24" t="s">
        <v>105</v>
      </c>
      <c r="F5" s="25" t="s">
        <v>126</v>
      </c>
      <c r="G5" s="26"/>
      <c r="H5" s="27">
        <v>1</v>
      </c>
      <c r="I5" s="28">
        <v>0</v>
      </c>
      <c r="J5" s="77" t="s">
        <v>30</v>
      </c>
      <c r="K5" s="30" t="s">
        <v>127</v>
      </c>
      <c r="L5" s="40">
        <v>0.01</v>
      </c>
      <c r="M5" s="32" t="s">
        <v>29</v>
      </c>
      <c r="N5" s="24" t="s">
        <v>32</v>
      </c>
      <c r="O5" s="33"/>
      <c r="P5" s="34"/>
      <c r="Q5" s="35"/>
      <c r="R5" s="36"/>
      <c r="S5" s="37"/>
      <c r="T5" s="38"/>
      <c r="U5" s="22"/>
    </row>
    <row r="6" spans="1:21" ht="12.75" x14ac:dyDescent="0.25">
      <c r="A6" s="171"/>
      <c r="B6" s="78"/>
      <c r="C6" s="42" t="s">
        <v>43</v>
      </c>
      <c r="D6" s="47" t="s">
        <v>43</v>
      </c>
      <c r="E6" s="24" t="s">
        <v>103</v>
      </c>
      <c r="F6" s="25" t="s">
        <v>33</v>
      </c>
      <c r="G6" s="26"/>
      <c r="H6" s="27">
        <v>2</v>
      </c>
      <c r="I6" s="28">
        <v>0</v>
      </c>
      <c r="J6" s="79" t="s">
        <v>35</v>
      </c>
      <c r="K6" s="30" t="s">
        <v>43</v>
      </c>
      <c r="L6" s="31"/>
      <c r="M6" s="32"/>
      <c r="N6" s="24"/>
      <c r="O6" s="33"/>
      <c r="P6" s="34"/>
      <c r="Q6" s="35"/>
      <c r="R6" s="36"/>
      <c r="S6" s="37"/>
      <c r="T6" s="38"/>
      <c r="U6" s="22"/>
    </row>
    <row r="7" spans="1:21" ht="12.75" x14ac:dyDescent="0.25">
      <c r="A7" s="171"/>
      <c r="B7" s="78"/>
      <c r="C7" s="42" t="s">
        <v>43</v>
      </c>
      <c r="D7" s="47" t="s">
        <v>43</v>
      </c>
      <c r="E7" s="24" t="s">
        <v>104</v>
      </c>
      <c r="F7" s="25" t="s">
        <v>34</v>
      </c>
      <c r="G7" s="26"/>
      <c r="H7" s="27">
        <v>1</v>
      </c>
      <c r="I7" s="28">
        <v>0</v>
      </c>
      <c r="J7" s="79" t="s">
        <v>36</v>
      </c>
      <c r="K7" s="30" t="s">
        <v>43</v>
      </c>
      <c r="L7" s="31"/>
      <c r="M7" s="32"/>
      <c r="N7" s="24"/>
      <c r="O7" s="33"/>
      <c r="P7" s="34"/>
      <c r="Q7" s="35"/>
      <c r="R7" s="36"/>
      <c r="S7" s="37"/>
      <c r="T7" s="38"/>
      <c r="U7" s="22"/>
    </row>
    <row r="8" spans="1:21" ht="12.75" x14ac:dyDescent="0.25">
      <c r="A8" s="171"/>
      <c r="B8" s="39"/>
      <c r="C8" s="42" t="s">
        <v>43</v>
      </c>
      <c r="D8" s="47" t="s">
        <v>43</v>
      </c>
      <c r="E8" s="24"/>
      <c r="F8" s="41" t="s">
        <v>37</v>
      </c>
      <c r="G8" s="26"/>
      <c r="H8" s="27">
        <v>1</v>
      </c>
      <c r="I8" s="28">
        <v>0</v>
      </c>
      <c r="J8" s="77" t="s">
        <v>38</v>
      </c>
      <c r="K8" s="30" t="s">
        <v>39</v>
      </c>
      <c r="L8" s="40">
        <v>0.05</v>
      </c>
      <c r="M8" s="32" t="s">
        <v>31</v>
      </c>
      <c r="N8" s="24"/>
      <c r="O8" s="33"/>
      <c r="P8" s="34"/>
      <c r="Q8" s="35"/>
      <c r="R8" s="36"/>
      <c r="S8" s="37"/>
      <c r="T8" s="38"/>
      <c r="U8" s="22"/>
    </row>
    <row r="9" spans="1:21" ht="12.75" x14ac:dyDescent="0.25">
      <c r="A9" s="171"/>
      <c r="B9" s="23"/>
      <c r="C9" s="42" t="s">
        <v>43</v>
      </c>
      <c r="D9" s="47" t="s">
        <v>43</v>
      </c>
      <c r="E9" s="24"/>
      <c r="F9" s="25" t="s">
        <v>40</v>
      </c>
      <c r="G9" s="26"/>
      <c r="H9" s="27">
        <v>3</v>
      </c>
      <c r="I9" s="28">
        <v>0</v>
      </c>
      <c r="J9" s="77" t="s">
        <v>41</v>
      </c>
      <c r="K9" s="30" t="s">
        <v>42</v>
      </c>
      <c r="L9" s="40">
        <v>0.05</v>
      </c>
      <c r="M9" s="32" t="s">
        <v>31</v>
      </c>
      <c r="N9" s="24"/>
      <c r="O9" s="33"/>
      <c r="P9" s="34"/>
      <c r="Q9" s="35"/>
      <c r="R9" s="36"/>
      <c r="S9" s="37"/>
      <c r="T9" s="38"/>
      <c r="U9" s="22"/>
    </row>
    <row r="10" spans="1:21" ht="12.75" x14ac:dyDescent="0.25">
      <c r="A10" s="172"/>
      <c r="B10" s="23"/>
      <c r="C10" s="42" t="s">
        <v>43</v>
      </c>
      <c r="D10" s="47" t="s">
        <v>43</v>
      </c>
      <c r="E10" s="24" t="s">
        <v>102</v>
      </c>
      <c r="F10" s="25"/>
      <c r="G10" s="26" t="s">
        <v>43</v>
      </c>
      <c r="H10" s="27"/>
      <c r="I10" s="28"/>
      <c r="J10" s="29"/>
      <c r="K10" s="30" t="s">
        <v>43</v>
      </c>
      <c r="L10" s="31"/>
      <c r="M10" s="32"/>
      <c r="N10" s="24"/>
      <c r="O10" s="33"/>
      <c r="P10" s="34"/>
      <c r="Q10" s="35"/>
      <c r="R10" s="36"/>
      <c r="S10" s="37"/>
      <c r="T10" s="38"/>
      <c r="U10" s="22"/>
    </row>
    <row r="11" spans="1:21" x14ac:dyDescent="0.25">
      <c r="A11" s="179" t="s">
        <v>159</v>
      </c>
      <c r="B11" s="39"/>
      <c r="C11" s="49" t="s">
        <v>97</v>
      </c>
      <c r="D11" s="45" t="s">
        <v>43</v>
      </c>
      <c r="E11" s="24" t="s">
        <v>107</v>
      </c>
      <c r="F11" s="41" t="s">
        <v>96</v>
      </c>
      <c r="G11" s="26"/>
      <c r="H11" s="27">
        <v>2</v>
      </c>
      <c r="I11" s="28">
        <v>0</v>
      </c>
      <c r="J11" s="77" t="s">
        <v>27</v>
      </c>
      <c r="K11" s="30" t="s">
        <v>95</v>
      </c>
      <c r="L11" s="40">
        <v>0.01</v>
      </c>
      <c r="M11" s="32" t="s">
        <v>98</v>
      </c>
      <c r="N11" s="24" t="s">
        <v>28</v>
      </c>
      <c r="O11" s="33"/>
      <c r="P11" s="34"/>
      <c r="Q11" s="35"/>
      <c r="R11" s="52">
        <v>2.56</v>
      </c>
      <c r="S11" s="111">
        <f>H11*R11</f>
        <v>5.12</v>
      </c>
      <c r="T11" s="38"/>
      <c r="U11" s="22"/>
    </row>
    <row r="12" spans="1:21" x14ac:dyDescent="0.25">
      <c r="A12" s="180"/>
      <c r="B12" s="23"/>
      <c r="C12" s="49" t="s">
        <v>161</v>
      </c>
      <c r="D12" s="47" t="s">
        <v>43</v>
      </c>
      <c r="E12" s="24" t="s">
        <v>107</v>
      </c>
      <c r="F12" s="41" t="s">
        <v>166</v>
      </c>
      <c r="G12" s="26"/>
      <c r="H12" s="27">
        <v>2</v>
      </c>
      <c r="I12" s="28">
        <v>0</v>
      </c>
      <c r="J12" s="77" t="s">
        <v>168</v>
      </c>
      <c r="K12" s="30" t="s">
        <v>95</v>
      </c>
      <c r="L12" s="40">
        <v>0.01</v>
      </c>
      <c r="M12" s="32" t="s">
        <v>98</v>
      </c>
      <c r="N12" s="24" t="s">
        <v>164</v>
      </c>
      <c r="O12" s="33"/>
      <c r="P12" s="34" t="s">
        <v>165</v>
      </c>
      <c r="Q12" s="35"/>
      <c r="R12" s="52">
        <f>1.59/2</f>
        <v>0.79500000000000004</v>
      </c>
      <c r="S12" s="111">
        <f>H12*R12</f>
        <v>1.59</v>
      </c>
      <c r="T12" s="38"/>
      <c r="U12" s="22"/>
    </row>
    <row r="13" spans="1:21" x14ac:dyDescent="0.25">
      <c r="A13" s="179" t="s">
        <v>160</v>
      </c>
      <c r="B13" s="23"/>
      <c r="C13" s="49" t="s">
        <v>161</v>
      </c>
      <c r="D13" s="47" t="s">
        <v>43</v>
      </c>
      <c r="E13" s="133" t="s">
        <v>107</v>
      </c>
      <c r="F13" s="134" t="s">
        <v>167</v>
      </c>
      <c r="G13" s="135"/>
      <c r="H13" s="27">
        <v>14</v>
      </c>
      <c r="I13" s="28">
        <v>0</v>
      </c>
      <c r="J13" s="29" t="s">
        <v>155</v>
      </c>
      <c r="K13" s="30" t="s">
        <v>162</v>
      </c>
      <c r="L13" s="40">
        <v>0.01</v>
      </c>
      <c r="M13" s="32" t="s">
        <v>163</v>
      </c>
      <c r="N13" s="24" t="s">
        <v>164</v>
      </c>
      <c r="O13" s="33"/>
      <c r="P13" s="34" t="s">
        <v>165</v>
      </c>
      <c r="Q13" s="35"/>
      <c r="R13" s="52">
        <v>0.97</v>
      </c>
      <c r="S13" s="111">
        <f>R13*H13</f>
        <v>13.58</v>
      </c>
      <c r="T13" s="38"/>
      <c r="U13" s="22"/>
    </row>
    <row r="14" spans="1:21" ht="13.5" thickBot="1" x14ac:dyDescent="0.3">
      <c r="A14" s="180"/>
      <c r="B14" s="23"/>
      <c r="C14" s="42"/>
      <c r="D14" s="132"/>
      <c r="E14" s="133"/>
      <c r="F14" s="134"/>
      <c r="G14" s="135"/>
      <c r="H14" s="27"/>
      <c r="I14" s="28"/>
      <c r="J14" s="29"/>
      <c r="K14" s="30"/>
      <c r="L14" s="31"/>
      <c r="M14" s="32"/>
      <c r="N14" s="24"/>
      <c r="O14" s="33"/>
      <c r="P14" s="34"/>
      <c r="Q14" s="35"/>
      <c r="R14" s="36"/>
      <c r="S14" s="37"/>
      <c r="T14" s="38"/>
      <c r="U14" s="22"/>
    </row>
    <row r="15" spans="1:21" ht="12.75" x14ac:dyDescent="0.25">
      <c r="A15" s="96"/>
      <c r="B15" s="81"/>
      <c r="C15" s="82" t="s">
        <v>169</v>
      </c>
      <c r="D15" s="97"/>
      <c r="E15" s="174" t="s">
        <v>99</v>
      </c>
      <c r="F15" s="175"/>
      <c r="G15" s="175"/>
      <c r="H15" s="176"/>
      <c r="I15" s="138"/>
      <c r="J15" s="81" t="s">
        <v>170</v>
      </c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</row>
    <row r="16" spans="1:21" ht="12.75" x14ac:dyDescent="0.25">
      <c r="A16" s="96"/>
      <c r="B16" s="81"/>
      <c r="C16" s="82"/>
      <c r="D16" s="97"/>
      <c r="E16" s="114"/>
      <c r="F16" s="112" t="s">
        <v>100</v>
      </c>
      <c r="G16" s="112" t="s">
        <v>101</v>
      </c>
      <c r="H16" s="115" t="s">
        <v>132</v>
      </c>
      <c r="I16" s="98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</row>
    <row r="17" spans="1:22" ht="12.75" x14ac:dyDescent="0.25">
      <c r="A17" s="96"/>
      <c r="B17" s="81"/>
      <c r="C17" s="82"/>
      <c r="D17" s="97"/>
      <c r="E17" s="101"/>
      <c r="F17" s="81" t="s">
        <v>62</v>
      </c>
      <c r="G17" s="81">
        <v>1.2</v>
      </c>
      <c r="H17" s="102">
        <v>1.2</v>
      </c>
      <c r="I17" s="98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</row>
    <row r="18" spans="1:22" ht="12.75" x14ac:dyDescent="0.25">
      <c r="A18" s="96"/>
      <c r="B18" s="81"/>
      <c r="C18" s="82"/>
      <c r="D18" s="97"/>
      <c r="E18" s="101"/>
      <c r="F18" s="81" t="s">
        <v>47</v>
      </c>
      <c r="G18" s="91">
        <v>7.9999999999999996E-7</v>
      </c>
      <c r="H18" s="103">
        <v>7.9999999999999996E-7</v>
      </c>
      <c r="I18" s="98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</row>
    <row r="19" spans="1:22" ht="12.75" x14ac:dyDescent="0.25">
      <c r="A19" s="96"/>
      <c r="B19" s="81"/>
      <c r="C19" s="82"/>
      <c r="D19" s="97"/>
      <c r="E19" s="101"/>
      <c r="F19" s="81" t="s">
        <v>45</v>
      </c>
      <c r="G19" s="81">
        <v>20000</v>
      </c>
      <c r="H19" s="102">
        <v>250000</v>
      </c>
      <c r="I19" s="98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</row>
    <row r="20" spans="1:22" ht="12.75" x14ac:dyDescent="0.25">
      <c r="A20" s="96"/>
      <c r="B20" s="81"/>
      <c r="C20" s="82"/>
      <c r="D20" s="97"/>
      <c r="E20" s="101"/>
      <c r="F20" s="81" t="s">
        <v>46</v>
      </c>
      <c r="G20" s="81">
        <v>1000</v>
      </c>
      <c r="H20" s="102">
        <v>50000</v>
      </c>
      <c r="I20" s="98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</row>
    <row r="21" spans="1:22" ht="12.75" x14ac:dyDescent="0.25">
      <c r="A21" s="96"/>
      <c r="B21" s="81"/>
      <c r="C21" s="82"/>
      <c r="D21" s="97"/>
      <c r="E21" s="101"/>
      <c r="F21" s="81" t="s">
        <v>48</v>
      </c>
      <c r="G21" s="81">
        <v>2.7</v>
      </c>
      <c r="H21" s="102">
        <v>2.7</v>
      </c>
      <c r="I21" s="98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</row>
    <row r="22" spans="1:22" ht="12.75" x14ac:dyDescent="0.25">
      <c r="A22" s="96"/>
      <c r="B22" s="84"/>
      <c r="C22" s="82"/>
      <c r="D22" s="97"/>
      <c r="E22" s="101"/>
      <c r="F22" s="81" t="s">
        <v>49</v>
      </c>
      <c r="G22" s="81"/>
      <c r="H22" s="102"/>
      <c r="I22" s="98"/>
      <c r="J22" s="81"/>
      <c r="K22" s="81"/>
      <c r="L22" s="86"/>
      <c r="M22" s="81"/>
      <c r="N22" s="81"/>
      <c r="O22" s="81"/>
      <c r="P22" s="81"/>
      <c r="Q22" s="81"/>
      <c r="R22" s="81"/>
      <c r="S22" s="81"/>
      <c r="T22" s="81"/>
      <c r="U22" s="81"/>
    </row>
    <row r="23" spans="1:22" ht="12.75" x14ac:dyDescent="0.25">
      <c r="A23" s="96"/>
      <c r="B23" s="81"/>
      <c r="C23" s="82"/>
      <c r="D23" s="97"/>
      <c r="E23" s="101"/>
      <c r="F23" s="81" t="s">
        <v>50</v>
      </c>
      <c r="G23" s="27">
        <f>G19/G21</f>
        <v>7407.4074074074069</v>
      </c>
      <c r="H23" s="104">
        <f>H19/H21</f>
        <v>92592.592592592584</v>
      </c>
      <c r="I23" s="98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</row>
    <row r="24" spans="1:22" ht="12.75" x14ac:dyDescent="0.25">
      <c r="A24" s="96"/>
      <c r="B24" s="81"/>
      <c r="C24" s="82"/>
      <c r="D24" s="97"/>
      <c r="E24" s="101"/>
      <c r="F24" s="85" t="s">
        <v>51</v>
      </c>
      <c r="G24" s="81">
        <v>6</v>
      </c>
      <c r="H24" s="102">
        <v>4</v>
      </c>
      <c r="I24" s="98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</row>
    <row r="25" spans="1:22" ht="12.75" customHeight="1" thickBot="1" x14ac:dyDescent="0.3">
      <c r="A25" s="96"/>
      <c r="B25" s="81"/>
      <c r="C25" s="82"/>
      <c r="D25" s="97"/>
      <c r="E25" s="101"/>
      <c r="F25" s="81" t="s">
        <v>52</v>
      </c>
      <c r="G25" s="92">
        <f>G24*G18</f>
        <v>4.7999999999999998E-6</v>
      </c>
      <c r="H25" s="92">
        <f>H24*H18</f>
        <v>3.1999999999999999E-6</v>
      </c>
      <c r="I25" s="98"/>
      <c r="J25" s="99"/>
      <c r="K25" s="99"/>
      <c r="L25" s="81"/>
      <c r="M25" s="81"/>
      <c r="N25" s="81"/>
      <c r="O25" s="81"/>
      <c r="P25" s="81"/>
      <c r="Q25" s="81"/>
      <c r="R25" s="81"/>
      <c r="S25" s="81"/>
      <c r="T25" s="81"/>
      <c r="U25" s="81"/>
    </row>
    <row r="26" spans="1:22" ht="12.75" x14ac:dyDescent="0.25">
      <c r="A26" s="96"/>
      <c r="B26" s="80"/>
      <c r="C26" s="82"/>
      <c r="D26" s="97"/>
      <c r="E26" s="101"/>
      <c r="F26" s="81" t="s">
        <v>134</v>
      </c>
      <c r="G26" s="92">
        <f>G19/G25</f>
        <v>4166666666.666667</v>
      </c>
      <c r="H26" s="92">
        <f>H19/H25</f>
        <v>78125000000</v>
      </c>
      <c r="I26" s="118"/>
      <c r="J26" s="177" t="s">
        <v>144</v>
      </c>
      <c r="K26" s="178"/>
      <c r="L26" s="119"/>
      <c r="M26" s="81"/>
      <c r="N26" s="81"/>
      <c r="O26" s="80"/>
      <c r="P26" s="81"/>
      <c r="Q26" s="81"/>
      <c r="R26" s="81"/>
      <c r="S26" s="81"/>
      <c r="T26" s="81"/>
      <c r="U26" s="81"/>
    </row>
    <row r="27" spans="1:22" ht="12.75" x14ac:dyDescent="0.25">
      <c r="A27" s="96"/>
      <c r="B27" s="80"/>
      <c r="C27" s="82"/>
      <c r="D27" s="97"/>
      <c r="E27" s="101"/>
      <c r="F27" s="81" t="s">
        <v>133</v>
      </c>
      <c r="G27" s="92">
        <f>POWER(G19, 2)/G26</f>
        <v>9.5999999999999988E-2</v>
      </c>
      <c r="H27" s="92">
        <f>POWER(H19, 2)/H26</f>
        <v>0.8</v>
      </c>
      <c r="I27" s="118"/>
      <c r="J27" s="101" t="s">
        <v>141</v>
      </c>
      <c r="K27" s="102">
        <v>200000</v>
      </c>
      <c r="L27" s="102">
        <v>250000</v>
      </c>
      <c r="M27" s="81"/>
      <c r="N27" s="81"/>
      <c r="O27" s="81"/>
      <c r="P27" s="80"/>
      <c r="Q27" s="81"/>
      <c r="R27" s="81"/>
      <c r="S27" s="81"/>
      <c r="T27" s="81"/>
      <c r="U27" s="81"/>
      <c r="V27" s="81"/>
    </row>
    <row r="28" spans="1:22" ht="12.75" customHeight="1" x14ac:dyDescent="0.25">
      <c r="A28" s="96"/>
      <c r="B28" s="84"/>
      <c r="C28" s="82"/>
      <c r="D28" s="97"/>
      <c r="E28" s="173" t="s">
        <v>58</v>
      </c>
      <c r="F28" s="81" t="s">
        <v>135</v>
      </c>
      <c r="G28" s="81">
        <f>G19*G17/G42</f>
        <v>12000</v>
      </c>
      <c r="H28" s="81">
        <f>H19*H17/H42</f>
        <v>23076.923076923078</v>
      </c>
      <c r="I28" s="118"/>
      <c r="J28" s="120" t="s">
        <v>140</v>
      </c>
      <c r="K28" s="102">
        <v>1.2</v>
      </c>
      <c r="L28" s="102">
        <v>1.2</v>
      </c>
      <c r="M28" s="81"/>
      <c r="N28" s="81"/>
      <c r="O28" s="81"/>
      <c r="P28" s="81"/>
      <c r="Q28" s="86"/>
      <c r="R28" s="81"/>
      <c r="S28" s="122"/>
      <c r="T28" s="122"/>
      <c r="U28" s="81"/>
      <c r="V28" s="81"/>
    </row>
    <row r="29" spans="1:22" ht="14.25" customHeight="1" x14ac:dyDescent="0.25">
      <c r="A29" s="96"/>
      <c r="B29" s="84"/>
      <c r="C29" s="82"/>
      <c r="D29" s="97"/>
      <c r="E29" s="173"/>
      <c r="F29" s="81" t="s">
        <v>56</v>
      </c>
      <c r="G29" s="91">
        <v>100000000</v>
      </c>
      <c r="H29" s="103">
        <v>1000000000</v>
      </c>
      <c r="I29" s="118"/>
      <c r="J29" s="120" t="s">
        <v>137</v>
      </c>
      <c r="K29" s="102">
        <v>13500000000</v>
      </c>
      <c r="L29" s="102">
        <v>300000</v>
      </c>
      <c r="M29" s="81"/>
      <c r="N29" s="81"/>
      <c r="O29" s="81"/>
      <c r="P29" s="81"/>
      <c r="Q29" s="81"/>
      <c r="R29" s="81"/>
      <c r="S29" s="81"/>
      <c r="T29" s="81"/>
      <c r="U29" s="81"/>
    </row>
    <row r="30" spans="1:22" ht="14.25" customHeight="1" x14ac:dyDescent="0.25">
      <c r="A30" s="96"/>
      <c r="B30" s="84"/>
      <c r="C30" s="82"/>
      <c r="D30" s="97"/>
      <c r="E30" s="173"/>
      <c r="F30" s="81" t="s">
        <v>136</v>
      </c>
      <c r="G30" s="91">
        <v>15800</v>
      </c>
      <c r="H30" s="103">
        <v>25000</v>
      </c>
      <c r="I30" s="118"/>
      <c r="J30" s="120" t="s">
        <v>138</v>
      </c>
      <c r="K30" s="102">
        <v>25000</v>
      </c>
      <c r="L30" s="102">
        <v>25000</v>
      </c>
      <c r="M30" s="81"/>
      <c r="N30" s="81"/>
      <c r="O30" s="81"/>
      <c r="P30" s="81"/>
      <c r="Q30" s="81"/>
      <c r="R30" s="81"/>
      <c r="S30" s="81"/>
      <c r="T30" s="81"/>
      <c r="U30" s="81"/>
    </row>
    <row r="31" spans="1:22" ht="14.25" customHeight="1" x14ac:dyDescent="0.25">
      <c r="A31" s="96"/>
      <c r="B31" s="84"/>
      <c r="C31" s="82"/>
      <c r="D31" s="97"/>
      <c r="E31" s="173"/>
      <c r="F31" s="81" t="s">
        <v>57</v>
      </c>
      <c r="G31" s="81">
        <v>1</v>
      </c>
      <c r="H31" s="102">
        <v>1</v>
      </c>
      <c r="I31" s="118"/>
      <c r="J31" s="120" t="s">
        <v>139</v>
      </c>
      <c r="K31" s="131">
        <f>ROUNDUP(K27/(K30/K28),0)</f>
        <v>10</v>
      </c>
      <c r="L31" s="131">
        <f>ROUNDUP(L27/(L30/L28),0)</f>
        <v>12</v>
      </c>
      <c r="M31" s="81"/>
      <c r="N31" s="81"/>
      <c r="O31" s="81"/>
      <c r="P31" s="81"/>
      <c r="Q31" s="81"/>
      <c r="R31" s="81"/>
      <c r="S31" s="81"/>
      <c r="T31" s="81"/>
      <c r="U31" s="81"/>
    </row>
    <row r="32" spans="1:22" ht="15" customHeight="1" x14ac:dyDescent="0.25">
      <c r="A32" s="96"/>
      <c r="B32" s="84"/>
      <c r="C32" s="82"/>
      <c r="D32" s="97"/>
      <c r="E32" s="173"/>
      <c r="F32" s="81" t="s">
        <v>81</v>
      </c>
      <c r="G32" s="81">
        <v>2.5</v>
      </c>
      <c r="H32" s="102">
        <v>3.5</v>
      </c>
      <c r="I32" s="118"/>
      <c r="J32" s="137" t="s">
        <v>156</v>
      </c>
      <c r="K32" s="102">
        <v>13</v>
      </c>
      <c r="L32" s="102">
        <v>15</v>
      </c>
      <c r="M32" s="81"/>
      <c r="N32" s="81"/>
      <c r="O32" s="81"/>
      <c r="P32" s="81"/>
      <c r="Q32" s="81"/>
      <c r="R32" s="81"/>
      <c r="S32" s="81"/>
      <c r="T32" s="81"/>
      <c r="U32" s="81"/>
    </row>
    <row r="33" spans="1:24" ht="12.75" customHeight="1" x14ac:dyDescent="0.25">
      <c r="A33" s="96"/>
      <c r="B33" s="84"/>
      <c r="C33" s="82"/>
      <c r="D33" s="97"/>
      <c r="E33" s="173"/>
      <c r="F33" s="81" t="s">
        <v>91</v>
      </c>
      <c r="G33" s="81" t="s">
        <v>96</v>
      </c>
      <c r="H33" s="102" t="s">
        <v>157</v>
      </c>
      <c r="I33" s="118"/>
      <c r="J33" s="120" t="s">
        <v>142</v>
      </c>
      <c r="K33" s="102">
        <f>K29/K32</f>
        <v>1038461538.4615384</v>
      </c>
      <c r="L33" s="102">
        <f>L29/L32</f>
        <v>20000</v>
      </c>
      <c r="M33" s="81"/>
      <c r="N33" s="81"/>
      <c r="O33" s="81"/>
      <c r="P33" s="81"/>
      <c r="Q33" s="81"/>
      <c r="R33" s="81"/>
      <c r="S33" s="81"/>
      <c r="T33" s="81"/>
      <c r="U33" s="81"/>
      <c r="X33" s="51"/>
    </row>
    <row r="34" spans="1:24" ht="16.5" customHeight="1" thickBot="1" x14ac:dyDescent="0.3">
      <c r="A34" s="96"/>
      <c r="B34" s="81"/>
      <c r="C34" s="82"/>
      <c r="D34" s="97"/>
      <c r="E34" s="173" t="s">
        <v>65</v>
      </c>
      <c r="F34" s="81" t="s">
        <v>74</v>
      </c>
      <c r="G34" s="91">
        <f>G44/G23</f>
        <v>27000</v>
      </c>
      <c r="H34" s="103">
        <f>H29/H23</f>
        <v>10800.000000000002</v>
      </c>
      <c r="I34" s="118"/>
      <c r="J34" s="121" t="s">
        <v>143</v>
      </c>
      <c r="K34" s="110">
        <f>K33/1000000</f>
        <v>1038.4615384615383</v>
      </c>
      <c r="L34" s="110">
        <f>L33/1000000</f>
        <v>0.02</v>
      </c>
      <c r="M34" s="81"/>
      <c r="N34" s="81"/>
      <c r="O34" s="81"/>
      <c r="P34" s="81"/>
      <c r="Q34" s="81"/>
      <c r="R34" s="81"/>
      <c r="S34" s="81"/>
      <c r="T34" s="81"/>
      <c r="U34" s="81"/>
    </row>
    <row r="35" spans="1:24" ht="14.25" customHeight="1" x14ac:dyDescent="0.25">
      <c r="A35" s="96"/>
      <c r="B35" s="87"/>
      <c r="C35" s="82"/>
      <c r="D35" s="97"/>
      <c r="E35" s="173"/>
      <c r="F35" s="81" t="s">
        <v>68</v>
      </c>
      <c r="G35" s="81">
        <v>300</v>
      </c>
      <c r="H35" s="102"/>
      <c r="I35" s="118"/>
      <c r="J35" s="124" t="s">
        <v>145</v>
      </c>
      <c r="K35" s="125">
        <f>K27/K32</f>
        <v>15384.615384615385</v>
      </c>
      <c r="L35" s="125">
        <f>L27/L32</f>
        <v>16666.666666666668</v>
      </c>
      <c r="M35" s="81"/>
      <c r="N35" s="81"/>
      <c r="O35" s="81"/>
      <c r="P35" s="81"/>
      <c r="Q35" s="81"/>
      <c r="R35" s="81"/>
      <c r="S35" s="81"/>
      <c r="T35" s="81"/>
      <c r="U35" s="81"/>
    </row>
    <row r="36" spans="1:24" ht="14.25" customHeight="1" x14ac:dyDescent="0.25">
      <c r="A36" s="96"/>
      <c r="B36" s="87"/>
      <c r="C36" s="82"/>
      <c r="D36" s="97"/>
      <c r="E36" s="173"/>
      <c r="F36" s="81" t="s">
        <v>69</v>
      </c>
      <c r="G36" s="91">
        <f>G34</f>
        <v>27000</v>
      </c>
      <c r="H36" s="103">
        <v>18200</v>
      </c>
      <c r="I36" s="118"/>
      <c r="J36" s="126" t="s">
        <v>146</v>
      </c>
      <c r="K36" s="102">
        <f>POWER(K35, 2)/K33</f>
        <v>0.22792022792022792</v>
      </c>
      <c r="L36" s="102">
        <f>POWER(L35, 2)/L33</f>
        <v>13888.888888888889</v>
      </c>
      <c r="M36" s="81"/>
      <c r="N36" s="81"/>
      <c r="O36" s="81"/>
      <c r="P36" s="81"/>
      <c r="Q36" s="81"/>
      <c r="R36" s="81"/>
      <c r="S36" s="81"/>
      <c r="T36" s="81"/>
      <c r="U36" s="81"/>
    </row>
    <row r="37" spans="1:24" x14ac:dyDescent="0.25">
      <c r="A37" s="96"/>
      <c r="B37" s="84"/>
      <c r="C37" s="82"/>
      <c r="D37" s="97"/>
      <c r="E37" s="173"/>
      <c r="F37" s="81" t="s">
        <v>70</v>
      </c>
      <c r="G37" s="81">
        <v>1</v>
      </c>
      <c r="H37" s="102">
        <v>1</v>
      </c>
      <c r="I37" s="118"/>
      <c r="J37" s="101" t="s">
        <v>22</v>
      </c>
      <c r="K37" s="136" t="s">
        <v>147</v>
      </c>
      <c r="L37" s="136" t="s">
        <v>147</v>
      </c>
      <c r="M37" s="81"/>
      <c r="N37" s="81"/>
      <c r="O37" s="81"/>
      <c r="P37" s="81"/>
      <c r="Q37" s="81"/>
      <c r="R37" s="81"/>
      <c r="S37" s="81"/>
      <c r="T37" s="81"/>
      <c r="U37" s="81"/>
    </row>
    <row r="38" spans="1:24" ht="12.75" x14ac:dyDescent="0.2">
      <c r="A38" s="96"/>
      <c r="B38" s="81"/>
      <c r="C38" s="82"/>
      <c r="D38" s="97"/>
      <c r="E38" s="173"/>
      <c r="F38" s="81" t="s">
        <v>80</v>
      </c>
      <c r="G38" s="81">
        <v>0.25</v>
      </c>
      <c r="H38" s="102">
        <v>0.25</v>
      </c>
      <c r="I38" s="118"/>
      <c r="J38" s="127" t="s">
        <v>154</v>
      </c>
      <c r="K38" s="128" t="s">
        <v>155</v>
      </c>
      <c r="L38" s="128" t="s">
        <v>155</v>
      </c>
      <c r="M38" s="123"/>
      <c r="N38" s="123"/>
      <c r="O38" s="81"/>
      <c r="P38" s="81"/>
      <c r="Q38" s="81"/>
      <c r="R38" s="81"/>
      <c r="S38" s="81"/>
      <c r="T38" s="81"/>
      <c r="U38" s="81"/>
    </row>
    <row r="39" spans="1:24" ht="12.75" x14ac:dyDescent="0.25">
      <c r="A39" s="96"/>
      <c r="B39" s="81"/>
      <c r="C39" s="82"/>
      <c r="D39" s="97"/>
      <c r="E39" s="173"/>
      <c r="F39" s="81" t="s">
        <v>91</v>
      </c>
      <c r="G39" s="81" t="s">
        <v>93</v>
      </c>
      <c r="H39" s="102"/>
      <c r="I39" s="118"/>
      <c r="J39" s="120" t="s">
        <v>54</v>
      </c>
      <c r="K39" s="102">
        <v>25000</v>
      </c>
      <c r="L39" s="102">
        <v>25000</v>
      </c>
      <c r="M39" s="81"/>
      <c r="N39" s="81"/>
      <c r="O39" s="81"/>
      <c r="P39" s="81"/>
      <c r="Q39" s="81"/>
      <c r="R39" s="81"/>
      <c r="S39" s="81"/>
      <c r="T39" s="81"/>
      <c r="U39" s="81"/>
    </row>
    <row r="40" spans="1:24" ht="15" customHeight="1" x14ac:dyDescent="0.25">
      <c r="A40" s="96"/>
      <c r="B40" s="81"/>
      <c r="C40" s="82"/>
      <c r="D40" s="97"/>
      <c r="E40" s="101"/>
      <c r="F40" s="81" t="s">
        <v>85</v>
      </c>
      <c r="G40" s="81">
        <f>G29*(1+G43)</f>
        <v>101000000</v>
      </c>
      <c r="H40" s="102">
        <f>H29*(1+H43)</f>
        <v>1010000000</v>
      </c>
      <c r="I40" s="118"/>
      <c r="J40" s="101" t="s">
        <v>53</v>
      </c>
      <c r="K40" s="129">
        <v>0.01</v>
      </c>
      <c r="L40" s="129">
        <v>0.01</v>
      </c>
      <c r="M40" s="86"/>
      <c r="N40" s="86"/>
      <c r="O40" s="81"/>
      <c r="P40" s="81"/>
      <c r="Q40" s="81"/>
      <c r="R40" s="81"/>
      <c r="S40" s="81"/>
      <c r="T40" s="81"/>
      <c r="U40" s="81"/>
    </row>
    <row r="41" spans="1:24" ht="12.75" x14ac:dyDescent="0.25">
      <c r="A41" s="96"/>
      <c r="B41" s="81"/>
      <c r="C41" s="82"/>
      <c r="D41" s="97"/>
      <c r="E41" s="101"/>
      <c r="F41" s="81" t="s">
        <v>84</v>
      </c>
      <c r="G41" s="81">
        <f>G29*(1-G43)</f>
        <v>99000000</v>
      </c>
      <c r="H41" s="102">
        <f>H29*(1-H43)</f>
        <v>990000000</v>
      </c>
      <c r="I41" s="118"/>
      <c r="J41" s="101" t="s">
        <v>55</v>
      </c>
      <c r="K41" s="102" t="s">
        <v>148</v>
      </c>
      <c r="L41" s="102" t="s">
        <v>174</v>
      </c>
      <c r="M41" s="81"/>
      <c r="N41" s="81"/>
      <c r="O41" s="81"/>
      <c r="P41" s="81"/>
      <c r="Q41" s="81"/>
      <c r="R41" s="81"/>
      <c r="S41" s="81"/>
      <c r="T41" s="81"/>
      <c r="U41" s="81"/>
    </row>
    <row r="42" spans="1:24" ht="12.75" x14ac:dyDescent="0.25">
      <c r="A42" s="96"/>
      <c r="B42" s="81"/>
      <c r="C42" s="82"/>
      <c r="D42" s="97"/>
      <c r="E42" s="101"/>
      <c r="F42" s="81" t="s">
        <v>59</v>
      </c>
      <c r="G42" s="81">
        <v>2</v>
      </c>
      <c r="H42" s="102">
        <v>13</v>
      </c>
      <c r="I42" s="118"/>
      <c r="J42" s="101" t="s">
        <v>149</v>
      </c>
      <c r="K42" s="130">
        <v>0.97</v>
      </c>
      <c r="L42" s="130"/>
      <c r="M42" s="122"/>
      <c r="N42" s="122"/>
      <c r="O42" s="81"/>
      <c r="P42" s="81"/>
      <c r="Q42" s="81"/>
      <c r="R42" s="81"/>
      <c r="S42" s="81"/>
      <c r="T42" s="81"/>
      <c r="U42" s="81"/>
    </row>
    <row r="43" spans="1:24" ht="12.75" x14ac:dyDescent="0.25">
      <c r="A43" s="96"/>
      <c r="B43" s="81"/>
      <c r="C43" s="82"/>
      <c r="D43" s="97"/>
      <c r="E43" s="101"/>
      <c r="F43" s="81" t="s">
        <v>76</v>
      </c>
      <c r="G43" s="93">
        <f>G31*0.01</f>
        <v>0.01</v>
      </c>
      <c r="H43" s="105">
        <f>H31*0.01</f>
        <v>0.01</v>
      </c>
      <c r="I43" s="118"/>
      <c r="J43" s="101" t="s">
        <v>150</v>
      </c>
      <c r="K43" s="130">
        <f>K32*K42</f>
        <v>12.61</v>
      </c>
      <c r="L43" s="130"/>
      <c r="M43" s="122"/>
      <c r="N43" s="122"/>
      <c r="O43" s="81"/>
      <c r="P43" s="81"/>
      <c r="Q43" s="81"/>
      <c r="R43" s="81"/>
      <c r="S43" s="81"/>
      <c r="T43" s="81"/>
      <c r="U43" s="81"/>
    </row>
    <row r="44" spans="1:24" ht="12.75" x14ac:dyDescent="0.25">
      <c r="A44" s="96"/>
      <c r="B44" s="89"/>
      <c r="C44" s="82"/>
      <c r="D44" s="97"/>
      <c r="E44" s="101"/>
      <c r="F44" s="81" t="s">
        <v>71</v>
      </c>
      <c r="G44" s="94">
        <f>G29*G42</f>
        <v>200000000</v>
      </c>
      <c r="H44" s="106">
        <f>H29*H42</f>
        <v>13000000000</v>
      </c>
      <c r="I44" s="118"/>
      <c r="J44" s="101" t="s">
        <v>151</v>
      </c>
      <c r="K44" s="102" t="s">
        <v>152</v>
      </c>
      <c r="L44" s="102" t="s">
        <v>152</v>
      </c>
      <c r="M44" s="81"/>
      <c r="N44" s="81"/>
      <c r="O44" s="81"/>
      <c r="P44" s="81"/>
      <c r="Q44" s="81"/>
      <c r="R44" s="81"/>
      <c r="S44" s="81"/>
      <c r="T44" s="81"/>
      <c r="U44" s="81"/>
    </row>
    <row r="45" spans="1:24" ht="13.5" thickBot="1" x14ac:dyDescent="0.3">
      <c r="A45" s="96"/>
      <c r="B45" s="81"/>
      <c r="C45" s="82"/>
      <c r="D45" s="97"/>
      <c r="E45" s="101"/>
      <c r="F45" s="81" t="s">
        <v>72</v>
      </c>
      <c r="G45" s="93">
        <f>G44*(1+G43)</f>
        <v>202000000</v>
      </c>
      <c r="H45" s="105">
        <f>H44*(1+H43)</f>
        <v>13130000000</v>
      </c>
      <c r="I45" s="118"/>
      <c r="J45" s="108" t="s">
        <v>153</v>
      </c>
      <c r="K45" s="110">
        <v>50</v>
      </c>
      <c r="L45" s="110">
        <v>51</v>
      </c>
      <c r="M45" s="81"/>
      <c r="N45" s="81"/>
      <c r="O45" s="81"/>
      <c r="P45" s="81"/>
      <c r="Q45" s="81"/>
      <c r="R45" s="81"/>
      <c r="S45" s="81"/>
      <c r="T45" s="81"/>
      <c r="U45" s="81"/>
    </row>
    <row r="46" spans="1:24" ht="12.75" x14ac:dyDescent="0.25">
      <c r="A46" s="96"/>
      <c r="B46" s="81"/>
      <c r="C46" s="84"/>
      <c r="D46" s="97"/>
      <c r="E46" s="101"/>
      <c r="F46" s="85" t="s">
        <v>73</v>
      </c>
      <c r="G46" s="93">
        <f>G44*(1-G43)</f>
        <v>198000000</v>
      </c>
      <c r="H46" s="105">
        <f>H44*(1-H43)</f>
        <v>12870000000</v>
      </c>
      <c r="I46" s="98"/>
      <c r="J46" s="100"/>
      <c r="K46" s="100"/>
      <c r="L46" s="81"/>
      <c r="M46" s="81"/>
      <c r="N46" s="81"/>
      <c r="O46" s="81"/>
      <c r="P46" s="81"/>
      <c r="Q46" s="81"/>
      <c r="R46" s="81"/>
      <c r="S46" s="81"/>
      <c r="T46" s="81"/>
      <c r="U46" s="81"/>
    </row>
    <row r="47" spans="1:24" ht="12.75" x14ac:dyDescent="0.25">
      <c r="A47" s="96"/>
      <c r="B47" s="81"/>
      <c r="C47" s="84"/>
      <c r="D47" s="97"/>
      <c r="E47" s="101"/>
      <c r="F47" s="81" t="s">
        <v>60</v>
      </c>
      <c r="G47" s="94">
        <f>G30*G42</f>
        <v>31600</v>
      </c>
      <c r="H47" s="94">
        <f>H30*H42</f>
        <v>325000</v>
      </c>
      <c r="I47" s="98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</row>
    <row r="48" spans="1:24" ht="12.75" x14ac:dyDescent="0.25">
      <c r="A48" s="96"/>
      <c r="B48" s="81"/>
      <c r="C48" s="84"/>
      <c r="D48" s="97"/>
      <c r="E48" s="101"/>
      <c r="F48" s="81" t="s">
        <v>61</v>
      </c>
      <c r="G48" s="93">
        <f>G47/G17</f>
        <v>26333.333333333336</v>
      </c>
      <c r="H48" s="93">
        <f>H47/H17</f>
        <v>270833.33333333337</v>
      </c>
      <c r="I48" s="98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</row>
    <row r="49" spans="1:21" ht="12.75" x14ac:dyDescent="0.25">
      <c r="A49" s="96"/>
      <c r="B49" s="81"/>
      <c r="C49" s="84"/>
      <c r="D49" s="97"/>
      <c r="E49" s="101"/>
      <c r="F49" s="81" t="s">
        <v>76</v>
      </c>
      <c r="G49" s="93">
        <f>G37*0.01</f>
        <v>0.01</v>
      </c>
      <c r="H49" s="105">
        <f>H37*0.01</f>
        <v>0.01</v>
      </c>
      <c r="I49" s="98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</row>
    <row r="50" spans="1:21" ht="12.75" x14ac:dyDescent="0.25">
      <c r="A50" s="96"/>
      <c r="B50" s="81"/>
      <c r="C50" s="84"/>
      <c r="D50" s="97"/>
      <c r="E50" s="101"/>
      <c r="F50" s="81" t="s">
        <v>75</v>
      </c>
      <c r="G50" s="93">
        <f>G36*(1+G49)</f>
        <v>27270</v>
      </c>
      <c r="H50" s="105">
        <f>H36*(1+H49)</f>
        <v>18382</v>
      </c>
      <c r="I50" s="98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</row>
    <row r="51" spans="1:21" ht="12.75" x14ac:dyDescent="0.25">
      <c r="A51" s="96"/>
      <c r="B51" s="81"/>
      <c r="C51" s="82"/>
      <c r="D51" s="97"/>
      <c r="E51" s="101"/>
      <c r="F51" s="81" t="s">
        <v>77</v>
      </c>
      <c r="G51" s="93">
        <f>G36*(1-G49)</f>
        <v>26730</v>
      </c>
      <c r="H51" s="105">
        <f>H36*(1-H49)</f>
        <v>18018</v>
      </c>
      <c r="I51" s="98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</row>
    <row r="52" spans="1:21" ht="12.75" x14ac:dyDescent="0.25">
      <c r="A52" s="96"/>
      <c r="B52" s="81"/>
      <c r="C52" s="82"/>
      <c r="D52" s="97"/>
      <c r="E52" s="101"/>
      <c r="F52" s="81" t="s">
        <v>66</v>
      </c>
      <c r="G52" s="95" t="b">
        <f>G48&gt;G19</f>
        <v>1</v>
      </c>
      <c r="H52" s="107" t="b">
        <f>H48&gt;H19</f>
        <v>1</v>
      </c>
      <c r="I52" s="98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</row>
    <row r="53" spans="1:21" ht="12.75" x14ac:dyDescent="0.25">
      <c r="A53" s="96"/>
      <c r="B53" s="85"/>
      <c r="C53" s="82"/>
      <c r="D53" s="97"/>
      <c r="E53" s="101"/>
      <c r="F53" s="81" t="s">
        <v>67</v>
      </c>
      <c r="G53" s="93"/>
      <c r="H53" s="105"/>
      <c r="I53" s="98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</row>
    <row r="54" spans="1:21" ht="12.75" x14ac:dyDescent="0.25">
      <c r="A54" s="96"/>
      <c r="B54" s="85"/>
      <c r="C54" s="82"/>
      <c r="D54" s="97"/>
      <c r="E54" s="101"/>
      <c r="F54" s="81" t="s">
        <v>79</v>
      </c>
      <c r="G54" s="93">
        <f>G20/(G45+G36)</f>
        <v>4.9498334381048076E-6</v>
      </c>
      <c r="H54" s="105">
        <f>H20/(H45+H36)</f>
        <v>3.8080678364939356E-6</v>
      </c>
      <c r="I54" s="98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</row>
    <row r="55" spans="1:21" ht="12.75" x14ac:dyDescent="0.25">
      <c r="A55" s="96"/>
      <c r="B55" s="81"/>
      <c r="C55" s="82"/>
      <c r="D55" s="97"/>
      <c r="E55" s="101"/>
      <c r="F55" s="81" t="s">
        <v>78</v>
      </c>
      <c r="G55" s="93">
        <f>G19/(G46+G51)</f>
        <v>1.0099646648712525E-4</v>
      </c>
      <c r="H55" s="105">
        <f>H19/(H46+H51)</f>
        <v>1.9424992230030302E-5</v>
      </c>
      <c r="I55" s="98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</row>
    <row r="56" spans="1:21" ht="12.75" x14ac:dyDescent="0.25">
      <c r="A56" s="96"/>
      <c r="B56" s="85"/>
      <c r="C56" s="82"/>
      <c r="D56" s="97"/>
      <c r="E56" s="101"/>
      <c r="F56" s="81" t="s">
        <v>63</v>
      </c>
      <c r="G56" s="95" t="b">
        <f>G54&gt;G25</f>
        <v>1</v>
      </c>
      <c r="H56" s="107" t="b">
        <f>H54&gt;H25</f>
        <v>1</v>
      </c>
      <c r="I56" s="98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</row>
    <row r="57" spans="1:21" ht="12.75" x14ac:dyDescent="0.25">
      <c r="A57" s="96"/>
      <c r="B57" s="81"/>
      <c r="C57" s="82"/>
      <c r="D57" s="97"/>
      <c r="E57" s="101"/>
      <c r="F57" s="81" t="s">
        <v>64</v>
      </c>
      <c r="G57" s="93" t="str">
        <f>IF(G20/G45&gt;G25, "", (G20/G45)/G25)</f>
        <v/>
      </c>
      <c r="H57" s="106">
        <f>(H20/H45)/H25</f>
        <v>1.1900228484386901</v>
      </c>
      <c r="I57" s="98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</row>
    <row r="58" spans="1:21" ht="12.75" x14ac:dyDescent="0.25">
      <c r="A58" s="96"/>
      <c r="B58" s="81"/>
      <c r="C58" s="82"/>
      <c r="D58" s="97"/>
      <c r="E58" s="101"/>
      <c r="F58" s="81" t="s">
        <v>82</v>
      </c>
      <c r="G58" s="93">
        <f>POWER(G55, 2)*G40</f>
        <v>1.0302289105313864</v>
      </c>
      <c r="H58" s="93">
        <f>POWER(H55, 2)*H40</f>
        <v>0.38110362636810496</v>
      </c>
      <c r="I58" s="98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</row>
    <row r="59" spans="1:21" ht="12.75" x14ac:dyDescent="0.25">
      <c r="A59" s="96"/>
      <c r="B59" s="81"/>
      <c r="C59" s="82"/>
      <c r="D59" s="97"/>
      <c r="E59" s="101"/>
      <c r="F59" s="81" t="s">
        <v>83</v>
      </c>
      <c r="G59" s="93">
        <f>POWER(G55, 2)*G50</f>
        <v>2.7816180584347433E-4</v>
      </c>
      <c r="H59" s="93">
        <f>POWER(H55, 2)*H50</f>
        <v>6.9360859998995101E-6</v>
      </c>
      <c r="I59" s="98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</row>
    <row r="60" spans="1:21" ht="12.75" x14ac:dyDescent="0.25">
      <c r="A60" s="96"/>
      <c r="B60" s="81"/>
      <c r="C60" s="82"/>
      <c r="D60" s="97"/>
      <c r="E60" s="101"/>
      <c r="F60" s="81" t="s">
        <v>87</v>
      </c>
      <c r="G60" s="93">
        <f>G32/G17</f>
        <v>2.0833333333333335</v>
      </c>
      <c r="H60" s="93">
        <f>H32/H17</f>
        <v>2.916666666666667</v>
      </c>
      <c r="I60" s="98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</row>
    <row r="61" spans="1:21" ht="12.75" x14ac:dyDescent="0.25">
      <c r="A61" s="96"/>
      <c r="B61" s="80"/>
      <c r="C61" s="84"/>
      <c r="D61" s="97"/>
      <c r="E61" s="101"/>
      <c r="F61" s="81" t="s">
        <v>89</v>
      </c>
      <c r="G61" s="93">
        <f>G38/G17</f>
        <v>0.20833333333333334</v>
      </c>
      <c r="H61" s="93">
        <f>H38/H17</f>
        <v>0.20833333333333334</v>
      </c>
      <c r="I61" s="98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12.75" x14ac:dyDescent="0.25">
      <c r="A62" s="96"/>
      <c r="B62" s="81"/>
      <c r="C62" s="84"/>
      <c r="D62" s="97"/>
      <c r="E62" s="101"/>
      <c r="F62" s="81" t="s">
        <v>86</v>
      </c>
      <c r="G62" s="95" t="b">
        <f>G58&lt;=G60</f>
        <v>1</v>
      </c>
      <c r="H62" s="95" t="b">
        <f>H58&lt;=H60</f>
        <v>1</v>
      </c>
      <c r="I62" s="98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</row>
    <row r="63" spans="1:21" ht="12.75" x14ac:dyDescent="0.25">
      <c r="A63" s="96"/>
      <c r="B63" s="81"/>
      <c r="C63" s="84"/>
      <c r="D63" s="97"/>
      <c r="E63" s="101"/>
      <c r="F63" s="81" t="s">
        <v>88</v>
      </c>
      <c r="G63" s="95" t="b">
        <f>G59&lt;=G61</f>
        <v>1</v>
      </c>
      <c r="H63" s="95" t="b">
        <f>H59&lt;=H61</f>
        <v>1</v>
      </c>
      <c r="I63" s="98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</row>
    <row r="64" spans="1:21" ht="12.75" x14ac:dyDescent="0.2">
      <c r="A64" s="96"/>
      <c r="B64" s="81"/>
      <c r="C64" s="84"/>
      <c r="D64" s="97"/>
      <c r="E64" s="101"/>
      <c r="F64" s="90" t="s">
        <v>90</v>
      </c>
      <c r="G64" s="93">
        <f>G59+(G42*G58)</f>
        <v>2.0607359828686165</v>
      </c>
      <c r="H64" s="93">
        <f>H59+(H42*H58)</f>
        <v>4.954354078871364</v>
      </c>
      <c r="I64" s="98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</row>
    <row r="65" spans="1:21" ht="25.5" x14ac:dyDescent="0.25">
      <c r="A65" s="96"/>
      <c r="B65" s="81"/>
      <c r="C65" s="84"/>
      <c r="D65" s="97"/>
      <c r="E65" s="101"/>
      <c r="F65" s="113" t="s">
        <v>123</v>
      </c>
      <c r="G65" s="91">
        <v>6</v>
      </c>
      <c r="H65" s="91">
        <v>6</v>
      </c>
      <c r="I65" s="98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</row>
    <row r="66" spans="1:21" ht="25.5" x14ac:dyDescent="0.25">
      <c r="A66" s="96"/>
      <c r="B66" s="81"/>
      <c r="C66" s="82"/>
      <c r="D66" s="97"/>
      <c r="E66" s="116"/>
      <c r="F66" s="113" t="s">
        <v>124</v>
      </c>
      <c r="G66" s="81">
        <v>1</v>
      </c>
      <c r="H66" s="81">
        <v>1</v>
      </c>
      <c r="I66" s="98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</row>
    <row r="67" spans="1:21" ht="12.75" x14ac:dyDescent="0.25">
      <c r="A67" s="96"/>
      <c r="B67" s="81"/>
      <c r="C67" s="82"/>
      <c r="D67" s="97"/>
      <c r="E67" s="116"/>
      <c r="F67" s="81" t="s">
        <v>125</v>
      </c>
      <c r="G67" s="94">
        <f>MIN(G65, G66)</f>
        <v>1</v>
      </c>
      <c r="H67" s="94">
        <f>MIN(H65, H66)</f>
        <v>1</v>
      </c>
      <c r="I67" s="98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ht="12.75" x14ac:dyDescent="0.25">
      <c r="A68" s="96"/>
      <c r="B68" s="81"/>
      <c r="C68" s="82"/>
      <c r="D68" s="97"/>
      <c r="E68" s="116"/>
      <c r="F68" s="81" t="s">
        <v>116</v>
      </c>
      <c r="G68" s="91">
        <v>16000</v>
      </c>
      <c r="H68" s="91">
        <v>16001</v>
      </c>
      <c r="I68" s="98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ht="12.75" x14ac:dyDescent="0.25">
      <c r="A69" s="96"/>
      <c r="B69" s="81"/>
      <c r="C69" s="82"/>
      <c r="D69" s="97"/>
      <c r="E69" s="116"/>
      <c r="F69" s="81" t="s">
        <v>109</v>
      </c>
      <c r="G69" s="91">
        <f>1/G68</f>
        <v>6.2500000000000001E-5</v>
      </c>
      <c r="H69" s="91">
        <f>1/H68</f>
        <v>6.2496093994125369E-5</v>
      </c>
      <c r="I69" s="98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ht="12.75" x14ac:dyDescent="0.25">
      <c r="A70" s="96"/>
      <c r="B70" s="81"/>
      <c r="C70" s="82"/>
      <c r="D70" s="97"/>
      <c r="E70" s="116"/>
      <c r="F70" s="81" t="s">
        <v>117</v>
      </c>
      <c r="G70" s="94">
        <f>G69*G66/2</f>
        <v>3.1250000000000001E-5</v>
      </c>
      <c r="H70" s="94">
        <f>H69*H66/2</f>
        <v>3.1248046997062684E-5</v>
      </c>
      <c r="I70" s="98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ht="12.75" x14ac:dyDescent="0.25">
      <c r="A71" s="96"/>
      <c r="B71" s="81"/>
      <c r="C71" s="82"/>
      <c r="D71" s="97"/>
      <c r="E71" s="101"/>
      <c r="F71" s="81" t="s">
        <v>120</v>
      </c>
      <c r="G71" s="94">
        <f>G70/4.605</f>
        <v>6.7861020629750266E-6</v>
      </c>
      <c r="H71" s="94">
        <f>H70/4.605</f>
        <v>6.7856779581026451E-6</v>
      </c>
      <c r="I71" s="98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ht="12.75" x14ac:dyDescent="0.25">
      <c r="A72" s="96"/>
      <c r="B72" s="81"/>
      <c r="C72" s="82"/>
      <c r="D72" s="97"/>
      <c r="E72" s="101"/>
      <c r="F72" s="81" t="s">
        <v>122</v>
      </c>
      <c r="G72" s="94">
        <f>G71/((G44*G36)/(G44+G2))</f>
        <v>2.5133711344351953E-10</v>
      </c>
      <c r="H72" s="94">
        <f>H71/((H44*H36)/(H44+H2))</f>
        <v>3.7283944827607801E-10</v>
      </c>
      <c r="I72" s="98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ht="25.5" x14ac:dyDescent="0.2">
      <c r="A73" s="96"/>
      <c r="B73" s="81"/>
      <c r="C73" s="82"/>
      <c r="D73" s="97"/>
      <c r="E73" s="117" t="s">
        <v>128</v>
      </c>
      <c r="F73" s="90" t="s">
        <v>121</v>
      </c>
      <c r="G73" s="91">
        <v>2.7E-10</v>
      </c>
      <c r="H73" s="91">
        <v>3.7000000000000001E-10</v>
      </c>
      <c r="I73" s="98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</row>
    <row r="74" spans="1:21" ht="12.75" x14ac:dyDescent="0.25">
      <c r="A74" s="96"/>
      <c r="B74" s="81"/>
      <c r="C74" s="82"/>
      <c r="D74" s="97"/>
      <c r="E74" s="101"/>
      <c r="F74" s="81" t="s">
        <v>118</v>
      </c>
      <c r="G74" s="94">
        <f>4.605*G75</f>
        <v>3.3565963460329565E-5</v>
      </c>
      <c r="H74" s="94">
        <f>4.605*H75</f>
        <v>3.1010027015804141E-5</v>
      </c>
      <c r="I74" s="98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</row>
    <row r="75" spans="1:21" ht="12.75" x14ac:dyDescent="0.25">
      <c r="A75" s="96"/>
      <c r="B75" s="81"/>
      <c r="C75" s="82"/>
      <c r="D75" s="97"/>
      <c r="E75" s="101"/>
      <c r="F75" s="81" t="s">
        <v>119</v>
      </c>
      <c r="G75" s="94">
        <f>G73*(G45*G36)/(G45+G36)</f>
        <v>7.2890257242843775E-6</v>
      </c>
      <c r="H75" s="94">
        <f>H73*(H45*H36)/(H45+H36)</f>
        <v>6.7339906657555125E-6</v>
      </c>
      <c r="I75" s="98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</row>
    <row r="76" spans="1:21" ht="12.75" x14ac:dyDescent="0.25">
      <c r="A76" s="96"/>
      <c r="B76" s="81"/>
      <c r="C76" s="82"/>
      <c r="D76" s="97"/>
      <c r="E76" s="101"/>
      <c r="F76" s="81" t="s">
        <v>114</v>
      </c>
      <c r="G76" s="94">
        <f>G20*G36/(G44+G36)</f>
        <v>0.13498177746004289</v>
      </c>
      <c r="H76" s="94">
        <f>H20*H36/(H44+H36)</f>
        <v>6.9999902000137199E-2</v>
      </c>
      <c r="I76" s="98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</row>
    <row r="77" spans="1:21" ht="12.75" x14ac:dyDescent="0.25">
      <c r="A77" s="96"/>
      <c r="B77" s="81"/>
      <c r="C77" s="82"/>
      <c r="D77" s="97"/>
      <c r="E77" s="101"/>
      <c r="F77" s="81" t="s">
        <v>115</v>
      </c>
      <c r="G77" s="93">
        <f>G21</f>
        <v>2.7</v>
      </c>
      <c r="H77" s="93">
        <f>H21</f>
        <v>2.7</v>
      </c>
      <c r="I77" s="98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</row>
    <row r="78" spans="1:21" ht="12.75" x14ac:dyDescent="0.25">
      <c r="A78" s="96"/>
      <c r="B78" s="81"/>
      <c r="C78" s="82"/>
      <c r="D78" s="97"/>
      <c r="E78" s="101"/>
      <c r="F78" s="81" t="s">
        <v>110</v>
      </c>
      <c r="G78" s="94">
        <f>ABS(G75*LN(((1.01*G76)-G76)/(G21-G76)))</f>
        <v>5.5030331148433144E-5</v>
      </c>
      <c r="H78" s="94">
        <f>ABS(H75*LN(((1.01*H76)-H76)/(H21-H76)))</f>
        <v>5.5430275185863378E-5</v>
      </c>
      <c r="I78" s="98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</row>
    <row r="79" spans="1:21" ht="12.75" x14ac:dyDescent="0.25">
      <c r="A79" s="96"/>
      <c r="B79" s="81"/>
      <c r="C79" s="82"/>
      <c r="D79" s="97"/>
      <c r="E79" s="101"/>
      <c r="F79" s="81" t="s">
        <v>111</v>
      </c>
      <c r="G79" s="94">
        <f>G78/G69</f>
        <v>0.88048529837493028</v>
      </c>
      <c r="H79" s="94">
        <f>H78/H69</f>
        <v>0.88693983324899983</v>
      </c>
      <c r="I79" s="98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</row>
    <row r="80" spans="1:21" ht="12.75" x14ac:dyDescent="0.25">
      <c r="A80" s="83"/>
      <c r="B80" s="81"/>
      <c r="C80" s="82"/>
      <c r="D80" s="97"/>
      <c r="E80" s="101"/>
      <c r="F80" s="81" t="s">
        <v>112</v>
      </c>
      <c r="G80" s="93">
        <f>ABS(G75*LN((G76-G77)/((0.99*G21)-G77)))</f>
        <v>3.3193377591371709E-5</v>
      </c>
      <c r="H80" s="93">
        <f>ABS(H75*LN((H76-H77)/((0.99*H21)-H77)))</f>
        <v>3.0834285323564624E-5</v>
      </c>
      <c r="I80" s="98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</row>
    <row r="81" spans="1:21" ht="12.75" x14ac:dyDescent="0.25">
      <c r="A81" s="83"/>
      <c r="B81" s="81"/>
      <c r="C81" s="82"/>
      <c r="D81" s="97"/>
      <c r="E81" s="101"/>
      <c r="F81" s="81" t="s">
        <v>113</v>
      </c>
      <c r="G81" s="94">
        <f>G80/G69</f>
        <v>0.53109404146194727</v>
      </c>
      <c r="H81" s="94">
        <f>H80/H69</f>
        <v>0.49337939946235754</v>
      </c>
      <c r="I81" s="98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</row>
    <row r="82" spans="1:21" ht="12.75" x14ac:dyDescent="0.25">
      <c r="A82" s="83"/>
      <c r="B82" s="81"/>
      <c r="C82" s="82"/>
      <c r="D82" s="97"/>
      <c r="E82" s="101"/>
      <c r="F82" s="81" t="s">
        <v>92</v>
      </c>
      <c r="G82" s="81" t="b">
        <f>AND(G52, G56, G62, G63)</f>
        <v>1</v>
      </c>
      <c r="H82" s="81" t="b">
        <f>AND(H52, H56, H62, H63)</f>
        <v>1</v>
      </c>
      <c r="I82" s="98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</row>
    <row r="83" spans="1:21" ht="12.75" x14ac:dyDescent="0.25">
      <c r="A83" s="83"/>
      <c r="B83" s="81"/>
      <c r="C83" s="82"/>
      <c r="D83" s="97"/>
      <c r="E83" s="101"/>
      <c r="F83" s="81"/>
      <c r="G83" s="81"/>
      <c r="H83" s="102"/>
      <c r="I83" s="98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</row>
    <row r="84" spans="1:21" ht="12.75" x14ac:dyDescent="0.25">
      <c r="A84" s="83"/>
      <c r="B84" s="81"/>
      <c r="C84" s="82"/>
      <c r="D84" s="97"/>
      <c r="E84" s="101"/>
      <c r="F84" s="81"/>
      <c r="G84" s="81"/>
      <c r="H84" s="102"/>
      <c r="I84" s="98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</row>
    <row r="85" spans="1:21" ht="13.5" thickBot="1" x14ac:dyDescent="0.3">
      <c r="A85" s="83"/>
      <c r="B85" s="81"/>
      <c r="C85" s="82"/>
      <c r="D85" s="97"/>
      <c r="E85" s="108"/>
      <c r="F85" s="109"/>
      <c r="G85" s="109"/>
      <c r="H85" s="110"/>
      <c r="I85" s="98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</row>
    <row r="86" spans="1:21" ht="12.75" x14ac:dyDescent="0.25">
      <c r="A86" s="83"/>
      <c r="B86" s="81"/>
      <c r="C86" s="82"/>
      <c r="D86" s="81"/>
      <c r="E86" s="100"/>
      <c r="F86" s="88"/>
      <c r="G86" s="88"/>
      <c r="H86" s="88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</row>
    <row r="87" spans="1:21" ht="12.75" x14ac:dyDescent="0.25">
      <c r="A87" s="83"/>
      <c r="B87" s="81"/>
      <c r="C87" s="82"/>
      <c r="D87" s="81"/>
      <c r="E87" s="81"/>
      <c r="F87" s="88"/>
      <c r="G87" s="88"/>
      <c r="H87" s="88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</row>
    <row r="88" spans="1:21" ht="12.75" x14ac:dyDescent="0.25">
      <c r="A88" s="83"/>
      <c r="B88" s="81"/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</row>
    <row r="89" spans="1:21" ht="12.75" x14ac:dyDescent="0.25">
      <c r="A89" s="83"/>
      <c r="B89" s="81"/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</row>
    <row r="90" spans="1:21" ht="12.75" x14ac:dyDescent="0.25">
      <c r="A90" s="83"/>
      <c r="B90" s="81"/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</row>
    <row r="91" spans="1:21" ht="12.75" x14ac:dyDescent="0.25">
      <c r="A91" s="83"/>
      <c r="B91" s="81"/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</row>
    <row r="92" spans="1:21" ht="12.75" x14ac:dyDescent="0.25">
      <c r="A92" s="83"/>
      <c r="B92" s="81"/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</row>
    <row r="93" spans="1:21" ht="12.75" x14ac:dyDescent="0.25">
      <c r="A93" s="83"/>
      <c r="B93" s="81"/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</row>
    <row r="94" spans="1:21" ht="12.75" x14ac:dyDescent="0.25">
      <c r="A94" s="83"/>
      <c r="B94" s="81"/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</row>
    <row r="95" spans="1:21" ht="12.75" x14ac:dyDescent="0.25">
      <c r="A95" s="83"/>
      <c r="B95" s="81"/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</row>
    <row r="96" spans="1:21" ht="12.75" x14ac:dyDescent="0.25">
      <c r="A96" s="83"/>
      <c r="B96" s="81"/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</row>
    <row r="97" spans="1:21" ht="12.75" x14ac:dyDescent="0.25">
      <c r="A97" s="83"/>
      <c r="B97" s="81"/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</row>
    <row r="98" spans="1:21" ht="12.75" x14ac:dyDescent="0.25">
      <c r="A98" s="83"/>
      <c r="B98" s="81"/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</row>
    <row r="99" spans="1:21" ht="12.75" x14ac:dyDescent="0.25">
      <c r="A99" s="83"/>
      <c r="B99" s="81"/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</row>
    <row r="100" spans="1:21" ht="12.75" x14ac:dyDescent="0.25">
      <c r="A100" s="83"/>
      <c r="B100" s="81"/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</row>
    <row r="101" spans="1:21" ht="12.75" x14ac:dyDescent="0.25">
      <c r="A101" s="83"/>
      <c r="B101" s="81"/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</row>
    <row r="102" spans="1:21" ht="12.75" x14ac:dyDescent="0.25">
      <c r="A102" s="83"/>
      <c r="B102" s="81"/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</row>
    <row r="103" spans="1:21" ht="12.75" x14ac:dyDescent="0.25">
      <c r="A103" s="83"/>
      <c r="B103" s="81"/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</row>
    <row r="104" spans="1:21" ht="12.75" x14ac:dyDescent="0.25">
      <c r="A104" s="83"/>
      <c r="B104" s="81"/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</row>
    <row r="105" spans="1:21" ht="12.75" x14ac:dyDescent="0.25">
      <c r="A105" s="83"/>
      <c r="B105" s="81"/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</row>
    <row r="106" spans="1:21" ht="12.75" x14ac:dyDescent="0.25">
      <c r="A106" s="83"/>
      <c r="B106" s="81"/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</row>
    <row r="107" spans="1:21" ht="12.75" x14ac:dyDescent="0.25">
      <c r="A107" s="83"/>
      <c r="B107" s="81"/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</row>
    <row r="108" spans="1:21" ht="12.75" x14ac:dyDescent="0.25">
      <c r="A108" s="83"/>
      <c r="B108" s="81"/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</row>
    <row r="109" spans="1:21" ht="12.75" x14ac:dyDescent="0.25">
      <c r="A109" s="83"/>
      <c r="B109" s="81"/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</row>
    <row r="110" spans="1:21" ht="12.75" x14ac:dyDescent="0.25">
      <c r="A110" s="83"/>
      <c r="B110" s="81"/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</row>
    <row r="111" spans="1:21" ht="12.75" x14ac:dyDescent="0.25">
      <c r="A111" s="83"/>
      <c r="B111" s="81"/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</row>
    <row r="112" spans="1:21" ht="12.75" x14ac:dyDescent="0.25">
      <c r="A112" s="83"/>
      <c r="B112" s="81"/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</row>
    <row r="113" spans="1:21" ht="12.75" x14ac:dyDescent="0.25">
      <c r="A113" s="83"/>
      <c r="B113" s="81"/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</row>
    <row r="114" spans="1:21" ht="12.75" x14ac:dyDescent="0.25">
      <c r="A114" s="83"/>
      <c r="B114" s="81"/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</row>
    <row r="115" spans="1:21" ht="12.75" x14ac:dyDescent="0.25">
      <c r="A115" s="83"/>
      <c r="B115" s="81"/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</row>
    <row r="116" spans="1:21" ht="12.75" x14ac:dyDescent="0.25">
      <c r="A116" s="83"/>
      <c r="B116" s="81"/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</row>
    <row r="117" spans="1:21" ht="12.75" x14ac:dyDescent="0.25">
      <c r="A117" s="83"/>
      <c r="B117" s="81"/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</row>
    <row r="118" spans="1:21" ht="12.75" x14ac:dyDescent="0.25">
      <c r="A118" s="83"/>
      <c r="B118" s="81"/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</row>
    <row r="119" spans="1:21" ht="12.75" x14ac:dyDescent="0.25">
      <c r="A119" s="83"/>
      <c r="B119" s="81"/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</row>
    <row r="120" spans="1:21" ht="12.75" x14ac:dyDescent="0.25">
      <c r="A120" s="83"/>
      <c r="B120" s="81"/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</row>
    <row r="121" spans="1:21" ht="12.75" x14ac:dyDescent="0.25">
      <c r="A121" s="83"/>
      <c r="B121" s="81"/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</row>
    <row r="122" spans="1:21" ht="12.75" x14ac:dyDescent="0.25">
      <c r="A122" s="83"/>
      <c r="B122" s="81"/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</row>
    <row r="123" spans="1:21" ht="12.75" x14ac:dyDescent="0.25">
      <c r="A123" s="83"/>
      <c r="B123" s="81"/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</row>
    <row r="124" spans="1:21" ht="12.75" x14ac:dyDescent="0.25">
      <c r="A124" s="83"/>
      <c r="B124" s="81"/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</row>
    <row r="125" spans="1:21" ht="12.75" x14ac:dyDescent="0.25">
      <c r="A125" s="83"/>
      <c r="B125" s="81"/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</row>
    <row r="126" spans="1:21" ht="12.75" x14ac:dyDescent="0.25">
      <c r="A126" s="73"/>
      <c r="C126" s="43"/>
      <c r="D126" s="46" t="s">
        <v>43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x14ac:dyDescent="0.25">
      <c r="A127" s="73"/>
      <c r="C127" s="43"/>
      <c r="D127" s="46" t="s">
        <v>43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x14ac:dyDescent="0.25">
      <c r="A128" s="73"/>
      <c r="C128" s="43"/>
      <c r="D128" s="46" t="s">
        <v>43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x14ac:dyDescent="0.25">
      <c r="A129" s="73"/>
      <c r="C129" s="43"/>
      <c r="D129" s="46" t="s">
        <v>43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x14ac:dyDescent="0.25">
      <c r="A130" s="73"/>
      <c r="C130" s="43"/>
      <c r="D130" s="46" t="s">
        <v>43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x14ac:dyDescent="0.25">
      <c r="A131" s="73"/>
      <c r="C131" s="43"/>
      <c r="D131" s="46" t="s">
        <v>43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x14ac:dyDescent="0.25">
      <c r="A132" s="73"/>
      <c r="C132" s="43"/>
      <c r="D132" s="46" t="s">
        <v>43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x14ac:dyDescent="0.25">
      <c r="A133" s="73"/>
      <c r="C133" s="43"/>
      <c r="D133" s="46" t="s">
        <v>43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x14ac:dyDescent="0.25">
      <c r="A134" s="73"/>
      <c r="C134" s="43"/>
      <c r="D134" s="46" t="s">
        <v>43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x14ac:dyDescent="0.25">
      <c r="A135" s="73"/>
      <c r="C135" s="43"/>
      <c r="D135" s="46" t="s">
        <v>43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x14ac:dyDescent="0.25">
      <c r="A136" s="73"/>
      <c r="C136" s="43"/>
      <c r="D136" s="46" t="s">
        <v>43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x14ac:dyDescent="0.25">
      <c r="A137" s="73"/>
      <c r="C137" s="43"/>
      <c r="D137" s="46" t="s">
        <v>43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x14ac:dyDescent="0.25">
      <c r="A138" s="73"/>
      <c r="C138" s="43"/>
      <c r="D138" s="46" t="s">
        <v>43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x14ac:dyDescent="0.25">
      <c r="A139" s="73"/>
      <c r="C139" s="43"/>
      <c r="D139" s="46" t="s">
        <v>43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x14ac:dyDescent="0.25">
      <c r="A140" s="73"/>
      <c r="C140" s="43"/>
      <c r="D140" s="46" t="s">
        <v>43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x14ac:dyDescent="0.25">
      <c r="A141" s="73"/>
      <c r="C141" s="43"/>
      <c r="D141" s="46" t="s">
        <v>43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x14ac:dyDescent="0.25">
      <c r="A142" s="73"/>
      <c r="C142" s="43"/>
      <c r="D142" s="46" t="s">
        <v>43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x14ac:dyDescent="0.25">
      <c r="A143" s="73"/>
      <c r="D143" s="46" t="s">
        <v>43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x14ac:dyDescent="0.25">
      <c r="A144" s="73"/>
      <c r="D144" s="46" t="s">
        <v>43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x14ac:dyDescent="0.25">
      <c r="A145" s="73"/>
      <c r="D145" s="46" t="s">
        <v>43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x14ac:dyDescent="0.25">
      <c r="A146" s="73"/>
      <c r="D146" s="46" t="s">
        <v>43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x14ac:dyDescent="0.25">
      <c r="A147" s="73"/>
      <c r="D147" s="46" t="s">
        <v>43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x14ac:dyDescent="0.25">
      <c r="A148" s="73"/>
      <c r="D148" s="46" t="s">
        <v>43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</sheetData>
  <mergeCells count="7">
    <mergeCell ref="A2:A10"/>
    <mergeCell ref="E34:E39"/>
    <mergeCell ref="E28:E33"/>
    <mergeCell ref="E15:H15"/>
    <mergeCell ref="J26:K26"/>
    <mergeCell ref="A11:A12"/>
    <mergeCell ref="A13:A14"/>
  </mergeCells>
  <conditionalFormatting sqref="G52:H52 G56:H56 G82:H82 G62:H63">
    <cfRule type="cellIs" dxfId="2" priority="3" operator="equal">
      <formula>TRUE</formula>
    </cfRule>
  </conditionalFormatting>
  <conditionalFormatting sqref="G52:H52 G56:H56 G82:H82 G62:H63">
    <cfRule type="cellIs" dxfId="1" priority="2" operator="equal">
      <formula>FALSE</formula>
    </cfRule>
  </conditionalFormatting>
  <conditionalFormatting sqref="G57:H57">
    <cfRule type="cellIs" dxfId="0" priority="1" operator="equal">
      <formula>""</formula>
    </cfRule>
  </conditionalFormatting>
  <hyperlinks>
    <hyperlink ref="F8" r:id="rId1" display="https://www.mouser.co.uk/ProductDetail/KEMET/C317C300J5G5TA?qs=b8KOIaRqXtdsFXPxXiN2GA%3D%3D"/>
    <hyperlink ref="F3" r:id="rId2" display="https://www.mouser.co.uk/ProductDetail/Ohmite/SM108033006FE?qs=sGAEpiMZZMsPqMdJzcrNwsJljJEG6Yukcxhr%252BDB3b%252B8%3D"/>
    <hyperlink ref="F4" r:id="rId3" display="https://www.mouser.co.uk/ProductDetail/YAGEO/MFR-25FBF52-45K3?qs=sGAEpiMZZMsPqMdJzcrNwvki5I7GwxKeE3xxvbKgyM0%3D"/>
    <hyperlink ref="C4" r:id="rId4"/>
    <hyperlink ref="K37" display="https://www.aliexpress.com/item/1005004279932436.html?pdp_npi=4%40dis%21GBP%21%EF%BF%A11.33%21%EF%BF%A11.33%21%21%2111.82%2111.82%21%40211b619a17401876960841815eaddb%2112000035453859120%21sh%21UK%214911257576%21X&amp;spm=a2g0o.store_pc_allItems_or_groupList.n"/>
    <hyperlink ref="F11" r:id="rId5" display="https://www.mouser.co.uk/ProductDetail/Ohmite/SM108033006FE?qs=sGAEpiMZZMsPqMdJzcrNwsJljJEG6Yukcxhr%252BDB3b%252B8%3D"/>
    <hyperlink ref="C11" r:id="rId6"/>
    <hyperlink ref="C13" r:id="rId7"/>
    <hyperlink ref="F12" r:id="rId8" display="https://www.mouser.co.uk/ProductDetail/Ohmite/SM108033006FE?qs=sGAEpiMZZMsPqMdJzcrNwsJljJEG6Yukcxhr%252BDB3b%252B8%3D"/>
    <hyperlink ref="C12" r:id="rId9"/>
    <hyperlink ref="L37" display="https://www.aliexpress.com/item/1005004279932436.html?pdp_npi=4%40dis%21GBP%21%EF%BF%A11.33%21%EF%BF%A11.33%21%21%2111.82%2111.82%21%40211b619a17401876960841815eaddb%2112000035453859120%21sh%21UK%214911257576%21X&amp;spm=a2g0o.store_pc_allItems_or_groupList.n"/>
  </hyperlinks>
  <pageMargins left="0.7" right="0.7" top="0.75" bottom="0.75" header="0.3" footer="0.3"/>
  <pageSetup paperSize="9" orientation="portrait" r:id="rId1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opLeftCell="A14" workbookViewId="0">
      <selection activeCell="F23" sqref="F23"/>
    </sheetView>
  </sheetViews>
  <sheetFormatPr defaultRowHeight="15" x14ac:dyDescent="0.25"/>
  <cols>
    <col min="3" max="3" width="24.7109375" customWidth="1"/>
    <col min="8" max="8" width="11.7109375" bestFit="1" customWidth="1"/>
  </cols>
  <sheetData>
    <row r="2" spans="1:8" x14ac:dyDescent="0.25">
      <c r="A2" s="140" t="s">
        <v>171</v>
      </c>
      <c r="G2" t="s">
        <v>172</v>
      </c>
      <c r="H2">
        <v>64</v>
      </c>
    </row>
    <row r="3" spans="1:8" ht="21.75" x14ac:dyDescent="0.3">
      <c r="G3" t="s">
        <v>173</v>
      </c>
      <c r="H3" s="139">
        <v>39</v>
      </c>
    </row>
    <row r="8" spans="1:8" x14ac:dyDescent="0.25">
      <c r="C8" t="s">
        <v>195</v>
      </c>
    </row>
    <row r="9" spans="1:8" x14ac:dyDescent="0.25">
      <c r="C9" t="s">
        <v>196</v>
      </c>
      <c r="D9">
        <v>0.17</v>
      </c>
      <c r="E9" t="s">
        <v>199</v>
      </c>
    </row>
    <row r="10" spans="1:8" x14ac:dyDescent="0.25">
      <c r="C10" t="s">
        <v>197</v>
      </c>
      <c r="D10">
        <v>1</v>
      </c>
      <c r="E10" t="s">
        <v>199</v>
      </c>
    </row>
    <row r="11" spans="1:8" x14ac:dyDescent="0.25">
      <c r="C11" t="s">
        <v>194</v>
      </c>
      <c r="D11">
        <f>POWER(D9/2, 2)*PI()*D10</f>
        <v>2.2698006922186261E-2</v>
      </c>
      <c r="E11" t="s">
        <v>198</v>
      </c>
    </row>
    <row r="12" spans="1:8" x14ac:dyDescent="0.25">
      <c r="C12" t="s">
        <v>200</v>
      </c>
      <c r="D12">
        <v>870</v>
      </c>
      <c r="E12" t="s">
        <v>201</v>
      </c>
    </row>
    <row r="13" spans="1:8" x14ac:dyDescent="0.25">
      <c r="C13" t="s">
        <v>203</v>
      </c>
      <c r="D13">
        <f>D12*D11</f>
        <v>19.747266022302046</v>
      </c>
    </row>
    <row r="14" spans="1:8" x14ac:dyDescent="0.25">
      <c r="C14" t="s">
        <v>62</v>
      </c>
      <c r="D14">
        <f>4</f>
        <v>4</v>
      </c>
    </row>
    <row r="15" spans="1:8" x14ac:dyDescent="0.25">
      <c r="C15" t="s">
        <v>202</v>
      </c>
      <c r="D15">
        <f>(D13*9.81)*POWER(D10, 2)/2</f>
        <v>96.860339839391543</v>
      </c>
    </row>
    <row r="16" spans="1:8" x14ac:dyDescent="0.25">
      <c r="C16" t="s">
        <v>204</v>
      </c>
      <c r="D16">
        <f>0.154</f>
        <v>0.154</v>
      </c>
    </row>
    <row r="17" spans="3:5" x14ac:dyDescent="0.25">
      <c r="C17" t="s">
        <v>205</v>
      </c>
      <c r="D17">
        <f>D15/D16</f>
        <v>628.96324571033472</v>
      </c>
    </row>
    <row r="18" spans="3:5" x14ac:dyDescent="0.25">
      <c r="C18" t="s">
        <v>206</v>
      </c>
      <c r="D18">
        <f>D17*D14</f>
        <v>2515.8529828413389</v>
      </c>
      <c r="E18" t="s">
        <v>207</v>
      </c>
    </row>
    <row r="19" spans="3:5" x14ac:dyDescent="0.25">
      <c r="C19" t="s">
        <v>208</v>
      </c>
      <c r="D19" s="152">
        <v>70000000</v>
      </c>
    </row>
    <row r="20" spans="3:5" x14ac:dyDescent="0.25">
      <c r="C20" t="s">
        <v>211</v>
      </c>
      <c r="D20" s="152">
        <f>D18/D19</f>
        <v>3.5940756897733412E-5</v>
      </c>
      <c r="E20" t="s">
        <v>209</v>
      </c>
    </row>
    <row r="21" spans="3:5" x14ac:dyDescent="0.25">
      <c r="C21" t="s">
        <v>210</v>
      </c>
      <c r="D21" s="152">
        <f>SQRT(D20/PI())*2</f>
        <v>6.7647019852989272E-3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:A4"/>
    </sheetView>
  </sheetViews>
  <sheetFormatPr defaultRowHeight="15" x14ac:dyDescent="0.25"/>
  <sheetData>
    <row r="3" spans="1:1" x14ac:dyDescent="0.25">
      <c r="A3" s="140" t="s">
        <v>175</v>
      </c>
    </row>
    <row r="4" spans="1:1" x14ac:dyDescent="0.25">
      <c r="A4" t="s">
        <v>176</v>
      </c>
    </row>
  </sheetData>
  <hyperlinks>
    <hyperlink ref="A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5" sqref="C5"/>
    </sheetView>
  </sheetViews>
  <sheetFormatPr defaultRowHeight="15" x14ac:dyDescent="0.25"/>
  <cols>
    <col min="1" max="1" width="15.42578125" customWidth="1"/>
    <col min="2" max="2" width="28" customWidth="1"/>
    <col min="3" max="3" width="68.28515625" customWidth="1"/>
  </cols>
  <sheetData>
    <row r="1" spans="1:3" x14ac:dyDescent="0.25">
      <c r="A1" s="162" t="s">
        <v>518</v>
      </c>
      <c r="B1" s="162"/>
      <c r="C1" s="162"/>
    </row>
    <row r="2" spans="1:3" x14ac:dyDescent="0.25">
      <c r="A2" s="163" t="s">
        <v>509</v>
      </c>
      <c r="B2" s="164"/>
      <c r="C2" s="164" t="s">
        <v>508</v>
      </c>
    </row>
    <row r="3" spans="1:3" x14ac:dyDescent="0.25">
      <c r="A3" s="163"/>
      <c r="B3" s="164"/>
      <c r="C3" s="164" t="s">
        <v>510</v>
      </c>
    </row>
    <row r="4" spans="1:3" x14ac:dyDescent="0.25">
      <c r="A4" s="163" t="s">
        <v>512</v>
      </c>
      <c r="B4" s="164"/>
      <c r="C4" s="165" t="s">
        <v>511</v>
      </c>
    </row>
    <row r="5" spans="1:3" ht="25.5" x14ac:dyDescent="0.25">
      <c r="A5" s="163" t="s">
        <v>514</v>
      </c>
      <c r="B5" s="164"/>
      <c r="C5" s="165" t="s">
        <v>513</v>
      </c>
    </row>
    <row r="6" spans="1:3" ht="21.75" customHeight="1" x14ac:dyDescent="0.25">
      <c r="A6" s="163" t="s">
        <v>515</v>
      </c>
      <c r="B6" s="164"/>
      <c r="C6" s="165" t="s">
        <v>516</v>
      </c>
    </row>
    <row r="7" spans="1:3" x14ac:dyDescent="0.25">
      <c r="A7" s="162" t="s">
        <v>519</v>
      </c>
      <c r="B7" s="162"/>
      <c r="C7" s="166" t="s">
        <v>517</v>
      </c>
    </row>
    <row r="8" spans="1:3" x14ac:dyDescent="0.25">
      <c r="A8" s="162"/>
      <c r="B8" s="162"/>
      <c r="C8" s="162"/>
    </row>
    <row r="9" spans="1:3" x14ac:dyDescent="0.25">
      <c r="A9" s="162"/>
      <c r="B9" s="162"/>
      <c r="C9" s="162"/>
    </row>
    <row r="10" spans="1:3" x14ac:dyDescent="0.25">
      <c r="A10" s="162"/>
      <c r="B10" s="162"/>
      <c r="C10" s="162"/>
    </row>
  </sheetData>
  <hyperlinks>
    <hyperlink ref="A2" r:id="rId1"/>
    <hyperlink ref="A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Core shopping</vt:lpstr>
      <vt:lpstr>High Voltage Feedback</vt:lpstr>
      <vt:lpstr>VillardVessel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2024-11-04T15:07:21Z</dcterms:created>
  <dcterms:modified xsi:type="dcterms:W3CDTF">2026-01-30T14:51:50Z</dcterms:modified>
</cp:coreProperties>
</file>