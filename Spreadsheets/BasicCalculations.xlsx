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381" i="1" l="1"/>
  <c r="D404" i="1" l="1"/>
  <c r="D411" i="1"/>
  <c r="D392" i="1"/>
  <c r="D393" i="1" s="1"/>
  <c r="D391" i="1"/>
  <c r="D371" i="1"/>
  <c r="D435" i="1" s="1"/>
  <c r="D370" i="1"/>
  <c r="D388" i="1" s="1"/>
  <c r="D369" i="1"/>
  <c r="D420" i="1" s="1"/>
  <c r="D327" i="1"/>
  <c r="D328" i="1"/>
  <c r="D329" i="1"/>
  <c r="D395" i="1" l="1"/>
  <c r="D396" i="1" s="1"/>
  <c r="D422" i="1"/>
  <c r="D425" i="1" s="1"/>
  <c r="D433" i="1" s="1"/>
  <c r="D399" i="1"/>
  <c r="D415" i="1" s="1"/>
  <c r="D416" i="1" s="1"/>
  <c r="D417" i="1" s="1"/>
  <c r="D406" i="1"/>
  <c r="D407" i="1"/>
  <c r="D394" i="1"/>
  <c r="D454" i="1"/>
  <c r="D455" i="1" s="1"/>
  <c r="D456" i="1" s="1"/>
  <c r="D382" i="1"/>
  <c r="D384" i="1" s="1"/>
  <c r="D398" i="1"/>
  <c r="D443" i="1" s="1"/>
  <c r="E806" i="1"/>
  <c r="E807" i="1" s="1"/>
  <c r="E809" i="1" s="1"/>
  <c r="E793" i="1"/>
  <c r="E794" i="1" s="1"/>
  <c r="E795" i="1" s="1"/>
  <c r="E799" i="1"/>
  <c r="E800" i="1" s="1"/>
  <c r="E802" i="1" s="1"/>
  <c r="E788" i="1"/>
  <c r="E789" i="1" s="1"/>
  <c r="E790" i="1" s="1"/>
  <c r="E783" i="1"/>
  <c r="E784" i="1" s="1"/>
  <c r="E785" i="1" s="1"/>
  <c r="C581" i="1"/>
  <c r="D412" i="1" l="1"/>
  <c r="D413" i="1" s="1"/>
  <c r="D414" i="1" s="1"/>
  <c r="D426" i="1"/>
  <c r="D418" i="1"/>
  <c r="D421" i="1" s="1"/>
  <c r="D450" i="1"/>
  <c r="D452" i="1" s="1"/>
  <c r="D409" i="1"/>
  <c r="D448" i="1"/>
  <c r="E801" i="1"/>
  <c r="E808" i="1"/>
  <c r="D585" i="1"/>
  <c r="D545" i="1" l="1"/>
  <c r="D547" i="1"/>
  <c r="C572" i="1" s="1"/>
  <c r="D574" i="1" s="1"/>
  <c r="D550" i="1" l="1"/>
  <c r="D568" i="1" s="1"/>
  <c r="D575" i="1"/>
  <c r="C575" i="1"/>
  <c r="C577" i="1" s="1"/>
  <c r="C578" i="1" s="1"/>
  <c r="C579" i="1" s="1"/>
  <c r="D546" i="1"/>
  <c r="D486" i="1"/>
  <c r="D98" i="1"/>
  <c r="E772" i="1"/>
  <c r="E774" i="1" s="1"/>
  <c r="E770" i="1"/>
  <c r="E765" i="1"/>
  <c r="H779" i="1" s="1"/>
  <c r="I779" i="1" s="1"/>
  <c r="J779" i="1" s="1"/>
  <c r="E575" i="1" l="1"/>
  <c r="D577" i="1"/>
  <c r="D578" i="1" s="1"/>
  <c r="D579" i="1" s="1"/>
  <c r="D566" i="1"/>
  <c r="D555" i="1"/>
  <c r="D563" i="1"/>
  <c r="D559" i="1"/>
  <c r="E771" i="1"/>
  <c r="E776" i="1"/>
  <c r="E777" i="1" s="1"/>
  <c r="H772" i="1"/>
  <c r="I772" i="1" s="1"/>
  <c r="J772" i="1" s="1"/>
  <c r="H773" i="1"/>
  <c r="I773" i="1" s="1"/>
  <c r="J773" i="1" s="1"/>
  <c r="H774" i="1"/>
  <c r="I774" i="1" s="1"/>
  <c r="J774" i="1" s="1"/>
  <c r="H780" i="1"/>
  <c r="I780" i="1" s="1"/>
  <c r="J780" i="1" s="1"/>
  <c r="H781" i="1"/>
  <c r="I781" i="1" s="1"/>
  <c r="J781" i="1" s="1"/>
  <c r="H782" i="1"/>
  <c r="I782" i="1" s="1"/>
  <c r="J782" i="1" s="1"/>
  <c r="H783" i="1"/>
  <c r="I783" i="1" s="1"/>
  <c r="J783" i="1" s="1"/>
  <c r="H784" i="1"/>
  <c r="I784" i="1" s="1"/>
  <c r="J784" i="1" s="1"/>
  <c r="H786" i="1"/>
  <c r="I786" i="1" s="1"/>
  <c r="J786" i="1" s="1"/>
  <c r="H777" i="1"/>
  <c r="I777" i="1" s="1"/>
  <c r="J777" i="1" s="1"/>
  <c r="H775" i="1"/>
  <c r="I775" i="1" s="1"/>
  <c r="J775" i="1" s="1"/>
  <c r="E767" i="1"/>
  <c r="H776" i="1"/>
  <c r="I776" i="1" s="1"/>
  <c r="J776" i="1" s="1"/>
  <c r="H778" i="1"/>
  <c r="I778" i="1" s="1"/>
  <c r="J778" i="1" s="1"/>
  <c r="D52" i="1"/>
  <c r="D54" i="1" s="1"/>
  <c r="D57" i="1" s="1"/>
  <c r="D58" i="1"/>
  <c r="D49" i="1"/>
  <c r="F575" i="1" l="1"/>
  <c r="E577" i="1"/>
  <c r="E578" i="1" s="1"/>
  <c r="E579" i="1" s="1"/>
  <c r="D59" i="1"/>
  <c r="D53" i="1"/>
  <c r="D47" i="1"/>
  <c r="G575" i="1" l="1"/>
  <c r="F577" i="1"/>
  <c r="F578" i="1" s="1"/>
  <c r="F579" i="1" s="1"/>
  <c r="E738" i="1"/>
  <c r="E743" i="1" s="1"/>
  <c r="E744" i="1" s="1"/>
  <c r="E755" i="1"/>
  <c r="E756" i="1"/>
  <c r="E757" i="1" s="1"/>
  <c r="H575" i="1" l="1"/>
  <c r="G577" i="1"/>
  <c r="G578" i="1" s="1"/>
  <c r="G579" i="1" s="1"/>
  <c r="E759" i="1"/>
  <c r="E760" i="1" s="1"/>
  <c r="D664" i="1"/>
  <c r="D663" i="1"/>
  <c r="D657" i="1"/>
  <c r="D662" i="1" s="1"/>
  <c r="H577" i="1" l="1"/>
  <c r="H578" i="1" s="1"/>
  <c r="H579" i="1" s="1"/>
  <c r="I575" i="1"/>
  <c r="D667" i="1"/>
  <c r="D666" i="1"/>
  <c r="D717" i="1"/>
  <c r="D718" i="1" s="1"/>
  <c r="D719" i="1" s="1"/>
  <c r="D707" i="1"/>
  <c r="D705" i="1"/>
  <c r="D693" i="1"/>
  <c r="D694" i="1" s="1"/>
  <c r="D692" i="1"/>
  <c r="D697" i="1" s="1"/>
  <c r="D700" i="1" s="1"/>
  <c r="D463" i="1"/>
  <c r="D462" i="1"/>
  <c r="I577" i="1" l="1"/>
  <c r="I578" i="1" s="1"/>
  <c r="I579" i="1" s="1"/>
  <c r="J575" i="1"/>
  <c r="D695" i="1"/>
  <c r="D465" i="1"/>
  <c r="D708" i="1"/>
  <c r="D710" i="1"/>
  <c r="D711" i="1" s="1"/>
  <c r="D712" i="1" s="1"/>
  <c r="D698" i="1"/>
  <c r="D699" i="1" s="1"/>
  <c r="D713" i="1"/>
  <c r="K575" i="1" l="1"/>
  <c r="J577" i="1"/>
  <c r="J578" i="1" s="1"/>
  <c r="J579" i="1" s="1"/>
  <c r="F677" i="1"/>
  <c r="G677" i="1"/>
  <c r="H677" i="1"/>
  <c r="F678" i="1"/>
  <c r="G678" i="1"/>
  <c r="H678" i="1"/>
  <c r="E680" i="1"/>
  <c r="F680" i="1"/>
  <c r="F682" i="1" s="1"/>
  <c r="G680" i="1"/>
  <c r="G682" i="1" s="1"/>
  <c r="H680" i="1"/>
  <c r="H681" i="1" s="1"/>
  <c r="D680" i="1"/>
  <c r="E671" i="1"/>
  <c r="E674" i="1" s="1"/>
  <c r="J674" i="1"/>
  <c r="F675" i="1"/>
  <c r="G675" i="1"/>
  <c r="H675" i="1"/>
  <c r="I675" i="1"/>
  <c r="H674" i="1"/>
  <c r="I674" i="1"/>
  <c r="F674" i="1"/>
  <c r="G674" i="1"/>
  <c r="F681" i="1" l="1"/>
  <c r="L575" i="1"/>
  <c r="K577" i="1"/>
  <c r="K578" i="1" s="1"/>
  <c r="K579" i="1" s="1"/>
  <c r="G681" i="1"/>
  <c r="E678" i="1"/>
  <c r="E681" i="1"/>
  <c r="E675" i="1"/>
  <c r="H682" i="1"/>
  <c r="E677" i="1"/>
  <c r="E682" i="1"/>
  <c r="M575" i="1" l="1"/>
  <c r="L577" i="1"/>
  <c r="L578" i="1" s="1"/>
  <c r="L579" i="1" s="1"/>
  <c r="D266" i="1"/>
  <c r="N575" i="1" l="1"/>
  <c r="M577" i="1"/>
  <c r="M578" i="1" s="1"/>
  <c r="M579" i="1" s="1"/>
  <c r="D306" i="1"/>
  <c r="O575" i="1" l="1"/>
  <c r="N577" i="1"/>
  <c r="N578" i="1" s="1"/>
  <c r="N579" i="1" s="1"/>
  <c r="D313" i="1"/>
  <c r="E247" i="1"/>
  <c r="F247" i="1" s="1"/>
  <c r="G247" i="1" s="1"/>
  <c r="P575" i="1" l="1"/>
  <c r="O577" i="1"/>
  <c r="O578" i="1" s="1"/>
  <c r="O579" i="1" s="1"/>
  <c r="D244" i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235" i="1"/>
  <c r="D355" i="1" s="1"/>
  <c r="Q575" i="1" l="1"/>
  <c r="P577" i="1"/>
  <c r="P578" i="1" s="1"/>
  <c r="P579" i="1" s="1"/>
  <c r="F244" i="1"/>
  <c r="H244" i="1" s="1"/>
  <c r="J244" i="1" s="1"/>
  <c r="Q577" i="1" l="1"/>
  <c r="Q578" i="1" s="1"/>
  <c r="Q579" i="1" s="1"/>
  <c r="R575" i="1"/>
  <c r="T11" i="6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S575" i="1" l="1"/>
  <c r="R577" i="1"/>
  <c r="R578" i="1" s="1"/>
  <c r="R579" i="1" s="1"/>
  <c r="J240" i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643" i="1"/>
  <c r="D642" i="1"/>
  <c r="D637" i="1"/>
  <c r="D636" i="1"/>
  <c r="D631" i="1"/>
  <c r="D6" i="1"/>
  <c r="E764" i="1" s="1"/>
  <c r="E769" i="1" s="1"/>
  <c r="D5" i="1"/>
  <c r="D635" i="1"/>
  <c r="D632" i="1"/>
  <c r="T575" i="1" l="1"/>
  <c r="S577" i="1"/>
  <c r="S578" i="1" s="1"/>
  <c r="S579" i="1" s="1"/>
  <c r="D671" i="1"/>
  <c r="E763" i="1"/>
  <c r="D675" i="1"/>
  <c r="D682" i="1"/>
  <c r="D674" i="1"/>
  <c r="D678" i="1"/>
  <c r="D677" i="1"/>
  <c r="D681" i="1"/>
  <c r="D644" i="1"/>
  <c r="D650" i="1" s="1"/>
  <c r="D654" i="1"/>
  <c r="D653" i="1"/>
  <c r="D652" i="1" s="1"/>
  <c r="D107" i="1"/>
  <c r="H236" i="1"/>
  <c r="I245" i="1"/>
  <c r="K240" i="1"/>
  <c r="K245" i="1" s="1"/>
  <c r="J245" i="1"/>
  <c r="D609" i="1"/>
  <c r="D610" i="1" s="1"/>
  <c r="F236" i="1"/>
  <c r="D245" i="1"/>
  <c r="D646" i="1"/>
  <c r="D649" i="1" s="1"/>
  <c r="D645" i="1"/>
  <c r="D651" i="1" s="1"/>
  <c r="D638" i="1"/>
  <c r="D639" i="1"/>
  <c r="D376" i="1" l="1"/>
  <c r="D334" i="1"/>
  <c r="U575" i="1"/>
  <c r="T577" i="1"/>
  <c r="T578" i="1" s="1"/>
  <c r="T579" i="1" s="1"/>
  <c r="D105" i="1"/>
  <c r="L786" i="1"/>
  <c r="M786" i="1" s="1"/>
  <c r="K783" i="1"/>
  <c r="L783" i="1"/>
  <c r="M783" i="1" s="1"/>
  <c r="E768" i="1"/>
  <c r="L782" i="1"/>
  <c r="M782" i="1" s="1"/>
  <c r="K780" i="1"/>
  <c r="L781" i="1"/>
  <c r="M781" i="1" s="1"/>
  <c r="K779" i="1"/>
  <c r="K778" i="1"/>
  <c r="L779" i="1"/>
  <c r="M779" i="1" s="1"/>
  <c r="K777" i="1"/>
  <c r="K774" i="1"/>
  <c r="L774" i="1"/>
  <c r="M774" i="1" s="1"/>
  <c r="L773" i="1"/>
  <c r="M773" i="1" s="1"/>
  <c r="L772" i="1"/>
  <c r="M772" i="1" s="1"/>
  <c r="K786" i="1"/>
  <c r="K784" i="1"/>
  <c r="L784" i="1"/>
  <c r="M784" i="1" s="1"/>
  <c r="K782" i="1"/>
  <c r="K781" i="1"/>
  <c r="L780" i="1"/>
  <c r="M780" i="1" s="1"/>
  <c r="L778" i="1"/>
  <c r="M778" i="1" s="1"/>
  <c r="K776" i="1"/>
  <c r="L777" i="1"/>
  <c r="M777" i="1" s="1"/>
  <c r="K775" i="1"/>
  <c r="L776" i="1"/>
  <c r="M776" i="1" s="1"/>
  <c r="L775" i="1"/>
  <c r="M775" i="1" s="1"/>
  <c r="K772" i="1"/>
  <c r="K773" i="1"/>
  <c r="I236" i="1"/>
  <c r="G236" i="1"/>
  <c r="D647" i="1"/>
  <c r="D597" i="1"/>
  <c r="D599" i="1"/>
  <c r="D598" i="1"/>
  <c r="D624" i="1"/>
  <c r="V575" i="1" l="1"/>
  <c r="U577" i="1"/>
  <c r="U578" i="1" s="1"/>
  <c r="U579" i="1" s="1"/>
  <c r="D106" i="1"/>
  <c r="D543" i="1"/>
  <c r="D656" i="1"/>
  <c r="D660" i="1" s="1"/>
  <c r="D668" i="1" s="1"/>
  <c r="D669" i="1" s="1"/>
  <c r="D655" i="1"/>
  <c r="J236" i="1"/>
  <c r="D600" i="1"/>
  <c r="D623" i="1"/>
  <c r="D627" i="1" s="1"/>
  <c r="D625" i="1"/>
  <c r="D618" i="1"/>
  <c r="D617" i="1"/>
  <c r="D615" i="1"/>
  <c r="D593" i="1" s="1"/>
  <c r="D613" i="1"/>
  <c r="D611" i="1"/>
  <c r="D587" i="1"/>
  <c r="D504" i="1"/>
  <c r="D503" i="1"/>
  <c r="D505" i="1"/>
  <c r="D502" i="1"/>
  <c r="D523" i="1"/>
  <c r="D524" i="1"/>
  <c r="D476" i="1"/>
  <c r="D513" i="1"/>
  <c r="D492" i="1"/>
  <c r="D475" i="1"/>
  <c r="D367" i="1"/>
  <c r="D362" i="1"/>
  <c r="D352" i="1"/>
  <c r="D350" i="1"/>
  <c r="D347" i="1"/>
  <c r="D348" i="1" s="1"/>
  <c r="D212" i="1"/>
  <c r="D354" i="1" l="1"/>
  <c r="D344" i="1"/>
  <c r="W575" i="1"/>
  <c r="V577" i="1"/>
  <c r="V578" i="1" s="1"/>
  <c r="V579" i="1" s="1"/>
  <c r="D549" i="1"/>
  <c r="D544" i="1"/>
  <c r="D551" i="1" s="1"/>
  <c r="D562" i="1" s="1"/>
  <c r="D567" i="1"/>
  <c r="D564" i="1"/>
  <c r="D561" i="1"/>
  <c r="D552" i="1"/>
  <c r="D560" i="1" s="1"/>
  <c r="D507" i="1"/>
  <c r="K236" i="1"/>
  <c r="D506" i="1"/>
  <c r="D527" i="1"/>
  <c r="D612" i="1"/>
  <c r="D626" i="1"/>
  <c r="D628" i="1"/>
  <c r="D619" i="1"/>
  <c r="D620" i="1" s="1"/>
  <c r="D621" i="1" s="1"/>
  <c r="D622" i="1" s="1"/>
  <c r="D520" i="1"/>
  <c r="D521" i="1" s="1"/>
  <c r="D500" i="1"/>
  <c r="D349" i="1"/>
  <c r="D353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X575" i="1" l="1"/>
  <c r="W577" i="1"/>
  <c r="W578" i="1" s="1"/>
  <c r="W579" i="1" s="1"/>
  <c r="D282" i="1"/>
  <c r="D281" i="1"/>
  <c r="D294" i="1"/>
  <c r="D530" i="1"/>
  <c r="D528" i="1"/>
  <c r="D529" i="1" s="1"/>
  <c r="D508" i="1"/>
  <c r="D509" i="1" s="1"/>
  <c r="D522" i="1"/>
  <c r="D517" i="1"/>
  <c r="D516" i="1"/>
  <c r="D518" i="1" s="1"/>
  <c r="D510" i="1"/>
  <c r="D512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Y575" i="1" l="1"/>
  <c r="X577" i="1"/>
  <c r="X578" i="1" s="1"/>
  <c r="X579" i="1" s="1"/>
  <c r="D557" i="1"/>
  <c r="D284" i="1"/>
  <c r="D535" i="1"/>
  <c r="D531" i="1"/>
  <c r="D288" i="1"/>
  <c r="D155" i="1"/>
  <c r="D123" i="1"/>
  <c r="D124" i="1" s="1"/>
  <c r="D130" i="1" s="1"/>
  <c r="D154" i="1"/>
  <c r="C26" i="5"/>
  <c r="Z575" i="1" l="1"/>
  <c r="Y577" i="1"/>
  <c r="Y578" i="1" s="1"/>
  <c r="Y579" i="1" s="1"/>
  <c r="D532" i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AA575" i="1" l="1"/>
  <c r="Z577" i="1"/>
  <c r="Z578" i="1" s="1"/>
  <c r="Z579" i="1" s="1"/>
  <c r="D75" i="1"/>
  <c r="D76" i="1" s="1"/>
  <c r="C8" i="2"/>
  <c r="C15" i="2" s="1"/>
  <c r="R64" i="1"/>
  <c r="R66" i="1" s="1"/>
  <c r="R65" i="1"/>
  <c r="R67" i="1" s="1"/>
  <c r="AB575" i="1" l="1"/>
  <c r="AA577" i="1"/>
  <c r="AA578" i="1" s="1"/>
  <c r="AA579" i="1" s="1"/>
  <c r="D77" i="1"/>
  <c r="D78" i="1" s="1"/>
  <c r="D79" i="1" s="1"/>
  <c r="D91" i="1" s="1"/>
  <c r="AC575" i="1" l="1"/>
  <c r="AB577" i="1"/>
  <c r="AB578" i="1" s="1"/>
  <c r="AB579" i="1" s="1"/>
  <c r="D88" i="1"/>
  <c r="D89" i="1"/>
  <c r="D90" i="1"/>
  <c r="AD575" i="1" l="1"/>
  <c r="AC577" i="1"/>
  <c r="AC578" i="1" s="1"/>
  <c r="AC579" i="1" s="1"/>
  <c r="D23" i="1"/>
  <c r="D13" i="1"/>
  <c r="AE575" i="1" l="1"/>
  <c r="AD577" i="1"/>
  <c r="AD578" i="1" s="1"/>
  <c r="AD579" i="1" s="1"/>
  <c r="D32" i="1"/>
  <c r="D35" i="1" s="1"/>
  <c r="D38" i="1" s="1"/>
  <c r="D39" i="1" s="1"/>
  <c r="D113" i="1"/>
  <c r="D176" i="1"/>
  <c r="D586" i="1"/>
  <c r="D174" i="1"/>
  <c r="D237" i="1" s="1"/>
  <c r="H237" i="1" s="1"/>
  <c r="D164" i="1"/>
  <c r="D372" i="1" l="1"/>
  <c r="D330" i="1"/>
  <c r="D363" i="1" s="1"/>
  <c r="AF575" i="1"/>
  <c r="AE577" i="1"/>
  <c r="AE578" i="1" s="1"/>
  <c r="AE579" i="1" s="1"/>
  <c r="D37" i="1"/>
  <c r="D40" i="1" s="1"/>
  <c r="D41" i="1" s="1"/>
  <c r="D46" i="1" s="1"/>
  <c r="D477" i="1"/>
  <c r="D533" i="1" s="1"/>
  <c r="D536" i="1" s="1"/>
  <c r="D539" i="1" s="1"/>
  <c r="D234" i="1"/>
  <c r="D251" i="1" s="1"/>
  <c r="D114" i="1"/>
  <c r="D111" i="1"/>
  <c r="D206" i="1"/>
  <c r="D337" i="1"/>
  <c r="D108" i="1"/>
  <c r="D149" i="1" s="1"/>
  <c r="D158" i="1" s="1"/>
  <c r="D172" i="1"/>
  <c r="D238" i="1" s="1"/>
  <c r="D588" i="1"/>
  <c r="D602" i="1" s="1"/>
  <c r="D601" i="1"/>
  <c r="D604" i="1" s="1"/>
  <c r="D605" i="1" s="1"/>
  <c r="D199" i="1"/>
  <c r="D201" i="1" s="1"/>
  <c r="D202" i="1" s="1"/>
  <c r="D42" i="1"/>
  <c r="D115" i="1"/>
  <c r="D537" i="1" l="1"/>
  <c r="D540" i="1" s="1"/>
  <c r="D109" i="1"/>
  <c r="D110" i="1" s="1"/>
  <c r="D436" i="1"/>
  <c r="D379" i="1"/>
  <c r="D378" i="1"/>
  <c r="D444" i="1"/>
  <c r="D43" i="1"/>
  <c r="AG575" i="1"/>
  <c r="AF577" i="1"/>
  <c r="AF578" i="1" s="1"/>
  <c r="AF579" i="1" s="1"/>
  <c r="D112" i="1"/>
  <c r="D116" i="1"/>
  <c r="D168" i="1" s="1"/>
  <c r="D169" i="1" s="1"/>
  <c r="D481" i="1"/>
  <c r="D482" i="1"/>
  <c r="D479" i="1"/>
  <c r="D534" i="1" s="1"/>
  <c r="D538" i="1" s="1"/>
  <c r="D541" i="1" s="1"/>
  <c r="D484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514" i="1"/>
  <c r="D515" i="1" s="1"/>
  <c r="D160" i="1"/>
  <c r="D162" i="1" s="1"/>
  <c r="D366" i="1"/>
  <c r="D356" i="1"/>
  <c r="D357" i="1" s="1"/>
  <c r="D336" i="1"/>
  <c r="D590" i="1"/>
  <c r="D592" i="1" s="1"/>
  <c r="D607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603" i="1"/>
  <c r="G10" i="1"/>
  <c r="D21" i="1"/>
  <c r="D26" i="1"/>
  <c r="D447" i="1" l="1"/>
  <c r="D446" i="1"/>
  <c r="D437" i="1"/>
  <c r="D438" i="1" s="1"/>
  <c r="D439" i="1" s="1"/>
  <c r="AH575" i="1"/>
  <c r="AG577" i="1"/>
  <c r="AG578" i="1" s="1"/>
  <c r="AG579" i="1" s="1"/>
  <c r="D233" i="1"/>
  <c r="D232" i="1"/>
  <c r="D358" i="1"/>
  <c r="D458" i="1" s="1"/>
  <c r="D466" i="1" s="1"/>
  <c r="D468" i="1" s="1"/>
  <c r="D470" i="1" s="1"/>
  <c r="D119" i="1"/>
  <c r="D483" i="1"/>
  <c r="D485" i="1"/>
  <c r="D494" i="1" s="1"/>
  <c r="D511" i="1" s="1"/>
  <c r="D163" i="1"/>
  <c r="E731" i="1" s="1"/>
  <c r="D365" i="1"/>
  <c r="D177" i="1"/>
  <c r="D182" i="1" s="1"/>
  <c r="D209" i="1" s="1"/>
  <c r="D136" i="1"/>
  <c r="D138" i="1" s="1"/>
  <c r="D15" i="1"/>
  <c r="D74" i="1"/>
  <c r="D44" i="1" s="1"/>
  <c r="D95" i="1"/>
  <c r="D94" i="1"/>
  <c r="D93" i="1"/>
  <c r="D92" i="1"/>
  <c r="D66" i="1"/>
  <c r="D67" i="1" s="1"/>
  <c r="E729" i="1" s="1"/>
  <c r="D27" i="1"/>
  <c r="E730" i="1" s="1"/>
  <c r="D63" i="1"/>
  <c r="D64" i="1" s="1"/>
  <c r="D165" i="1" l="1"/>
  <c r="AI575" i="1"/>
  <c r="AH577" i="1"/>
  <c r="AH578" i="1" s="1"/>
  <c r="AH579" i="1" s="1"/>
  <c r="D166" i="1"/>
  <c r="D495" i="1"/>
  <c r="D498" i="1" s="1"/>
  <c r="E732" i="1"/>
  <c r="E739" i="1" s="1"/>
  <c r="E745" i="1" s="1"/>
  <c r="E746" i="1" s="1"/>
  <c r="E747" i="1" s="1"/>
  <c r="E748" i="1" s="1"/>
  <c r="D250" i="1"/>
  <c r="D256" i="1" s="1"/>
  <c r="D331" i="1" s="1"/>
  <c r="D338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29" i="1"/>
  <c r="D68" i="1"/>
  <c r="D69" i="1" s="1"/>
  <c r="D97" i="1"/>
  <c r="AJ575" i="1" l="1"/>
  <c r="AI577" i="1"/>
  <c r="AI578" i="1" s="1"/>
  <c r="AI579" i="1" s="1"/>
  <c r="D496" i="1"/>
  <c r="E750" i="1"/>
  <c r="E751" i="1" s="1"/>
  <c r="E752" i="1" s="1"/>
  <c r="E753" i="1" s="1"/>
  <c r="D264" i="1"/>
  <c r="D303" i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AK575" i="1" l="1"/>
  <c r="AJ577" i="1"/>
  <c r="AJ578" i="1" s="1"/>
  <c r="AJ579" i="1" s="1"/>
  <c r="D261" i="1"/>
  <c r="D260" i="1"/>
  <c r="D312" i="1"/>
  <c r="D314" i="1" s="1"/>
  <c r="D307" i="1"/>
  <c r="J233" i="1"/>
  <c r="E245" i="1"/>
  <c r="E246" i="1"/>
  <c r="E248" i="1" s="1"/>
  <c r="G232" i="1"/>
  <c r="H232" i="1" s="1"/>
  <c r="D340" i="1"/>
  <c r="D189" i="1"/>
  <c r="D192" i="1"/>
  <c r="D198" i="1"/>
  <c r="AL575" i="1" l="1"/>
  <c r="AK577" i="1"/>
  <c r="AK578" i="1" s="1"/>
  <c r="AK579" i="1" s="1"/>
  <c r="D309" i="1"/>
  <c r="D308" i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D310" i="1" l="1"/>
  <c r="AM575" i="1"/>
  <c r="AL577" i="1"/>
  <c r="AL578" i="1" s="1"/>
  <c r="AL579" i="1" s="1"/>
  <c r="F248" i="1"/>
  <c r="J232" i="1"/>
  <c r="I246" i="1"/>
  <c r="I248" i="1" s="1"/>
  <c r="G248" i="1"/>
  <c r="T13" i="6"/>
  <c r="AN575" i="1" l="1"/>
  <c r="AM577" i="1"/>
  <c r="AM578" i="1" s="1"/>
  <c r="AM579" i="1" s="1"/>
  <c r="K232" i="1"/>
  <c r="K246" i="1" s="1"/>
  <c r="K248" i="1" s="1"/>
  <c r="J246" i="1"/>
  <c r="J248" i="1" s="1"/>
  <c r="T14" i="6"/>
  <c r="T15" i="6" s="1"/>
  <c r="AO575" i="1" l="1"/>
  <c r="AN577" i="1"/>
  <c r="AN578" i="1" s="1"/>
  <c r="AN579" i="1" s="1"/>
  <c r="AP575" i="1" l="1"/>
  <c r="AO577" i="1"/>
  <c r="AO578" i="1" s="1"/>
  <c r="AO579" i="1" s="1"/>
  <c r="AQ575" i="1" l="1"/>
  <c r="AP577" i="1"/>
  <c r="AP578" i="1" s="1"/>
  <c r="AP579" i="1" s="1"/>
  <c r="AR575" i="1" l="1"/>
  <c r="AQ577" i="1"/>
  <c r="AQ578" i="1" s="1"/>
  <c r="AQ579" i="1" s="1"/>
  <c r="AS575" i="1" l="1"/>
  <c r="AR577" i="1"/>
  <c r="AR578" i="1" s="1"/>
  <c r="AR579" i="1" s="1"/>
  <c r="AT575" i="1" l="1"/>
  <c r="AS577" i="1"/>
  <c r="AS578" i="1" s="1"/>
  <c r="AS579" i="1" s="1"/>
  <c r="AU575" i="1" l="1"/>
  <c r="AT577" i="1"/>
  <c r="AT578" i="1" s="1"/>
  <c r="AT579" i="1" s="1"/>
  <c r="AV575" i="1" l="1"/>
  <c r="AU577" i="1"/>
  <c r="AU578" i="1" s="1"/>
  <c r="AU579" i="1" s="1"/>
  <c r="AW575" i="1" l="1"/>
  <c r="AV577" i="1"/>
  <c r="AV578" i="1" s="1"/>
  <c r="AV579" i="1" s="1"/>
  <c r="AX575" i="1" l="1"/>
  <c r="AW577" i="1"/>
  <c r="AW578" i="1" s="1"/>
  <c r="AW579" i="1" s="1"/>
  <c r="AY575" i="1" l="1"/>
  <c r="AX577" i="1"/>
  <c r="AX578" i="1" s="1"/>
  <c r="AX579" i="1" s="1"/>
  <c r="AZ575" i="1" l="1"/>
  <c r="AY577" i="1"/>
  <c r="AY578" i="1" s="1"/>
  <c r="AY579" i="1" s="1"/>
  <c r="BA575" i="1" l="1"/>
  <c r="AZ577" i="1"/>
  <c r="AZ578" i="1" s="1"/>
  <c r="AZ579" i="1" s="1"/>
  <c r="BB575" i="1" l="1"/>
  <c r="BA577" i="1"/>
  <c r="BA578" i="1" s="1"/>
  <c r="BA579" i="1" s="1"/>
  <c r="BC575" i="1" l="1"/>
  <c r="BB577" i="1"/>
  <c r="BB578" i="1" s="1"/>
  <c r="BB579" i="1" s="1"/>
  <c r="BD575" i="1" l="1"/>
  <c r="BC577" i="1"/>
  <c r="BC578" i="1" s="1"/>
  <c r="BC579" i="1" s="1"/>
  <c r="BE575" i="1" l="1"/>
  <c r="BD577" i="1"/>
  <c r="BD578" i="1" s="1"/>
  <c r="BD579" i="1" s="1"/>
  <c r="BF575" i="1" l="1"/>
  <c r="BE577" i="1"/>
  <c r="BE578" i="1" s="1"/>
  <c r="BE579" i="1" s="1"/>
  <c r="BG575" i="1" l="1"/>
  <c r="BF577" i="1"/>
  <c r="BF578" i="1" s="1"/>
  <c r="BF579" i="1" s="1"/>
  <c r="BH575" i="1" l="1"/>
  <c r="BG577" i="1"/>
  <c r="BG578" i="1" s="1"/>
  <c r="BG579" i="1" s="1"/>
  <c r="BI575" i="1" l="1"/>
  <c r="BH577" i="1"/>
  <c r="BH578" i="1" s="1"/>
  <c r="BH579" i="1" s="1"/>
  <c r="BJ575" i="1" l="1"/>
  <c r="BI577" i="1"/>
  <c r="BI578" i="1" s="1"/>
  <c r="BI579" i="1" s="1"/>
  <c r="BK575" i="1" l="1"/>
  <c r="BJ577" i="1"/>
  <c r="BJ578" i="1" s="1"/>
  <c r="BJ579" i="1" s="1"/>
  <c r="BL575" i="1" l="1"/>
  <c r="BK577" i="1"/>
  <c r="BK578" i="1" s="1"/>
  <c r="BK579" i="1" s="1"/>
  <c r="BM575" i="1" l="1"/>
  <c r="BL577" i="1"/>
  <c r="BL578" i="1" s="1"/>
  <c r="BL579" i="1" s="1"/>
  <c r="BN575" i="1" l="1"/>
  <c r="BM577" i="1"/>
  <c r="BM578" i="1" s="1"/>
  <c r="BM579" i="1" s="1"/>
  <c r="BO575" i="1" l="1"/>
  <c r="BN577" i="1"/>
  <c r="BN578" i="1" s="1"/>
  <c r="BN579" i="1" s="1"/>
  <c r="BP575" i="1" l="1"/>
  <c r="BO577" i="1"/>
  <c r="BO578" i="1" s="1"/>
  <c r="BO579" i="1" s="1"/>
  <c r="BQ575" i="1" l="1"/>
  <c r="BP577" i="1"/>
  <c r="BP578" i="1" s="1"/>
  <c r="BP579" i="1" s="1"/>
  <c r="BR575" i="1" l="1"/>
  <c r="BQ577" i="1"/>
  <c r="BQ578" i="1" s="1"/>
  <c r="BQ579" i="1" s="1"/>
  <c r="BS575" i="1" l="1"/>
  <c r="BR577" i="1"/>
  <c r="BR578" i="1" s="1"/>
  <c r="BR579" i="1" s="1"/>
  <c r="BT575" i="1" l="1"/>
  <c r="BS577" i="1"/>
  <c r="BS578" i="1" s="1"/>
  <c r="BS579" i="1" s="1"/>
  <c r="BU575" i="1" l="1"/>
  <c r="BT577" i="1"/>
  <c r="BT578" i="1" s="1"/>
  <c r="BT579" i="1" s="1"/>
  <c r="BV575" i="1" l="1"/>
  <c r="BU577" i="1"/>
  <c r="BU578" i="1" s="1"/>
  <c r="BU579" i="1" s="1"/>
  <c r="BW575" i="1" l="1"/>
  <c r="BV577" i="1"/>
  <c r="BV578" i="1" s="1"/>
  <c r="BV579" i="1" s="1"/>
  <c r="BX575" i="1" l="1"/>
  <c r="BW577" i="1"/>
  <c r="BW578" i="1" s="1"/>
  <c r="BW579" i="1" s="1"/>
  <c r="BY575" i="1" l="1"/>
  <c r="BX577" i="1"/>
  <c r="BX578" i="1" s="1"/>
  <c r="BX579" i="1" s="1"/>
  <c r="BZ575" i="1" l="1"/>
  <c r="BY577" i="1"/>
  <c r="BY578" i="1" s="1"/>
  <c r="BY579" i="1" s="1"/>
  <c r="CA575" i="1" l="1"/>
  <c r="BZ577" i="1"/>
  <c r="BZ578" i="1" s="1"/>
  <c r="BZ579" i="1" s="1"/>
  <c r="CB575" i="1" l="1"/>
  <c r="CA577" i="1"/>
  <c r="CA578" i="1" s="1"/>
  <c r="CA579" i="1" s="1"/>
  <c r="CC575" i="1" l="1"/>
  <c r="CB577" i="1"/>
  <c r="CB578" i="1" s="1"/>
  <c r="CB579" i="1" s="1"/>
  <c r="CD575" i="1" l="1"/>
  <c r="CC577" i="1"/>
  <c r="CC578" i="1" s="1"/>
  <c r="CC579" i="1" s="1"/>
  <c r="CE575" i="1" l="1"/>
  <c r="CD577" i="1"/>
  <c r="CD578" i="1" s="1"/>
  <c r="CD579" i="1" s="1"/>
  <c r="CF575" i="1" l="1"/>
  <c r="CE577" i="1"/>
  <c r="CE578" i="1" s="1"/>
  <c r="CE579" i="1" s="1"/>
  <c r="CG575" i="1" l="1"/>
  <c r="CF577" i="1"/>
  <c r="CF578" i="1" s="1"/>
  <c r="CF579" i="1" s="1"/>
  <c r="CH575" i="1" l="1"/>
  <c r="CG577" i="1"/>
  <c r="CG578" i="1" s="1"/>
  <c r="CG579" i="1" s="1"/>
  <c r="CI575" i="1" l="1"/>
  <c r="CH577" i="1"/>
  <c r="CH578" i="1" s="1"/>
  <c r="CH579" i="1" s="1"/>
  <c r="CJ575" i="1" l="1"/>
  <c r="CI577" i="1"/>
  <c r="CI578" i="1" s="1"/>
  <c r="CI579" i="1" s="1"/>
  <c r="CK575" i="1" l="1"/>
  <c r="CJ577" i="1"/>
  <c r="CJ578" i="1" s="1"/>
  <c r="CJ579" i="1" s="1"/>
  <c r="CL575" i="1" l="1"/>
  <c r="CK577" i="1"/>
  <c r="CK578" i="1" s="1"/>
  <c r="CK579" i="1" s="1"/>
  <c r="CM575" i="1" l="1"/>
  <c r="CL577" i="1"/>
  <c r="CL578" i="1" s="1"/>
  <c r="CL579" i="1" s="1"/>
  <c r="CN575" i="1" l="1"/>
  <c r="CM577" i="1"/>
  <c r="CM578" i="1" s="1"/>
  <c r="CM579" i="1" s="1"/>
  <c r="CO575" i="1" l="1"/>
  <c r="CN577" i="1"/>
  <c r="CN578" i="1" s="1"/>
  <c r="CN579" i="1" s="1"/>
  <c r="CP575" i="1" l="1"/>
  <c r="CO577" i="1"/>
  <c r="CO578" i="1" s="1"/>
  <c r="CO579" i="1" s="1"/>
  <c r="CQ575" i="1" l="1"/>
  <c r="CP577" i="1"/>
  <c r="CP578" i="1" s="1"/>
  <c r="CP579" i="1" s="1"/>
  <c r="CR575" i="1" l="1"/>
  <c r="CQ577" i="1"/>
  <c r="CQ578" i="1" s="1"/>
  <c r="CQ579" i="1" s="1"/>
  <c r="CS575" i="1" l="1"/>
  <c r="CR577" i="1"/>
  <c r="CR578" i="1" s="1"/>
  <c r="CR579" i="1" s="1"/>
  <c r="CT575" i="1" l="1"/>
  <c r="CS577" i="1"/>
  <c r="CS578" i="1" s="1"/>
  <c r="CS579" i="1" s="1"/>
  <c r="CU575" i="1" l="1"/>
  <c r="CT577" i="1"/>
  <c r="CT578" i="1" s="1"/>
  <c r="CT579" i="1" s="1"/>
  <c r="CV575" i="1" l="1"/>
  <c r="CU577" i="1"/>
  <c r="CU578" i="1" s="1"/>
  <c r="CU579" i="1" s="1"/>
  <c r="CW575" i="1" l="1"/>
  <c r="CV577" i="1"/>
  <c r="CV578" i="1" s="1"/>
  <c r="CV579" i="1" s="1"/>
  <c r="CX575" i="1" l="1"/>
  <c r="CX577" i="1" s="1"/>
  <c r="CX578" i="1" s="1"/>
  <c r="CX579" i="1" s="1"/>
  <c r="CW577" i="1"/>
  <c r="CW578" i="1" s="1"/>
  <c r="CW579" i="1" s="1"/>
  <c r="C580" i="1" l="1"/>
  <c r="D582" i="1" s="1"/>
  <c r="D430" i="1"/>
  <c r="D434" i="1" s="1"/>
</calcChain>
</file>

<file path=xl/sharedStrings.xml><?xml version="1.0" encoding="utf-8"?>
<sst xmlns="http://schemas.openxmlformats.org/spreadsheetml/2006/main" count="1482" uniqueCount="1007">
  <si>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</si>
  <si>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</si>
  <si>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</si>
  <si>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</si>
  <si>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</si>
  <si>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</si>
  <si>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</si>
  <si>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</si>
  <si>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</si>
  <si>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</si>
  <si>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</si>
  <si>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</si>
  <si>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</si>
  <si>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</si>
  <si>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</si>
  <si>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</si>
  <si>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</si>
  <si>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</si>
  <si>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</si>
  <si>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</si>
  <si>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</si>
  <si>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</si>
  <si>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</si>
  <si>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</si>
  <si>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</si>
  <si>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</si>
  <si>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</si>
  <si>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</si>
  <si>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</si>
  <si>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</si>
  <si>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</si>
  <si>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</si>
  <si>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</si>
  <si>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</si>
  <si>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</si>
  <si>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</si>
  <si>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</si>
  <si>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</si>
  <si>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</si>
  <si>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</si>
  <si>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</si>
  <si>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</si>
  <si>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</si>
  <si>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</si>
  <si>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</si>
  <si>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</si>
  <si>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</si>
  <si>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</si>
  <si>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</si>
  <si>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</si>
  <si>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</si>
  <si>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</si>
  <si>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</si>
  <si>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</si>
  <si>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</si>
  <si>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</si>
  <si>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</si>
  <si>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</si>
  <si>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</si>
  <si>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</si>
  <si>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</si>
  <si>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</si>
  <si>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</si>
  <si>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</si>
  <si>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</si>
  <si>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</si>
  <si>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</si>
  <si>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</si>
  <si>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</si>
  <si>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</si>
  <si>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</si>
  <si>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</si>
  <si>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</si>
  <si>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</si>
  <si>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</si>
  <si>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</si>
  <si>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</si>
  <si>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</si>
  <si>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</si>
  <si>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</si>
  <si>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</si>
  <si>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</si>
  <si>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</si>
  <si>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</si>
  <si>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</si>
  <si>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</si>
  <si>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</si>
  <si>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</si>
  <si>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</si>
  <si>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</si>
  <si>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</si>
  <si>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</si>
  <si>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</si>
  <si>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</si>
  <si>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</si>
  <si>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</si>
  <si>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</si>
  <si>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</si>
  <si>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</si>
  <si>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</si>
  <si>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</si>
  <si>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</si>
  <si>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</si>
  <si>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</si>
  <si>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</si>
  <si>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</si>
  <si>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</si>
  <si>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</si>
  <si>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</si>
  <si>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</si>
  <si>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</si>
  <si>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</si>
  <si>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</si>
  <si>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</si>
  <si>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</si>
  <si>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</si>
  <si>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</si>
  <si>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</si>
  <si>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</si>
  <si>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</si>
  <si>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</si>
  <si>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</si>
  <si>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</si>
  <si>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</si>
  <si>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</si>
  <si>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</si>
  <si>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</si>
  <si>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</si>
  <si>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</si>
  <si>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</si>
  <si>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</si>
  <si>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</si>
  <si>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</si>
  <si>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</si>
  <si>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</si>
  <si>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</si>
  <si>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</si>
  <si>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</si>
  <si>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</si>
  <si>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</si>
  <si>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</si>
  <si>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</si>
  <si>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</si>
  <si>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</si>
  <si>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</si>
  <si>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</si>
  <si>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</si>
  <si>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</si>
  <si>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</si>
  <si>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</si>
  <si>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</si>
  <si>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</si>
  <si>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</si>
  <si>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</si>
  <si>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</si>
  <si>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</si>
  <si>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</si>
  <si>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</si>
  <si>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</si>
  <si>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</si>
  <si>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</si>
  <si>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</si>
  <si>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</si>
  <si>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</si>
  <si>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</si>
  <si>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</si>
  <si>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</si>
  <si>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</si>
  <si>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</si>
  <si>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</si>
  <si>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</si>
  <si>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</si>
  <si>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</si>
  <si>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</si>
  <si>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</si>
  <si>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</si>
  <si>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</si>
  <si>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</si>
  <si>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</si>
  <si>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</si>
  <si>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</si>
  <si>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</si>
  <si>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</si>
  <si>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</si>
  <si>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</si>
  <si>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</si>
  <si>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</si>
  <si>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</si>
  <si>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</si>
  <si>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</si>
  <si>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</si>
  <si>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</si>
  <si>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</si>
  <si>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</si>
  <si>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</si>
  <si>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</si>
  <si>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</si>
  <si>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</si>
  <si>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</si>
  <si>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</si>
  <si>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</si>
  <si>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</si>
  <si>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</si>
  <si>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</si>
  <si>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</si>
  <si>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</si>
  <si>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</si>
  <si>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</si>
  <si>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</si>
  <si>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</si>
  <si>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</si>
  <si>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</si>
  <si>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</si>
  <si>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</si>
  <si>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</si>
  <si>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</si>
  <si>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</si>
  <si>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</si>
  <si>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</si>
  <si>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</si>
  <si>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</si>
  <si>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</si>
  <si>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</si>
  <si>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</si>
  <si>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</si>
  <si>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</si>
  <si>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</si>
  <si>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</si>
  <si>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</si>
  <si>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</si>
  <si>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</si>
  <si>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</si>
  <si>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</si>
  <si>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</si>
  <si>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</si>
  <si>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</si>
  <si>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</si>
  <si>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</si>
  <si>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</si>
  <si>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</si>
  <si>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</si>
  <si>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</si>
  <si>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</si>
  <si>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</si>
  <si>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</si>
  <si>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</si>
  <si>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</si>
  <si>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</si>
  <si>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</si>
  <si>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</si>
  <si>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</si>
  <si>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</si>
  <si>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</si>
  <si>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</si>
  <si>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</si>
  <si>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</si>
  <si>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</si>
  <si>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</si>
  <si>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</si>
  <si>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</si>
  <si>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</si>
  <si>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</si>
  <si>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</si>
  <si>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</si>
  <si>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</si>
  <si>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</si>
  <si>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</si>
  <si>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</si>
  <si>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</si>
  <si>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</si>
  <si>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</si>
  <si>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</si>
  <si>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</si>
  <si>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</si>
  <si>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</si>
  <si>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</si>
  <si>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</si>
  <si>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</si>
  <si>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</si>
  <si>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</si>
  <si>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</si>
  <si>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</si>
  <si>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</si>
  <si>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</si>
  <si>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</si>
  <si>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</si>
  <si>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</si>
  <si>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</si>
  <si>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</si>
  <si>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</si>
  <si>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</si>
  <si>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</si>
  <si>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</si>
  <si>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</si>
  <si>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</si>
  <si>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</si>
  <si>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</si>
  <si>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</si>
  <si>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</si>
  <si>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</si>
  <si>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</si>
  <si>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</si>
  <si>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</si>
  <si>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</si>
  <si>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</si>
  <si>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</si>
  <si>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</si>
  <si>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</si>
  <si>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</si>
  <si>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</si>
  <si>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</si>
  <si>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</si>
  <si>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</si>
  <si>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</si>
  <si>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</si>
  <si>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</si>
  <si>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</si>
  <si>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</si>
  <si>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</si>
  <si>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</si>
  <si>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</si>
  <si>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</si>
  <si>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</si>
  <si>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</si>
  <si>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</si>
  <si>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</si>
  <si>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</si>
  <si>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</si>
  <si>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</si>
  <si>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</si>
  <si>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</si>
  <si>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</si>
  <si>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</si>
  <si>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</si>
  <si>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</si>
  <si>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</si>
  <si>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</si>
  <si>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</si>
  <si>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</si>
  <si>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</si>
  <si>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</si>
  <si>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</si>
  <si>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</si>
  <si>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</si>
  <si>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</si>
  <si>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</si>
  <si>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</si>
  <si>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</si>
  <si>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</si>
  <si>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</si>
  <si>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</si>
  <si>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</si>
  <si>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</si>
  <si>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</si>
  <si>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</si>
  <si>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</si>
  <si>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</si>
  <si>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</si>
  <si>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</si>
  <si>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</si>
  <si>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</si>
  <si>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</si>
  <si>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</si>
  <si>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</si>
  <si>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</si>
  <si>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</si>
  <si>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</si>
  <si>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</si>
  <si>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</si>
  <si>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</si>
  <si>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</si>
  <si>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</si>
  <si>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</si>
  <si>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</si>
  <si>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</si>
  <si>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</si>
  <si>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</si>
  <si>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</si>
  <si>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</si>
  <si>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</si>
  <si>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</si>
  <si>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</si>
  <si>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</si>
  <si>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</si>
  <si>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</si>
  <si>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</si>
  <si>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</si>
  <si>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</si>
  <si>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</si>
  <si>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</si>
  <si>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</si>
  <si>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</si>
  <si>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</si>
  <si>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</si>
  <si>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</si>
  <si>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</si>
  <si>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</si>
  <si>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</si>
  <si>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</si>
  <si>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</si>
  <si>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</si>
  <si>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</si>
  <si>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</si>
  <si>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</si>
  <si>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</si>
  <si>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</si>
  <si>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</si>
  <si>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</si>
  <si>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</si>
  <si>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</si>
  <si>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</si>
  <si>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</si>
  <si>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</si>
  <si>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</si>
  <si>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</si>
  <si>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</si>
  <si>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</si>
  <si>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</si>
  <si>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</si>
  <si>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</si>
  <si>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</si>
  <si>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</si>
  <si>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</si>
  <si>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</si>
  <si>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</si>
  <si>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</si>
  <si>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</si>
  <si>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</si>
  <si>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</si>
  <si>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</si>
  <si>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</si>
  <si>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</si>
  <si>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</si>
  <si>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</si>
  <si>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</si>
  <si>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</si>
  <si>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</si>
  <si>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</si>
  <si>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</si>
  <si>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</si>
  <si>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</si>
  <si>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</si>
  <si>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</si>
  <si>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</si>
  <si>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</si>
  <si>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</si>
  <si>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</si>
  <si>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</si>
  <si>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</si>
  <si>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</si>
  <si>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</si>
  <si>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</si>
  <si>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</si>
  <si>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</si>
  <si>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</si>
  <si>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</si>
  <si>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</si>
  <si>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</si>
  <si>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</si>
  <si>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</si>
  <si>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</si>
  <si>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</si>
  <si>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</si>
  <si>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</si>
  <si>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</si>
  <si>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</si>
  <si>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</si>
  <si>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</si>
  <si>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</si>
  <si>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</si>
  <si>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</si>
  <si>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</si>
  <si>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</si>
  <si>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</si>
  <si>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</si>
  <si>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</si>
  <si>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</si>
  <si>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</si>
  <si>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</si>
  <si>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</si>
  <si>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</si>
  <si>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</si>
  <si>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</si>
  <si>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</si>
  <si>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</si>
  <si>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</si>
  <si>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</si>
  <si>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</si>
  <si>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</si>
  <si>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</si>
  <si>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</si>
  <si>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</si>
  <si>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</si>
  <si>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</si>
  <si>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</si>
  <si>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</si>
  <si>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</si>
  <si>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</si>
  <si>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</si>
  <si>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</si>
  <si>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</si>
  <si>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</si>
  <si>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</si>
  <si>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</si>
  <si>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</si>
  <si>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</si>
  <si>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</si>
  <si>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</si>
  <si>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</si>
  <si>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</si>
  <si>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</si>
  <si>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</si>
  <si>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</si>
  <si>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</si>
  <si>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</si>
  <si>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</si>
  <si>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</si>
  <si>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</si>
  <si>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</si>
  <si>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</si>
  <si>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</si>
  <si>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</si>
  <si>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</si>
  <si>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</si>
  <si>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</si>
  <si>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</si>
  <si>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</si>
  <si>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</si>
  <si>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</si>
  <si>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</si>
  <si>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</si>
  <si>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</si>
  <si>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</si>
  <si>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</si>
  <si>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</si>
  <si>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</si>
  <si>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</si>
  <si>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</si>
  <si>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</si>
  <si>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</si>
  <si>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</si>
  <si>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</si>
  <si>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</si>
  <si>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</si>
  <si>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</si>
  <si>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</si>
  <si>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</si>
  <si>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</si>
  <si>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</si>
  <si>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</si>
  <si>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</si>
  <si>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</si>
  <si>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</si>
  <si>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</si>
  <si>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</si>
  <si>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</si>
  <si>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</si>
  <si>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</si>
  <si>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</si>
  <si>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</si>
  <si>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</si>
  <si>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</si>
  <si>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</si>
  <si>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</si>
  <si>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</si>
  <si>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</si>
  <si>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</si>
  <si>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</si>
  <si>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</si>
  <si>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</si>
  <si>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</si>
  <si>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</si>
  <si>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</si>
  <si>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</si>
  <si>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</si>
  <si>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</si>
  <si>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</si>
  <si>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</si>
  <si>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</si>
  <si>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</si>
  <si>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</si>
  <si>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</si>
  <si>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</si>
  <si>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</si>
  <si>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</si>
  <si>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</si>
  <si>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</si>
  <si>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</si>
  <si>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</si>
  <si>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</si>
  <si>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</si>
  <si>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</si>
  <si>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</si>
  <si>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</si>
  <si>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</si>
  <si>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</si>
  <si>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</si>
  <si>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</si>
  <si>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</si>
  <si>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</si>
  <si>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</si>
  <si>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</si>
  <si>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</si>
  <si>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</si>
  <si>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</si>
  <si>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</si>
  <si>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</si>
  <si>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</si>
  <si>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</si>
  <si>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</si>
  <si>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</si>
  <si>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</si>
  <si>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</si>
  <si>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</si>
  <si>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</si>
  <si>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</si>
  <si>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</si>
  <si>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</si>
  <si>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</si>
  <si>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</si>
  <si>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</si>
  <si>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</si>
  <si>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</si>
  <si>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</si>
  <si>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</si>
  <si>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</si>
  <si>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</si>
  <si>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</si>
  <si>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</si>
  <si>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</si>
  <si>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</si>
  <si>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</si>
  <si>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</si>
  <si>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</si>
  <si>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</si>
  <si>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</si>
  <si>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</si>
  <si>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</si>
  <si>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</si>
  <si>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</si>
  <si>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</si>
  <si>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</si>
  <si>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</si>
  <si>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</si>
  <si>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</si>
  <si>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</si>
  <si>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</si>
  <si>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</si>
  <si>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</si>
  <si>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</si>
  <si>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</si>
  <si>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</si>
  <si>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</si>
  <si>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</si>
  <si>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</si>
  <si>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</si>
  <si>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</si>
  <si>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</si>
  <si>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</si>
  <si>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</si>
  <si>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</si>
  <si>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</si>
  <si>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</si>
  <si>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</si>
  <si>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</si>
  <si>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</si>
  <si>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</si>
  <si>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</si>
  <si>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</si>
  <si>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</si>
  <si>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</si>
  <si>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</si>
  <si>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</si>
  <si>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</si>
  <si>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</si>
  <si>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</si>
  <si>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</si>
  <si>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</si>
  <si>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</si>
  <si>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</si>
  <si>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</si>
  <si>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</si>
  <si>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</si>
  <si>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</si>
  <si>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</si>
  <si>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</si>
  <si>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</si>
  <si>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</si>
  <si>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</si>
  <si>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</si>
  <si>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</si>
  <si>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</si>
  <si>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</si>
  <si>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</si>
  <si>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</si>
  <si>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</si>
  <si>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</si>
  <si>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</si>
  <si>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</si>
  <si>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</si>
  <si>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</si>
  <si>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</si>
  <si>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</si>
  <si>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</si>
  <si>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</si>
  <si>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</si>
  <si>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</si>
  <si>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</si>
  <si>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</si>
  <si>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</si>
  <si>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</si>
  <si>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</si>
  <si>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</si>
  <si>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</si>
  <si>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</si>
  <si>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</si>
  <si>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</si>
  <si>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</si>
  <si>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</si>
  <si>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</si>
  <si>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</si>
  <si>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</si>
  <si>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</si>
  <si>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</si>
  <si>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</si>
  <si>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</si>
  <si>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</si>
  <si>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</si>
  <si>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</si>
  <si>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</si>
  <si>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</si>
  <si>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</si>
  <si>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</si>
  <si>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</si>
  <si>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</si>
  <si>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</si>
  <si>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</si>
  <si>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</si>
  <si>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</si>
  <si>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</si>
  <si>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</si>
  <si>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</si>
  <si>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</si>
  <si>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</si>
  <si>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</si>
  <si>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</si>
  <si>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</si>
  <si>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</si>
  <si>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</si>
  <si>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</si>
  <si>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</si>
  <si>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</si>
  <si>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</si>
  <si>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</si>
  <si>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</si>
  <si>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</si>
  <si>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</si>
  <si>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</si>
  <si>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</si>
  <si>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</si>
  <si>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</si>
  <si>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</si>
  <si>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</si>
  <si>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</si>
  <si>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</si>
  <si>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</si>
  <si>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</si>
  <si>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</si>
  <si>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</si>
  <si>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</si>
  <si>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</si>
  <si>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</si>
  <si>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</si>
  <si>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</si>
  <si>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</si>
  <si>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</si>
  <si>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</si>
  <si>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</si>
  <si>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</si>
  <si>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</si>
  <si>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</si>
  <si>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</si>
  <si>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</si>
  <si>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</si>
  <si>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</si>
  <si>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</si>
  <si>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</si>
  <si>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</si>
  <si>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</si>
  <si>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</si>
  <si>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</si>
  <si>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</si>
  <si>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</si>
  <si>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</si>
  <si>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</si>
  <si>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</si>
  <si>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</si>
  <si>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</si>
  <si>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</si>
  <si>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</si>
  <si>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</si>
  <si>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</si>
  <si>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</si>
  <si>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</si>
  <si>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</si>
  <si>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</si>
  <si>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</si>
  <si>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</si>
  <si>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</si>
  <si>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</si>
  <si>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</si>
  <si>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</si>
  <si>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</si>
  <si>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</si>
  <si>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</si>
  <si>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</si>
  <si>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</si>
  <si>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</si>
  <si>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</si>
  <si>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</si>
  <si>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</si>
  <si>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</si>
  <si>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</si>
  <si>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</si>
  <si>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</si>
  <si>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</si>
  <si>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</si>
  <si>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</si>
  <si>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</si>
  <si>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</si>
  <si>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</si>
  <si>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</si>
  <si>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</si>
  <si>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</si>
  <si>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</si>
  <si>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</si>
  <si>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</si>
  <si>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</si>
  <si>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</si>
  <si>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</si>
  <si>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</si>
  <si>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</si>
  <si>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</si>
  <si>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</si>
  <si>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</si>
  <si>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</si>
  <si>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</si>
  <si>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</si>
  <si>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</si>
  <si>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</si>
  <si>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</si>
  <si>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</si>
  <si>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</si>
  <si>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</si>
  <si>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</si>
  <si>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</si>
  <si>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</si>
  <si>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</si>
  <si>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</si>
  <si>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</si>
  <si>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</si>
  <si>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</si>
  <si>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</si>
  <si>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</si>
  <si>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</si>
  <si>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</si>
  <si>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</si>
  <si>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</si>
  <si>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</si>
  <si>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</si>
  <si>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</si>
  <si>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</si>
  <si>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</si>
  <si>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</si>
  <si>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</si>
  <si>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</si>
  <si>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</si>
  <si>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</si>
  <si>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</si>
  <si>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</si>
  <si>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</si>
  <si>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</si>
  <si>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</si>
  <si>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</si>
  <si>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</si>
  <si>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</si>
  <si>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</si>
  <si>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</si>
  <si>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</si>
  <si>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</si>
  <si>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</si>
  <si>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</si>
  <si>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</si>
  <si>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</si>
  <si>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</si>
  <si>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</si>
  <si>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</si>
  <si>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</si>
  <si>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</si>
  <si>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</si>
  <si>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</si>
  <si>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</si>
  <si>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</si>
  <si>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</si>
  <si>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</si>
  <si>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</si>
  <si>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</si>
  <si>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Maximum drive current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</si>
  <si>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</si>
  <si>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</si>
  <si>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</si>
  <si>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</si>
  <si>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</si>
  <si>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</si>
  <si>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</si>
  <si>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</si>
  <si>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</si>
  <si>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</si>
  <si>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</si>
  <si>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</si>
  <si>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</si>
  <si>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</si>
  <si>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</si>
  <si>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</si>
  <si>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</si>
  <si>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</si>
  <si>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</si>
  <si>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</si>
  <si>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</si>
  <si>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</si>
  <si>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</si>
  <si>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</si>
  <si>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</si>
  <si>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</si>
  <si>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</si>
  <si>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</si>
  <si>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</si>
  <si>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</si>
  <si>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</si>
  <si>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</si>
  <si>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</si>
  <si>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</si>
  <si>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</si>
  <si>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</si>
  <si>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</si>
  <si>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</si>
  <si>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</si>
  <si>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</si>
  <si>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</si>
  <si>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</si>
  <si>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</si>
  <si>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</si>
  <si>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</si>
  <si>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</si>
  <si>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</si>
  <si>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</si>
  <si>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</si>
  <si>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</si>
  <si>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</si>
  <si>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</si>
  <si>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</si>
  <si>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</si>
  <si>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R_trace_boot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</si>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</sst>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8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36017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692</xdr:row>
      <xdr:rowOff>81643</xdr:rowOff>
    </xdr:from>
    <xdr:to>
      <xdr:col>7</xdr:col>
      <xdr:colOff>1282200</xdr:colOff>
      <xdr:row>714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</xdr:row>
      <xdr:rowOff>0</xdr:rowOff>
    </xdr:from>
    <xdr:to>
      <xdr:col>1</xdr:col>
      <xdr:colOff>304800</xdr:colOff>
      <xdr:row>330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371</xdr:row>
      <xdr:rowOff>0</xdr:rowOff>
    </xdr:from>
    <xdr:to>
      <xdr:col>1</xdr:col>
      <xdr:colOff>304800</xdr:colOff>
      <xdr:row>372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448</xdr:row>
      <xdr:rowOff>27214</xdr:rowOff>
    </xdr:from>
    <xdr:to>
      <xdr:col>7</xdr:col>
      <xdr:colOff>293081</xdr:colOff>
      <xdr:row>449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449</xdr:row>
      <xdr:rowOff>176892</xdr:rowOff>
    </xdr:from>
    <xdr:to>
      <xdr:col>6</xdr:col>
      <xdr:colOff>228966</xdr:colOff>
      <xdr:row>453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417</xdr:row>
      <xdr:rowOff>176891</xdr:rowOff>
    </xdr:from>
    <xdr:to>
      <xdr:col>11</xdr:col>
      <xdr:colOff>517774</xdr:colOff>
      <xdr:row>424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424</xdr:row>
      <xdr:rowOff>81643</xdr:rowOff>
    </xdr:from>
    <xdr:to>
      <xdr:col>8</xdr:col>
      <xdr:colOff>458947</xdr:colOff>
      <xdr:row>432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434</xdr:row>
      <xdr:rowOff>27214</xdr:rowOff>
    </xdr:from>
    <xdr:to>
      <xdr:col>9</xdr:col>
      <xdr:colOff>645499</xdr:colOff>
      <xdr:row>453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434</xdr:row>
      <xdr:rowOff>27215</xdr:rowOff>
    </xdr:from>
    <xdr:to>
      <xdr:col>16</xdr:col>
      <xdr:colOff>108050</xdr:colOff>
      <xdr:row>453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401</xdr:row>
      <xdr:rowOff>13608</xdr:rowOff>
    </xdr:from>
    <xdr:to>
      <xdr:col>9</xdr:col>
      <xdr:colOff>213913</xdr:colOff>
      <xdr:row>404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809"/>
  <sheetViews>
    <sheetView tabSelected="1" topLeftCell="A792" zoomScale="70" zoomScaleNormal="70" workbookViewId="0">
      <selection activeCell="E804" sqref="E804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  <c r="F1" t="s">
        <v>996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491</v>
      </c>
      <c r="C6" t="s">
        <v>492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62" t="s">
        <v>586</v>
      </c>
      <c r="H19" s="62"/>
      <c r="I19" s="62"/>
      <c r="J19" s="62"/>
    </row>
    <row r="20" spans="1:11" x14ac:dyDescent="0.25">
      <c r="A20" s="60" t="s">
        <v>103</v>
      </c>
      <c r="B20" t="s">
        <v>101</v>
      </c>
      <c r="C20" t="s">
        <v>2</v>
      </c>
      <c r="D20">
        <v>0.3</v>
      </c>
      <c r="E20" t="s">
        <v>20</v>
      </c>
      <c r="G20" s="62"/>
      <c r="H20" s="62"/>
      <c r="I20" s="62"/>
      <c r="J20" s="62"/>
    </row>
    <row r="21" spans="1:11" x14ac:dyDescent="0.25">
      <c r="A21" s="60"/>
      <c r="B21" s="6"/>
      <c r="C21" s="6" t="s">
        <v>3</v>
      </c>
      <c r="D21" s="6">
        <f>D20/D4</f>
        <v>0.25</v>
      </c>
      <c r="E21" s="6" t="s">
        <v>20</v>
      </c>
      <c r="G21" s="62"/>
      <c r="H21" s="62"/>
      <c r="I21" s="62"/>
      <c r="J21" s="62"/>
    </row>
    <row r="22" spans="1:11" x14ac:dyDescent="0.25">
      <c r="A22" s="60"/>
      <c r="B22" t="s">
        <v>67</v>
      </c>
      <c r="C22" t="s">
        <v>102</v>
      </c>
      <c r="D22">
        <v>0.1</v>
      </c>
      <c r="G22" s="62"/>
      <c r="H22" s="62"/>
      <c r="I22" s="62"/>
      <c r="J22" s="62"/>
    </row>
    <row r="23" spans="1:11" x14ac:dyDescent="0.25">
      <c r="A23" s="60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60"/>
      <c r="C24" t="s">
        <v>7</v>
      </c>
      <c r="D24">
        <v>35</v>
      </c>
    </row>
    <row r="25" spans="1:11" x14ac:dyDescent="0.25">
      <c r="A25" s="60"/>
      <c r="B25" s="6"/>
      <c r="C25" s="6" t="s">
        <v>28</v>
      </c>
      <c r="D25" s="6"/>
      <c r="E25" s="6"/>
    </row>
    <row r="26" spans="1:11" x14ac:dyDescent="0.25">
      <c r="A26" s="60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60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60"/>
      <c r="C28" t="s">
        <v>8</v>
      </c>
      <c r="D28">
        <v>100</v>
      </c>
      <c r="E28" t="s">
        <v>21</v>
      </c>
    </row>
    <row r="29" spans="1:11" x14ac:dyDescent="0.25">
      <c r="A29" s="60"/>
      <c r="C29" t="s">
        <v>10</v>
      </c>
      <c r="D29" s="1">
        <f>D71/D14</f>
        <v>0</v>
      </c>
      <c r="E29" t="s">
        <v>25</v>
      </c>
      <c r="G29" s="62" t="s">
        <v>587</v>
      </c>
      <c r="H29" s="63"/>
      <c r="I29" s="63"/>
      <c r="J29" s="63"/>
      <c r="K29" s="63"/>
    </row>
    <row r="30" spans="1:11" x14ac:dyDescent="0.25">
      <c r="B30" s="8"/>
      <c r="C30" s="10"/>
      <c r="D30" s="8"/>
      <c r="E30" s="8"/>
      <c r="G30" s="63"/>
      <c r="H30" s="63"/>
      <c r="I30" s="63"/>
      <c r="J30" s="63"/>
      <c r="K30" s="63"/>
    </row>
    <row r="31" spans="1:11" ht="15" customHeight="1" x14ac:dyDescent="0.25">
      <c r="A31" s="60" t="s">
        <v>132</v>
      </c>
      <c r="B31" s="6"/>
      <c r="C31" s="6"/>
      <c r="D31" s="6"/>
      <c r="E31" s="7"/>
      <c r="G31" s="63"/>
      <c r="H31" s="63"/>
      <c r="I31" s="63"/>
      <c r="J31" s="63"/>
      <c r="K31" s="63"/>
    </row>
    <row r="32" spans="1:11" x14ac:dyDescent="0.25">
      <c r="A32" s="60"/>
      <c r="B32" s="6"/>
      <c r="C32" s="6" t="s">
        <v>126</v>
      </c>
      <c r="D32" s="6">
        <f>D8/D23</f>
        <v>959999.99999999988</v>
      </c>
      <c r="E32" s="7" t="s">
        <v>24</v>
      </c>
      <c r="G32" s="63"/>
      <c r="H32" s="63"/>
      <c r="I32" s="63"/>
      <c r="J32" s="63"/>
      <c r="K32" s="63"/>
    </row>
    <row r="33" spans="1:11" x14ac:dyDescent="0.25">
      <c r="A33" s="60"/>
      <c r="B33" s="8"/>
      <c r="C33" s="8" t="s">
        <v>127</v>
      </c>
      <c r="D33" s="8">
        <v>200000</v>
      </c>
      <c r="E33" s="9" t="s">
        <v>24</v>
      </c>
      <c r="G33" s="63"/>
      <c r="H33" s="63"/>
      <c r="I33" s="63"/>
      <c r="J33" s="63"/>
      <c r="K33" s="63"/>
    </row>
    <row r="34" spans="1:11" x14ac:dyDescent="0.25">
      <c r="A34" s="60"/>
      <c r="B34" s="8"/>
      <c r="C34" s="8" t="s">
        <v>128</v>
      </c>
      <c r="D34" s="8">
        <v>5</v>
      </c>
      <c r="E34" s="9"/>
      <c r="G34" s="63"/>
      <c r="H34" s="63"/>
      <c r="I34" s="63"/>
      <c r="J34" s="63"/>
      <c r="K34" s="63"/>
    </row>
    <row r="35" spans="1:11" x14ac:dyDescent="0.25">
      <c r="A35" s="60"/>
      <c r="C35" t="s">
        <v>133</v>
      </c>
      <c r="D35">
        <f>D33*D34</f>
        <v>1000000</v>
      </c>
    </row>
    <row r="36" spans="1:11" x14ac:dyDescent="0.25">
      <c r="A36" s="60"/>
      <c r="C36" t="s">
        <v>136</v>
      </c>
      <c r="D36">
        <v>5</v>
      </c>
      <c r="E36" t="s">
        <v>168</v>
      </c>
    </row>
    <row r="37" spans="1:11" x14ac:dyDescent="0.25">
      <c r="A37" s="60"/>
      <c r="C37" t="s">
        <v>169</v>
      </c>
      <c r="D37">
        <f>(1+(D36/200))*D35</f>
        <v>1024999.9999999999</v>
      </c>
    </row>
    <row r="38" spans="1:11" x14ac:dyDescent="0.25">
      <c r="A38" s="60"/>
      <c r="C38" t="s">
        <v>170</v>
      </c>
      <c r="D38">
        <f>(1-(D36/200))*D35</f>
        <v>975000</v>
      </c>
    </row>
    <row r="39" spans="1:11" x14ac:dyDescent="0.25">
      <c r="A39" s="60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60"/>
      <c r="B40" s="6"/>
      <c r="C40" s="6" t="s">
        <v>769</v>
      </c>
      <c r="D40" s="6">
        <f>POWER(D10, 2)*D37</f>
        <v>11.388888888888889</v>
      </c>
      <c r="E40" s="6" t="s">
        <v>22</v>
      </c>
    </row>
    <row r="41" spans="1:11" x14ac:dyDescent="0.25">
      <c r="A41" s="60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60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60"/>
      <c r="B43" s="6"/>
      <c r="C43" s="6" t="s">
        <v>770</v>
      </c>
      <c r="D43" s="6">
        <f>POWER(D11, 2)*D37</f>
        <v>6.40625</v>
      </c>
      <c r="E43" s="6" t="s">
        <v>22</v>
      </c>
    </row>
    <row r="44" spans="1:11" x14ac:dyDescent="0.25">
      <c r="A44" s="60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60"/>
      <c r="B45" s="6"/>
      <c r="C45" s="6" t="s">
        <v>767</v>
      </c>
      <c r="D45" s="11">
        <v>3</v>
      </c>
      <c r="E45" s="6" t="s">
        <v>22</v>
      </c>
    </row>
    <row r="46" spans="1:11" x14ac:dyDescent="0.25">
      <c r="A46" s="60"/>
      <c r="B46" s="6"/>
      <c r="C46" s="6" t="s">
        <v>768</v>
      </c>
      <c r="D46" t="b">
        <f>D45/D4&gt;=D41</f>
        <v>1</v>
      </c>
      <c r="E46" s="6"/>
    </row>
    <row r="47" spans="1:11" x14ac:dyDescent="0.25">
      <c r="A47" s="60"/>
      <c r="B47" s="6"/>
      <c r="C47" s="6" t="s">
        <v>771</v>
      </c>
      <c r="D47" s="11">
        <f>D45*D34/D4</f>
        <v>12.5</v>
      </c>
      <c r="E47" s="6"/>
    </row>
    <row r="48" spans="1:11" x14ac:dyDescent="0.25">
      <c r="A48" s="60"/>
      <c r="B48" s="6"/>
      <c r="C48" s="6"/>
      <c r="D48" s="11"/>
      <c r="E48" s="6"/>
    </row>
    <row r="49" spans="1:18" x14ac:dyDescent="0.25">
      <c r="A49" s="60"/>
      <c r="B49" s="8"/>
      <c r="C49" s="8" t="s">
        <v>773</v>
      </c>
      <c r="D49" s="13">
        <f>22000</f>
        <v>22000</v>
      </c>
      <c r="E49" s="8"/>
    </row>
    <row r="50" spans="1:18" x14ac:dyDescent="0.25">
      <c r="A50" s="60"/>
      <c r="B50" s="8"/>
      <c r="C50" s="8" t="s">
        <v>679</v>
      </c>
      <c r="D50" s="13">
        <v>0.1</v>
      </c>
      <c r="E50" s="8"/>
    </row>
    <row r="51" spans="1:18" x14ac:dyDescent="0.25">
      <c r="A51" s="60"/>
      <c r="B51" s="8"/>
      <c r="C51" s="8" t="s">
        <v>680</v>
      </c>
      <c r="D51" s="13">
        <v>0.06</v>
      </c>
      <c r="E51" s="8"/>
    </row>
    <row r="52" spans="1:18" x14ac:dyDescent="0.25">
      <c r="A52" s="60"/>
      <c r="B52" s="8"/>
      <c r="C52" s="8" t="s">
        <v>774</v>
      </c>
      <c r="D52" s="13">
        <f>PI()*D51*D51/4</f>
        <v>2.8274333882308137E-3</v>
      </c>
      <c r="E52" s="8"/>
    </row>
    <row r="53" spans="1:18" x14ac:dyDescent="0.25">
      <c r="A53" s="60"/>
      <c r="B53" s="43"/>
      <c r="C53" s="43" t="s">
        <v>200</v>
      </c>
      <c r="D53" s="44">
        <f>D49*D50/D52</f>
        <v>778090.83289371058</v>
      </c>
      <c r="E53" s="43"/>
    </row>
    <row r="54" spans="1:18" x14ac:dyDescent="0.25">
      <c r="A54" s="60"/>
      <c r="B54" s="6"/>
      <c r="C54" s="6" t="s">
        <v>776</v>
      </c>
      <c r="D54" s="11">
        <f>D51*D52</f>
        <v>1.696460032938488E-4</v>
      </c>
      <c r="E54" s="6"/>
    </row>
    <row r="55" spans="1:18" x14ac:dyDescent="0.25">
      <c r="A55" s="60"/>
      <c r="B55" s="6"/>
      <c r="C55" s="6" t="s">
        <v>777</v>
      </c>
      <c r="D55" s="11">
        <v>3990</v>
      </c>
      <c r="E55" s="45" t="s">
        <v>778</v>
      </c>
    </row>
    <row r="56" spans="1:18" x14ac:dyDescent="0.25">
      <c r="A56" s="60"/>
      <c r="B56" s="6"/>
      <c r="C56" s="6" t="s">
        <v>779</v>
      </c>
      <c r="D56" s="11">
        <v>1020</v>
      </c>
      <c r="E56" s="6"/>
    </row>
    <row r="57" spans="1:18" x14ac:dyDescent="0.25">
      <c r="A57" s="60"/>
      <c r="B57" s="6"/>
      <c r="C57" s="6" t="s">
        <v>775</v>
      </c>
      <c r="D57" s="11">
        <f>D56*D54*D55</f>
        <v>690.42530420530591</v>
      </c>
      <c r="E57" s="6"/>
    </row>
    <row r="58" spans="1:18" x14ac:dyDescent="0.25">
      <c r="A58" s="60"/>
      <c r="B58" s="6"/>
      <c r="C58" s="6" t="s">
        <v>780</v>
      </c>
      <c r="D58" s="11">
        <f>20</f>
        <v>20</v>
      </c>
      <c r="E58" s="6"/>
    </row>
    <row r="59" spans="1:18" x14ac:dyDescent="0.25">
      <c r="A59" s="60"/>
      <c r="B59" s="6"/>
      <c r="C59" s="6" t="s">
        <v>781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60" t="s">
        <v>30</v>
      </c>
      <c r="C61" s="8" t="s">
        <v>29</v>
      </c>
      <c r="D61" s="8">
        <v>180</v>
      </c>
      <c r="E61" s="8" t="s">
        <v>339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60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60"/>
      <c r="B63" s="6"/>
      <c r="C63" s="6" t="s">
        <v>13</v>
      </c>
      <c r="D63" s="6">
        <f>D62/D14</f>
        <v>5</v>
      </c>
      <c r="E63" s="6" t="s">
        <v>339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60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60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60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60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60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60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61" t="s">
        <v>109</v>
      </c>
      <c r="C71" s="6"/>
      <c r="D71" s="11"/>
      <c r="E71" s="6"/>
    </row>
    <row r="72" spans="1:18" x14ac:dyDescent="0.25">
      <c r="A72" s="61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61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61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61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61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61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61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61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61"/>
      <c r="C80" t="s">
        <v>94</v>
      </c>
      <c r="D80">
        <v>0.01</v>
      </c>
    </row>
    <row r="81" spans="1:8" x14ac:dyDescent="0.25">
      <c r="A81" s="61"/>
      <c r="C81" t="s">
        <v>95</v>
      </c>
      <c r="D81">
        <v>0.03</v>
      </c>
    </row>
    <row r="82" spans="1:8" x14ac:dyDescent="0.25">
      <c r="A82" s="61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61"/>
      <c r="C83" t="s">
        <v>97</v>
      </c>
      <c r="D83">
        <v>1E-3</v>
      </c>
      <c r="G83" s="5"/>
    </row>
    <row r="84" spans="1:8" x14ac:dyDescent="0.25">
      <c r="A84" s="61"/>
      <c r="C84" t="s">
        <v>98</v>
      </c>
      <c r="D84">
        <v>5.0000000000000001E-3</v>
      </c>
    </row>
    <row r="85" spans="1:8" x14ac:dyDescent="0.25">
      <c r="A85" s="61"/>
      <c r="C85" t="s">
        <v>99</v>
      </c>
      <c r="D85">
        <v>1.4999999999999999E-2</v>
      </c>
    </row>
    <row r="86" spans="1:8" x14ac:dyDescent="0.25">
      <c r="A86" s="61"/>
      <c r="C86" t="s">
        <v>100</v>
      </c>
      <c r="D86">
        <v>0.01</v>
      </c>
    </row>
    <row r="87" spans="1:8" x14ac:dyDescent="0.25">
      <c r="A87" s="61"/>
      <c r="C87" t="s">
        <v>113</v>
      </c>
      <c r="D87">
        <v>0.02</v>
      </c>
    </row>
    <row r="88" spans="1:8" x14ac:dyDescent="0.25">
      <c r="A88" s="61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61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61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61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61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61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61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61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60" t="s">
        <v>125</v>
      </c>
      <c r="B98" s="6" t="s">
        <v>62</v>
      </c>
      <c r="C98" s="6" t="s">
        <v>63</v>
      </c>
      <c r="D98" s="6">
        <f>D12/2</f>
        <v>7000</v>
      </c>
      <c r="E98" s="2"/>
    </row>
    <row r="99" spans="1:5" x14ac:dyDescent="0.25">
      <c r="A99" s="60"/>
      <c r="B99" t="s">
        <v>58</v>
      </c>
      <c r="C99" s="3" t="s">
        <v>59</v>
      </c>
      <c r="D99">
        <v>0.38</v>
      </c>
    </row>
    <row r="100" spans="1:5" x14ac:dyDescent="0.25">
      <c r="A100" s="60"/>
      <c r="B100" t="s">
        <v>57</v>
      </c>
      <c r="D100">
        <v>6.9999999999999999E-4</v>
      </c>
    </row>
    <row r="101" spans="1:5" x14ac:dyDescent="0.25">
      <c r="A101" s="60"/>
      <c r="B101" t="s">
        <v>51</v>
      </c>
      <c r="C101" t="s">
        <v>52</v>
      </c>
      <c r="D101">
        <v>120</v>
      </c>
    </row>
    <row r="102" spans="1:5" x14ac:dyDescent="0.25">
      <c r="A102" s="60"/>
      <c r="C102" t="s">
        <v>36</v>
      </c>
      <c r="D102">
        <v>0.9</v>
      </c>
    </row>
    <row r="103" spans="1:5" x14ac:dyDescent="0.25">
      <c r="A103" s="60"/>
      <c r="B103" t="s">
        <v>39</v>
      </c>
      <c r="C103" t="s">
        <v>42</v>
      </c>
      <c r="D103">
        <v>0.5</v>
      </c>
    </row>
    <row r="104" spans="1:5" x14ac:dyDescent="0.25">
      <c r="A104" s="60"/>
      <c r="B104" t="s">
        <v>575</v>
      </c>
      <c r="C104" s="35" t="s">
        <v>576</v>
      </c>
      <c r="D104" s="1">
        <f>D2/D3</f>
        <v>1.2500000000000001E-2</v>
      </c>
    </row>
    <row r="105" spans="1:5" x14ac:dyDescent="0.25">
      <c r="A105" s="60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60"/>
      <c r="C106" t="s">
        <v>40</v>
      </c>
      <c r="D106">
        <f>D105</f>
        <v>22.598870056497173</v>
      </c>
    </row>
    <row r="107" spans="1:5" x14ac:dyDescent="0.25">
      <c r="A107" s="60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60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60"/>
      <c r="B109" t="s">
        <v>55</v>
      </c>
      <c r="C109" t="s">
        <v>56</v>
      </c>
      <c r="D109">
        <f>(D7 * D103) / (D108 * D100 * D3)</f>
        <v>9.7476048369563459E-2</v>
      </c>
    </row>
    <row r="110" spans="1:5" x14ac:dyDescent="0.25">
      <c r="A110" s="60"/>
      <c r="C110" t="s">
        <v>60</v>
      </c>
      <c r="D110" t="b">
        <f>D109&gt;D99</f>
        <v>0</v>
      </c>
    </row>
    <row r="111" spans="1:5" x14ac:dyDescent="0.25">
      <c r="A111" s="60"/>
      <c r="B111" t="s">
        <v>577</v>
      </c>
      <c r="C111" t="s">
        <v>580</v>
      </c>
      <c r="D111">
        <f>D105/D113</f>
        <v>271.18644067796606</v>
      </c>
    </row>
    <row r="112" spans="1:5" x14ac:dyDescent="0.25">
      <c r="A112" s="60"/>
      <c r="B112" t="s">
        <v>578</v>
      </c>
      <c r="C112" t="s">
        <v>579</v>
      </c>
      <c r="D112">
        <f>1/D111</f>
        <v>3.6875000000000007E-3</v>
      </c>
      <c r="E112">
        <v>3.6874999999999998E-3</v>
      </c>
    </row>
    <row r="113" spans="1:5" x14ac:dyDescent="0.25">
      <c r="A113" s="60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60"/>
      <c r="C114" t="s">
        <v>66</v>
      </c>
      <c r="D114" t="b">
        <f>D113&lt;=D23</f>
        <v>1</v>
      </c>
    </row>
    <row r="115" spans="1:5" x14ac:dyDescent="0.25">
      <c r="A115" s="60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60"/>
      <c r="B116" t="s">
        <v>812</v>
      </c>
      <c r="C116" t="s">
        <v>69</v>
      </c>
      <c r="D116">
        <f>D107*POWER(D111,2)</f>
        <v>3.6</v>
      </c>
      <c r="E116" t="s">
        <v>813</v>
      </c>
    </row>
    <row r="117" spans="1:5" x14ac:dyDescent="0.25">
      <c r="A117" s="60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60"/>
      <c r="C118" t="s">
        <v>176</v>
      </c>
      <c r="D118">
        <v>6</v>
      </c>
    </row>
    <row r="119" spans="1:5" x14ac:dyDescent="0.25">
      <c r="A119" s="60"/>
      <c r="C119" t="s">
        <v>227</v>
      </c>
      <c r="D119">
        <f>D117/D118</f>
        <v>912.87092917527673</v>
      </c>
    </row>
    <row r="120" spans="1:5" x14ac:dyDescent="0.25">
      <c r="A120" s="60"/>
      <c r="C120" t="s">
        <v>187</v>
      </c>
      <c r="D120">
        <v>33</v>
      </c>
      <c r="E120" t="s">
        <v>139</v>
      </c>
    </row>
    <row r="121" spans="1:5" x14ac:dyDescent="0.25">
      <c r="A121" s="60"/>
      <c r="C121" t="s">
        <v>185</v>
      </c>
      <c r="D121">
        <v>74</v>
      </c>
      <c r="E121" t="s">
        <v>139</v>
      </c>
    </row>
    <row r="122" spans="1:5" x14ac:dyDescent="0.25">
      <c r="A122" s="60"/>
      <c r="C122" t="s">
        <v>184</v>
      </c>
      <c r="D122">
        <v>4</v>
      </c>
    </row>
    <row r="123" spans="1:5" x14ac:dyDescent="0.25">
      <c r="A123" s="60"/>
      <c r="C123" t="s">
        <v>178</v>
      </c>
      <c r="D123">
        <f>D121-(D122*2)</f>
        <v>66</v>
      </c>
      <c r="E123" t="s">
        <v>139</v>
      </c>
    </row>
    <row r="124" spans="1:5" x14ac:dyDescent="0.25">
      <c r="A124" s="60"/>
      <c r="C124" t="s">
        <v>179</v>
      </c>
      <c r="D124">
        <f>D123/D118</f>
        <v>11</v>
      </c>
      <c r="E124" t="s">
        <v>139</v>
      </c>
    </row>
    <row r="125" spans="1:5" x14ac:dyDescent="0.25">
      <c r="A125" s="60"/>
      <c r="C125" t="s">
        <v>180</v>
      </c>
      <c r="D125">
        <v>0.25</v>
      </c>
      <c r="E125" t="s">
        <v>139</v>
      </c>
    </row>
    <row r="126" spans="1:5" x14ac:dyDescent="0.25">
      <c r="A126" s="60"/>
      <c r="C126" t="s">
        <v>189</v>
      </c>
      <c r="D126">
        <f>D125/2000</f>
        <v>1.25E-4</v>
      </c>
      <c r="E126" t="s">
        <v>212</v>
      </c>
    </row>
    <row r="127" spans="1:5" x14ac:dyDescent="0.25">
      <c r="A127" s="60"/>
      <c r="C127" t="s">
        <v>181</v>
      </c>
      <c r="D127">
        <f>0.1</f>
        <v>0.1</v>
      </c>
    </row>
    <row r="128" spans="1:5" x14ac:dyDescent="0.25">
      <c r="A128" s="60"/>
      <c r="C128" t="s">
        <v>182</v>
      </c>
      <c r="D128">
        <f>D125*(1+D127)</f>
        <v>0.27500000000000002</v>
      </c>
    </row>
    <row r="129" spans="1:5" x14ac:dyDescent="0.25">
      <c r="A129" s="60"/>
      <c r="C129" t="s">
        <v>177</v>
      </c>
      <c r="D129">
        <f>D117/D118</f>
        <v>912.87092917527673</v>
      </c>
    </row>
    <row r="130" spans="1:5" x14ac:dyDescent="0.25">
      <c r="A130" s="60"/>
      <c r="C130" t="s">
        <v>183</v>
      </c>
      <c r="D130">
        <f>D124/D128</f>
        <v>40</v>
      </c>
    </row>
    <row r="131" spans="1:5" x14ac:dyDescent="0.25">
      <c r="A131" s="60"/>
      <c r="C131" t="s">
        <v>195</v>
      </c>
      <c r="D131">
        <f>D129/D130</f>
        <v>22.821773229381918</v>
      </c>
    </row>
    <row r="132" spans="1:5" x14ac:dyDescent="0.25">
      <c r="A132" s="60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60"/>
      <c r="C133" t="s">
        <v>186</v>
      </c>
      <c r="D133">
        <f>(D120/2)+(D132/2)</f>
        <v>19.352721653672738</v>
      </c>
    </row>
    <row r="134" spans="1:5" x14ac:dyDescent="0.25">
      <c r="A134" s="60"/>
      <c r="C134" t="s">
        <v>188</v>
      </c>
      <c r="D134">
        <f>(D133/1000)*D117*2*PI()</f>
        <v>666.01275416968303</v>
      </c>
    </row>
    <row r="135" spans="1:5" x14ac:dyDescent="0.25">
      <c r="A135" s="60"/>
      <c r="C135" t="s">
        <v>189</v>
      </c>
      <c r="D135">
        <f>D125/2000</f>
        <v>1.25E-4</v>
      </c>
    </row>
    <row r="136" spans="1:5" x14ac:dyDescent="0.25">
      <c r="A136" s="60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60"/>
      <c r="C137" t="s">
        <v>191</v>
      </c>
      <c r="D137">
        <v>8960</v>
      </c>
    </row>
    <row r="138" spans="1:5" x14ac:dyDescent="0.25">
      <c r="A138" s="60"/>
      <c r="C138" t="s">
        <v>193</v>
      </c>
      <c r="D138">
        <f>D137*D136</f>
        <v>0.29292770859752132</v>
      </c>
    </row>
    <row r="139" spans="1:5" x14ac:dyDescent="0.25">
      <c r="A139" s="60"/>
      <c r="C139" t="s">
        <v>225</v>
      </c>
      <c r="D139">
        <f>D126^2*PI()</f>
        <v>4.9087385212340514E-8</v>
      </c>
    </row>
    <row r="140" spans="1:5" x14ac:dyDescent="0.25">
      <c r="A140" s="60"/>
      <c r="C140" t="s">
        <v>201</v>
      </c>
      <c r="D140" s="1">
        <v>1.6800000000000002E-8</v>
      </c>
    </row>
    <row r="141" spans="1:5" x14ac:dyDescent="0.25">
      <c r="A141" s="60"/>
      <c r="C141" t="s">
        <v>200</v>
      </c>
      <c r="D141" s="1">
        <f>D140*D134/D139</f>
        <v>227.94072696375301</v>
      </c>
    </row>
    <row r="142" spans="1:5" x14ac:dyDescent="0.25">
      <c r="A142" s="60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60"/>
      <c r="C143" t="s">
        <v>196</v>
      </c>
    </row>
    <row r="144" spans="1:5" x14ac:dyDescent="0.25">
      <c r="A144" s="60"/>
      <c r="C144" t="s">
        <v>197</v>
      </c>
    </row>
    <row r="145" spans="1:5" x14ac:dyDescent="0.25">
      <c r="A145" s="60"/>
      <c r="C145" t="s">
        <v>199</v>
      </c>
      <c r="D145">
        <v>2</v>
      </c>
      <c r="E145" t="s">
        <v>205</v>
      </c>
    </row>
    <row r="146" spans="1:5" x14ac:dyDescent="0.25">
      <c r="A146" s="60"/>
      <c r="C146" t="s">
        <v>209</v>
      </c>
      <c r="D146">
        <f>D145/2000</f>
        <v>1E-3</v>
      </c>
    </row>
    <row r="147" spans="1:5" x14ac:dyDescent="0.25">
      <c r="A147" s="60"/>
      <c r="C147" t="s">
        <v>198</v>
      </c>
      <c r="D147">
        <v>21</v>
      </c>
    </row>
    <row r="148" spans="1:5" x14ac:dyDescent="0.25">
      <c r="A148" s="60"/>
      <c r="C148" t="s">
        <v>203</v>
      </c>
      <c r="D148">
        <v>0.05</v>
      </c>
    </row>
    <row r="149" spans="1:5" x14ac:dyDescent="0.25">
      <c r="A149" s="60"/>
      <c r="C149" t="s">
        <v>204</v>
      </c>
      <c r="D149">
        <f>(D147/1000)*D108*2*PI()</f>
        <v>2.6649669009850672</v>
      </c>
    </row>
    <row r="150" spans="1:5" x14ac:dyDescent="0.25">
      <c r="A150" s="60"/>
      <c r="C150" t="s">
        <v>189</v>
      </c>
      <c r="D150">
        <f>D145/2000</f>
        <v>1E-3</v>
      </c>
    </row>
    <row r="151" spans="1:5" x14ac:dyDescent="0.25">
      <c r="A151" s="60"/>
      <c r="C151" t="s">
        <v>190</v>
      </c>
      <c r="D151">
        <f>PI()*POWER(D150, 2)*D149</f>
        <v>8.3722404381946435E-6</v>
      </c>
    </row>
    <row r="152" spans="1:5" x14ac:dyDescent="0.25">
      <c r="A152" s="60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60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60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60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60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60"/>
      <c r="C157" t="s">
        <v>201</v>
      </c>
      <c r="D157" s="1">
        <v>1.6800000000000002E-8</v>
      </c>
    </row>
    <row r="158" spans="1:5" x14ac:dyDescent="0.25">
      <c r="A158" s="60"/>
      <c r="C158" t="s">
        <v>215</v>
      </c>
      <c r="D158" s="1">
        <f>D149+D148</f>
        <v>2.714966900985067</v>
      </c>
    </row>
    <row r="159" spans="1:5" x14ac:dyDescent="0.25">
      <c r="A159" s="60"/>
      <c r="C159" t="s">
        <v>216</v>
      </c>
      <c r="D159" s="1">
        <f>2*D146*PI()*D149</f>
        <v>1.674448087638929E-2</v>
      </c>
    </row>
    <row r="160" spans="1:5" x14ac:dyDescent="0.25">
      <c r="A160" s="60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60"/>
      <c r="C161" t="s">
        <v>218</v>
      </c>
      <c r="D161" s="1">
        <f>D157*D148/D156</f>
        <v>3.4930039526606611E-4</v>
      </c>
    </row>
    <row r="162" spans="1:5" x14ac:dyDescent="0.25">
      <c r="A162" s="60"/>
      <c r="C162" t="s">
        <v>219</v>
      </c>
      <c r="D162" s="1">
        <f>D160+D161</f>
        <v>1.8966780232967408E-2</v>
      </c>
    </row>
    <row r="163" spans="1:5" x14ac:dyDescent="0.25">
      <c r="A163" s="60"/>
      <c r="C163" t="s">
        <v>220</v>
      </c>
      <c r="D163" s="1">
        <f>POWER(D105/POWER(3, 0.5), 2)*D160</f>
        <v>3.1693710556057906</v>
      </c>
    </row>
    <row r="164" spans="1:5" x14ac:dyDescent="0.25">
      <c r="A164" s="60"/>
      <c r="C164" t="s">
        <v>221</v>
      </c>
      <c r="D164" s="1">
        <f>POWER(D105/POWER(3, 0.5), 2)*D161</f>
        <v>5.9463610119027711E-2</v>
      </c>
    </row>
    <row r="165" spans="1:5" x14ac:dyDescent="0.25">
      <c r="A165" s="60"/>
      <c r="C165" t="s">
        <v>222</v>
      </c>
      <c r="D165" s="1">
        <f>D163+D164</f>
        <v>3.2288346657248184</v>
      </c>
    </row>
    <row r="166" spans="1:5" x14ac:dyDescent="0.25">
      <c r="A166" s="60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60"/>
      <c r="C167" t="s">
        <v>295</v>
      </c>
      <c r="D167" s="23">
        <v>0.2</v>
      </c>
    </row>
    <row r="168" spans="1:5" x14ac:dyDescent="0.25">
      <c r="A168" s="60"/>
      <c r="C168" t="s">
        <v>811</v>
      </c>
      <c r="D168">
        <f>D167*D116</f>
        <v>0.72000000000000008</v>
      </c>
    </row>
    <row r="169" spans="1:5" x14ac:dyDescent="0.25">
      <c r="A169" s="60"/>
      <c r="C169" t="s">
        <v>231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61" t="s">
        <v>534</v>
      </c>
      <c r="B171" t="s">
        <v>529</v>
      </c>
      <c r="D171">
        <f>D4</f>
        <v>1.2</v>
      </c>
    </row>
    <row r="172" spans="1:5" x14ac:dyDescent="0.25">
      <c r="A172" s="61"/>
      <c r="B172" t="s">
        <v>50</v>
      </c>
      <c r="C172" t="s">
        <v>239</v>
      </c>
      <c r="D172">
        <f>1/D111</f>
        <v>3.6875000000000007E-3</v>
      </c>
    </row>
    <row r="173" spans="1:5" x14ac:dyDescent="0.25">
      <c r="A173" s="61"/>
      <c r="B173" t="s">
        <v>48</v>
      </c>
      <c r="D173">
        <f>D3</f>
        <v>16000</v>
      </c>
    </row>
    <row r="174" spans="1:5" x14ac:dyDescent="0.25">
      <c r="A174" s="61"/>
      <c r="B174" t="s">
        <v>76</v>
      </c>
      <c r="D174">
        <f>D98</f>
        <v>7000</v>
      </c>
    </row>
    <row r="175" spans="1:5" x14ac:dyDescent="0.25">
      <c r="A175" s="61"/>
      <c r="B175" t="s">
        <v>528</v>
      </c>
      <c r="C175" t="s">
        <v>247</v>
      </c>
      <c r="D175">
        <v>2.5</v>
      </c>
    </row>
    <row r="176" spans="1:5" x14ac:dyDescent="0.25">
      <c r="A176" s="61"/>
      <c r="B176" t="s">
        <v>240</v>
      </c>
      <c r="D176">
        <f>D105</f>
        <v>22.598870056497173</v>
      </c>
    </row>
    <row r="177" spans="1:4" x14ac:dyDescent="0.25">
      <c r="A177" s="61"/>
      <c r="B177" t="s">
        <v>241</v>
      </c>
      <c r="D177">
        <f>D169</f>
        <v>9.7903125000000027E-6</v>
      </c>
    </row>
    <row r="178" spans="1:4" x14ac:dyDescent="0.25">
      <c r="A178" s="61"/>
      <c r="B178" t="s">
        <v>533</v>
      </c>
      <c r="D178">
        <f>D174*D172</f>
        <v>25.812500000000004</v>
      </c>
    </row>
    <row r="179" spans="1:4" x14ac:dyDescent="0.25">
      <c r="A179" s="61"/>
      <c r="B179" t="s">
        <v>238</v>
      </c>
      <c r="D179">
        <v>10</v>
      </c>
    </row>
    <row r="180" spans="1:4" x14ac:dyDescent="0.25">
      <c r="A180" s="61"/>
      <c r="B180" t="s">
        <v>228</v>
      </c>
      <c r="C180" t="s">
        <v>237</v>
      </c>
      <c r="D180">
        <f>D175*D178</f>
        <v>64.531250000000014</v>
      </c>
    </row>
    <row r="181" spans="1:4" x14ac:dyDescent="0.25">
      <c r="A181" s="61"/>
      <c r="B181" t="s">
        <v>39</v>
      </c>
      <c r="D181">
        <f>D103</f>
        <v>0.5</v>
      </c>
    </row>
    <row r="182" spans="1:4" x14ac:dyDescent="0.25">
      <c r="A182" s="61"/>
      <c r="B182" t="s">
        <v>300</v>
      </c>
      <c r="D182">
        <f>0.5*D177*POWER(D176, 2)</f>
        <v>2.5000000000000001E-3</v>
      </c>
    </row>
    <row r="183" spans="1:4" x14ac:dyDescent="0.25">
      <c r="A183" s="61"/>
      <c r="B183" t="s">
        <v>229</v>
      </c>
      <c r="D183">
        <f>D176*D177/D180</f>
        <v>3.4285714285714285E-6</v>
      </c>
    </row>
    <row r="184" spans="1:4" x14ac:dyDescent="0.25">
      <c r="A184" s="61"/>
      <c r="B184" t="s">
        <v>230</v>
      </c>
      <c r="D184" t="b">
        <f>AND(D183&gt;0, D183&lt;((1-D181)/D173))</f>
        <v>1</v>
      </c>
    </row>
    <row r="185" spans="1:4" x14ac:dyDescent="0.25">
      <c r="A185" s="61"/>
      <c r="B185" t="s">
        <v>242</v>
      </c>
      <c r="D185">
        <f>D182*D173</f>
        <v>40</v>
      </c>
    </row>
    <row r="186" spans="1:4" x14ac:dyDescent="0.25">
      <c r="A186" s="61"/>
      <c r="B186" t="s">
        <v>235</v>
      </c>
      <c r="D186">
        <f>POWER(D180, 2)/D185</f>
        <v>104.10705566406254</v>
      </c>
    </row>
    <row r="187" spans="1:4" x14ac:dyDescent="0.25">
      <c r="A187" s="61"/>
      <c r="B187" t="s">
        <v>233</v>
      </c>
      <c r="D187">
        <v>330</v>
      </c>
    </row>
    <row r="188" spans="1:4" x14ac:dyDescent="0.25">
      <c r="A188" s="61"/>
      <c r="B188" t="s">
        <v>530</v>
      </c>
      <c r="D188">
        <f>POWER(D187*D185, 0.5)</f>
        <v>114.89125293076057</v>
      </c>
    </row>
    <row r="189" spans="1:4" x14ac:dyDescent="0.25">
      <c r="A189" s="61"/>
      <c r="B189" t="s">
        <v>532</v>
      </c>
      <c r="D189">
        <f>D188/D178</f>
        <v>4.4509928496178421</v>
      </c>
    </row>
    <row r="190" spans="1:4" x14ac:dyDescent="0.25">
      <c r="A190" s="61"/>
      <c r="B190" t="s">
        <v>243</v>
      </c>
      <c r="C190" t="s">
        <v>244</v>
      </c>
      <c r="D190">
        <f>D185*D171</f>
        <v>48</v>
      </c>
    </row>
    <row r="191" spans="1:4" x14ac:dyDescent="0.25">
      <c r="A191" s="61"/>
      <c r="B191" t="s">
        <v>232</v>
      </c>
      <c r="C191" t="s">
        <v>245</v>
      </c>
      <c r="D191">
        <v>0.5</v>
      </c>
    </row>
    <row r="192" spans="1:4" x14ac:dyDescent="0.25">
      <c r="A192" s="61"/>
      <c r="B192" t="s">
        <v>234</v>
      </c>
      <c r="D192">
        <f>D188/(D191*D187*D173)</f>
        <v>4.3519413988924462E-5</v>
      </c>
    </row>
    <row r="193" spans="1:14" x14ac:dyDescent="0.25">
      <c r="A193" s="61"/>
      <c r="B193" t="s">
        <v>293</v>
      </c>
      <c r="C193" t="s">
        <v>294</v>
      </c>
      <c r="D193" s="1">
        <v>10</v>
      </c>
    </row>
    <row r="194" spans="1:14" x14ac:dyDescent="0.25">
      <c r="A194" s="61"/>
      <c r="B194" t="s">
        <v>531</v>
      </c>
      <c r="D194" s="1">
        <v>6.0000000000000002E-6</v>
      </c>
    </row>
    <row r="195" spans="1:14" x14ac:dyDescent="0.25">
      <c r="A195" s="61"/>
      <c r="B195" t="s">
        <v>507</v>
      </c>
      <c r="D195" s="1">
        <v>4.1000000000000003E-3</v>
      </c>
    </row>
    <row r="196" spans="1:14" x14ac:dyDescent="0.25">
      <c r="A196" s="61"/>
      <c r="B196" t="s">
        <v>236</v>
      </c>
      <c r="D196" s="1">
        <f>D194*D193</f>
        <v>6.0000000000000002E-5</v>
      </c>
    </row>
    <row r="197" spans="1:14" x14ac:dyDescent="0.25">
      <c r="A197" s="61"/>
      <c r="B197" t="s">
        <v>508</v>
      </c>
      <c r="D197" s="1">
        <f>D195/D193</f>
        <v>4.1000000000000005E-4</v>
      </c>
    </row>
    <row r="198" spans="1:14" x14ac:dyDescent="0.25">
      <c r="A198" s="61"/>
      <c r="B198" t="s">
        <v>512</v>
      </c>
      <c r="C198" t="s">
        <v>246</v>
      </c>
      <c r="D198">
        <f>D188/(D196*(D187*D173))</f>
        <v>0.36266178324103715</v>
      </c>
      <c r="H198" t="s">
        <v>526</v>
      </c>
      <c r="I198" t="s">
        <v>515</v>
      </c>
      <c r="J198" t="s">
        <v>523</v>
      </c>
      <c r="K198" t="s">
        <v>521</v>
      </c>
      <c r="L198" t="s">
        <v>522</v>
      </c>
      <c r="M198" t="s">
        <v>524</v>
      </c>
      <c r="N198" t="s">
        <v>525</v>
      </c>
    </row>
    <row r="199" spans="1:14" x14ac:dyDescent="0.25">
      <c r="A199" s="61"/>
      <c r="B199" t="s">
        <v>513</v>
      </c>
      <c r="D199" s="1">
        <f>D176*D197</f>
        <v>9.2655367231638426E-3</v>
      </c>
      <c r="E199" t="s">
        <v>504</v>
      </c>
      <c r="G199" s="5" t="s">
        <v>514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61"/>
      <c r="B200" t="s">
        <v>511</v>
      </c>
      <c r="D200" s="1">
        <f>D199+D198</f>
        <v>0.37192731996420098</v>
      </c>
      <c r="G200" t="s">
        <v>516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61"/>
      <c r="B201" t="s">
        <v>509</v>
      </c>
      <c r="D201" s="1">
        <f>POWER(D199, 2)/D197</f>
        <v>0.20939066041048232</v>
      </c>
      <c r="G201" t="s">
        <v>517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61"/>
      <c r="B202" t="s">
        <v>510</v>
      </c>
      <c r="D202" s="1">
        <f>D201/D193</f>
        <v>2.0939066041048233E-2</v>
      </c>
      <c r="G202" t="s">
        <v>518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61"/>
      <c r="B203" t="s">
        <v>296</v>
      </c>
      <c r="D203" s="1">
        <f>2*PI()*D173*D196*D198</f>
        <v>2.1875243404182072</v>
      </c>
      <c r="E203" t="s">
        <v>505</v>
      </c>
      <c r="G203" s="5" t="s">
        <v>519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61"/>
      <c r="B204" t="s">
        <v>297</v>
      </c>
      <c r="D204">
        <f>2*D203</f>
        <v>4.3750486808364144</v>
      </c>
      <c r="E204" t="s">
        <v>506</v>
      </c>
      <c r="G204" t="s">
        <v>520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61"/>
      <c r="B205" t="s">
        <v>298</v>
      </c>
      <c r="D205" s="1">
        <f>D204/D193</f>
        <v>0.43750486808364142</v>
      </c>
      <c r="G205" t="s">
        <v>527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61"/>
      <c r="B206" t="s">
        <v>299</v>
      </c>
      <c r="D206" s="1">
        <f>D176*D4</f>
        <v>27.118644067796605</v>
      </c>
    </row>
    <row r="207" spans="1:14" x14ac:dyDescent="0.25">
      <c r="A207" s="61"/>
      <c r="B207" t="s">
        <v>300</v>
      </c>
      <c r="D207" s="1">
        <f>D182</f>
        <v>2.5000000000000001E-3</v>
      </c>
    </row>
    <row r="208" spans="1:14" x14ac:dyDescent="0.25">
      <c r="A208" s="61"/>
      <c r="B208" t="s">
        <v>301</v>
      </c>
      <c r="D208" s="1"/>
    </row>
    <row r="209" spans="1:5" x14ac:dyDescent="0.25">
      <c r="A209" s="61"/>
      <c r="B209" t="s">
        <v>302</v>
      </c>
      <c r="D209" s="1">
        <f>D182*D173</f>
        <v>40</v>
      </c>
    </row>
    <row r="210" spans="1:5" x14ac:dyDescent="0.25">
      <c r="A210" s="61"/>
      <c r="B210" t="s">
        <v>248</v>
      </c>
      <c r="D210">
        <v>2.85</v>
      </c>
    </row>
    <row r="211" spans="1:5" x14ac:dyDescent="0.25">
      <c r="A211" s="61"/>
      <c r="C211" t="s">
        <v>249</v>
      </c>
      <c r="D211">
        <v>200</v>
      </c>
    </row>
    <row r="212" spans="1:5" x14ac:dyDescent="0.25">
      <c r="A212" s="61"/>
      <c r="C212" t="s">
        <v>250</v>
      </c>
      <c r="D212">
        <f>(D211+D7)/D210</f>
        <v>85.649122807017534</v>
      </c>
    </row>
    <row r="213" spans="1:5" x14ac:dyDescent="0.25">
      <c r="A213" s="61"/>
      <c r="C213" t="s">
        <v>251</v>
      </c>
      <c r="D213" s="1">
        <v>9.9999999999999995E-7</v>
      </c>
    </row>
    <row r="214" spans="1:5" x14ac:dyDescent="0.25">
      <c r="A214" s="61"/>
    </row>
    <row r="215" spans="1:5" x14ac:dyDescent="0.25">
      <c r="A215" s="61"/>
      <c r="B215" t="s">
        <v>253</v>
      </c>
      <c r="D215">
        <v>500000</v>
      </c>
    </row>
    <row r="216" spans="1:5" x14ac:dyDescent="0.25">
      <c r="A216" s="61"/>
      <c r="B216" t="s">
        <v>277</v>
      </c>
      <c r="D216">
        <f>D215/D212</f>
        <v>5837.7714051618195</v>
      </c>
    </row>
    <row r="217" spans="1:5" x14ac:dyDescent="0.25">
      <c r="A217" s="61"/>
      <c r="B217" t="s">
        <v>254</v>
      </c>
      <c r="D217">
        <v>6800</v>
      </c>
    </row>
    <row r="218" spans="1:5" x14ac:dyDescent="0.25">
      <c r="A218" s="61"/>
      <c r="B218" t="s">
        <v>255</v>
      </c>
      <c r="D218">
        <f>D215+D217</f>
        <v>506800</v>
      </c>
    </row>
    <row r="219" spans="1:5" x14ac:dyDescent="0.25">
      <c r="A219" s="61"/>
      <c r="B219" t="s">
        <v>256</v>
      </c>
      <c r="D219">
        <f>D211/D218</f>
        <v>3.9463299131807419E-4</v>
      </c>
      <c r="E219" t="s">
        <v>20</v>
      </c>
    </row>
    <row r="220" spans="1:5" x14ac:dyDescent="0.25">
      <c r="A220" s="61"/>
      <c r="B220" t="s">
        <v>257</v>
      </c>
      <c r="D220">
        <f>POWER(D219, 2)*D215</f>
        <v>7.7867598918325606E-2</v>
      </c>
      <c r="E220" t="s">
        <v>22</v>
      </c>
    </row>
    <row r="221" spans="1:5" x14ac:dyDescent="0.25">
      <c r="A221" s="61"/>
      <c r="B221" t="s">
        <v>258</v>
      </c>
      <c r="D221">
        <f>POWER(D219, 2)*D217</f>
        <v>1.0589993452892283E-3</v>
      </c>
      <c r="E221" t="s">
        <v>22</v>
      </c>
    </row>
    <row r="222" spans="1:5" x14ac:dyDescent="0.25">
      <c r="A222" s="61"/>
      <c r="B222" t="s">
        <v>259</v>
      </c>
      <c r="C222" t="s">
        <v>252</v>
      </c>
      <c r="D222">
        <f>D220+D221</f>
        <v>7.8926598263614839E-2</v>
      </c>
      <c r="E222" t="s">
        <v>22</v>
      </c>
    </row>
    <row r="223" spans="1:5" x14ac:dyDescent="0.25">
      <c r="A223" s="61"/>
      <c r="B223" t="s">
        <v>260</v>
      </c>
      <c r="D223">
        <f>D211/100</f>
        <v>2</v>
      </c>
    </row>
    <row r="224" spans="1:5" x14ac:dyDescent="0.25">
      <c r="A224" s="61"/>
      <c r="C224" t="s">
        <v>261</v>
      </c>
      <c r="D224">
        <f>POWER(2, 12)</f>
        <v>4096</v>
      </c>
    </row>
    <row r="225" spans="1:11" x14ac:dyDescent="0.25">
      <c r="A225" s="61"/>
      <c r="C225" t="s">
        <v>262</v>
      </c>
      <c r="D225">
        <f>3.3/D224</f>
        <v>8.0566406249999996E-4</v>
      </c>
    </row>
    <row r="226" spans="1:11" x14ac:dyDescent="0.25">
      <c r="A226" s="61"/>
      <c r="C226" t="s">
        <v>263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61" t="s">
        <v>772</v>
      </c>
    </row>
    <row r="229" spans="1:11" x14ac:dyDescent="0.25">
      <c r="A229" s="61"/>
      <c r="B229" t="s">
        <v>573</v>
      </c>
      <c r="C229" t="s">
        <v>574</v>
      </c>
    </row>
    <row r="230" spans="1:11" x14ac:dyDescent="0.25">
      <c r="A230" s="61"/>
    </row>
    <row r="231" spans="1:11" x14ac:dyDescent="0.25">
      <c r="A231" s="61"/>
      <c r="B231" t="s">
        <v>529</v>
      </c>
      <c r="D231">
        <v>2.5</v>
      </c>
    </row>
    <row r="232" spans="1:11" x14ac:dyDescent="0.25">
      <c r="A232" s="61"/>
      <c r="B232" t="s">
        <v>544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61"/>
      <c r="B233" t="s">
        <v>558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61"/>
      <c r="B234" t="s">
        <v>545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61"/>
      <c r="B235" t="s">
        <v>325</v>
      </c>
      <c r="C235" t="s">
        <v>559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61"/>
      <c r="B236" t="s">
        <v>546</v>
      </c>
      <c r="C236" t="s">
        <v>547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61"/>
      <c r="B237" t="s">
        <v>548</v>
      </c>
      <c r="C237" t="s">
        <v>549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61"/>
      <c r="B238" t="s">
        <v>550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61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61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61"/>
      <c r="C241" s="34"/>
    </row>
    <row r="242" spans="1:13" x14ac:dyDescent="0.25">
      <c r="A242" s="61"/>
      <c r="B242" t="s">
        <v>555</v>
      </c>
      <c r="C242" s="34" t="s">
        <v>556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61"/>
      <c r="B243" t="s">
        <v>564</v>
      </c>
      <c r="C243" t="s">
        <v>563</v>
      </c>
      <c r="D243">
        <f>D232*POWER(D234, 2)/(2*POWER(D235-D236-(D237*D238), 2))</f>
        <v>2.7616446905913709E-6</v>
      </c>
    </row>
    <row r="244" spans="1:13" x14ac:dyDescent="0.25">
      <c r="A244" s="61"/>
      <c r="B244" t="s">
        <v>543</v>
      </c>
      <c r="C244" t="s">
        <v>572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61"/>
      <c r="B245" t="s">
        <v>551</v>
      </c>
      <c r="C245" s="34" t="s">
        <v>552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61"/>
      <c r="B246" t="s">
        <v>553</v>
      </c>
      <c r="C246" s="34" t="s">
        <v>554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61"/>
      <c r="B247" t="s">
        <v>557</v>
      </c>
      <c r="C247" s="34" t="s">
        <v>562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61"/>
      <c r="B248" t="s">
        <v>560</v>
      </c>
      <c r="C248" s="34" t="s">
        <v>561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61"/>
      <c r="B249" t="s">
        <v>583</v>
      </c>
      <c r="D249">
        <v>8.4999999999999995E-4</v>
      </c>
    </row>
    <row r="250" spans="1:13" x14ac:dyDescent="0.25">
      <c r="A250" s="61"/>
      <c r="B250" t="s">
        <v>300</v>
      </c>
      <c r="D250">
        <f>POWER(D234, 2)*D232/2</f>
        <v>2.5000000000000001E-3</v>
      </c>
    </row>
    <row r="251" spans="1:13" x14ac:dyDescent="0.25">
      <c r="A251" s="61"/>
      <c r="B251" t="s">
        <v>582</v>
      </c>
      <c r="C251" s="34" t="s">
        <v>584</v>
      </c>
      <c r="D251">
        <f>POWER(D234/SQRT(3), 2)*D249</f>
        <v>0.14470086288529263</v>
      </c>
    </row>
    <row r="252" spans="1:13" x14ac:dyDescent="0.25">
      <c r="A252" s="61"/>
      <c r="B252" t="s">
        <v>589</v>
      </c>
      <c r="D252">
        <f>D232*D247/(D232+D247)</f>
        <v>5.9238739931172719E-6</v>
      </c>
      <c r="G252" t="s">
        <v>526</v>
      </c>
      <c r="H252" t="s">
        <v>515</v>
      </c>
      <c r="I252" t="s">
        <v>523</v>
      </c>
      <c r="J252" t="s">
        <v>521</v>
      </c>
      <c r="K252" t="s">
        <v>522</v>
      </c>
      <c r="L252" t="s">
        <v>524</v>
      </c>
      <c r="M252" t="s">
        <v>525</v>
      </c>
    </row>
    <row r="253" spans="1:13" x14ac:dyDescent="0.25">
      <c r="A253" s="61"/>
      <c r="B253" s="36" t="s">
        <v>588</v>
      </c>
      <c r="D253" s="1">
        <f>1/POWER(D252*D244, 0.5)</f>
        <v>357610.39006916573</v>
      </c>
      <c r="F253" s="5" t="s">
        <v>585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61"/>
      <c r="B254" t="s">
        <v>591</v>
      </c>
      <c r="D254">
        <f>POWER(2*D250/D252, 0.5)</f>
        <v>29.052405428187488</v>
      </c>
    </row>
    <row r="255" spans="1:13" x14ac:dyDescent="0.25">
      <c r="A255" s="61"/>
      <c r="B255" t="s">
        <v>592</v>
      </c>
      <c r="D255">
        <f>D254</f>
        <v>29.052405428187488</v>
      </c>
    </row>
    <row r="256" spans="1:13" x14ac:dyDescent="0.25">
      <c r="A256" s="61"/>
      <c r="B256" t="s">
        <v>590</v>
      </c>
      <c r="D256" s="1">
        <f>SQRT(D250*2/D244)</f>
        <v>61.545745489666373</v>
      </c>
    </row>
    <row r="257" spans="1:5" x14ac:dyDescent="0.25">
      <c r="A257" s="61"/>
      <c r="B257" t="s">
        <v>593</v>
      </c>
      <c r="D257" s="1">
        <f>D256+D7</f>
        <v>105.64574548966638</v>
      </c>
    </row>
    <row r="258" spans="1:5" x14ac:dyDescent="0.25">
      <c r="A258" s="61"/>
      <c r="B258" t="s">
        <v>594</v>
      </c>
      <c r="D258" s="1">
        <f>D256</f>
        <v>61.545745489666373</v>
      </c>
    </row>
    <row r="259" spans="1:5" x14ac:dyDescent="0.25">
      <c r="A259" s="61"/>
      <c r="B259" t="s">
        <v>597</v>
      </c>
      <c r="D259">
        <f>D231*D255</f>
        <v>72.631013570468724</v>
      </c>
    </row>
    <row r="260" spans="1:5" x14ac:dyDescent="0.25">
      <c r="A260" s="61"/>
      <c r="B260" t="s">
        <v>595</v>
      </c>
      <c r="D260">
        <f>D231*D255</f>
        <v>72.631013570468724</v>
      </c>
    </row>
    <row r="261" spans="1:5" x14ac:dyDescent="0.25">
      <c r="A261" s="61"/>
      <c r="B261" t="s">
        <v>595</v>
      </c>
      <c r="D261">
        <f>D231*D255</f>
        <v>72.631013570468724</v>
      </c>
    </row>
    <row r="262" spans="1:5" x14ac:dyDescent="0.25">
      <c r="A262" s="61"/>
      <c r="B262" t="s">
        <v>599</v>
      </c>
      <c r="D262" s="1">
        <f>D231*D257</f>
        <v>264.11436372416597</v>
      </c>
    </row>
    <row r="263" spans="1:5" x14ac:dyDescent="0.25">
      <c r="A263" s="61"/>
      <c r="B263" t="s">
        <v>598</v>
      </c>
      <c r="D263" s="1">
        <f>D231*D258</f>
        <v>153.86436372416594</v>
      </c>
    </row>
    <row r="264" spans="1:5" x14ac:dyDescent="0.25">
      <c r="A264" s="61"/>
      <c r="B264" t="s">
        <v>596</v>
      </c>
      <c r="D264" s="1">
        <f>D231*D256</f>
        <v>153.86436372416594</v>
      </c>
    </row>
    <row r="265" spans="1:5" x14ac:dyDescent="0.25">
      <c r="A265" s="61"/>
      <c r="B265" t="s">
        <v>620</v>
      </c>
      <c r="D265" s="1">
        <v>0.86</v>
      </c>
    </row>
    <row r="266" spans="1:5" x14ac:dyDescent="0.25">
      <c r="A266" s="61"/>
      <c r="B266" t="s">
        <v>621</v>
      </c>
      <c r="D266" s="1">
        <f>0.86</f>
        <v>0.86</v>
      </c>
    </row>
    <row r="267" spans="1:5" x14ac:dyDescent="0.25">
      <c r="A267" s="61"/>
      <c r="B267" t="s">
        <v>618</v>
      </c>
      <c r="C267" t="s">
        <v>622</v>
      </c>
      <c r="D267" s="1">
        <f>D250*16000/4</f>
        <v>10</v>
      </c>
    </row>
    <row r="268" spans="1:5" x14ac:dyDescent="0.25">
      <c r="A268" s="61"/>
      <c r="B268" t="s">
        <v>619</v>
      </c>
      <c r="C268" t="s">
        <v>622</v>
      </c>
      <c r="D268" s="1">
        <f>D267</f>
        <v>10</v>
      </c>
    </row>
    <row r="269" spans="1:5" x14ac:dyDescent="0.25">
      <c r="A269" s="61"/>
      <c r="B269" t="s">
        <v>600</v>
      </c>
      <c r="C269" t="s">
        <v>601</v>
      </c>
      <c r="D269">
        <v>0.5</v>
      </c>
      <c r="E269" t="s">
        <v>766</v>
      </c>
    </row>
    <row r="270" spans="1:5" x14ac:dyDescent="0.25">
      <c r="A270" s="61"/>
      <c r="B270" s="42" t="s">
        <v>602</v>
      </c>
      <c r="C270" s="42" t="s">
        <v>603</v>
      </c>
      <c r="D270" s="42">
        <f>D250*2/POWER(D269, 2)</f>
        <v>0.02</v>
      </c>
    </row>
    <row r="271" spans="1:5" x14ac:dyDescent="0.25">
      <c r="A271" s="61"/>
      <c r="C271" s="34"/>
    </row>
    <row r="272" spans="1:5" x14ac:dyDescent="0.25">
      <c r="A272" s="61"/>
      <c r="C272" s="34"/>
    </row>
    <row r="273" spans="1:4" x14ac:dyDescent="0.25">
      <c r="A273" s="61"/>
      <c r="C273" s="34"/>
    </row>
    <row r="274" spans="1:4" x14ac:dyDescent="0.25">
      <c r="A274" s="61"/>
      <c r="C274" s="34"/>
    </row>
    <row r="275" spans="1:4" x14ac:dyDescent="0.25">
      <c r="A275" s="61"/>
      <c r="C275" s="34"/>
    </row>
    <row r="276" spans="1:4" x14ac:dyDescent="0.25">
      <c r="A276" s="61"/>
      <c r="C276" s="34"/>
    </row>
    <row r="277" spans="1:4" x14ac:dyDescent="0.25">
      <c r="A277" s="61"/>
      <c r="C277" s="34"/>
    </row>
    <row r="278" spans="1:4" x14ac:dyDescent="0.25">
      <c r="A278" s="61"/>
      <c r="C278" s="34"/>
    </row>
    <row r="279" spans="1:4" x14ac:dyDescent="0.25">
      <c r="A279" s="61"/>
    </row>
    <row r="280" spans="1:4" x14ac:dyDescent="0.25">
      <c r="A280" s="37"/>
    </row>
    <row r="281" spans="1:4" x14ac:dyDescent="0.25">
      <c r="A281" s="61" t="s">
        <v>605</v>
      </c>
      <c r="C281" t="s">
        <v>264</v>
      </c>
      <c r="D281">
        <f>D223/D218</f>
        <v>3.9463299131807418E-6</v>
      </c>
    </row>
    <row r="282" spans="1:4" x14ac:dyDescent="0.25">
      <c r="A282" s="61"/>
      <c r="C282" t="s">
        <v>265</v>
      </c>
      <c r="D282">
        <f>(D223-(D215*D213))*(D217/(D217+D215))</f>
        <v>2.0126282557221785E-2</v>
      </c>
    </row>
    <row r="283" spans="1:4" x14ac:dyDescent="0.25">
      <c r="A283" s="61"/>
      <c r="C283" t="s">
        <v>266</v>
      </c>
      <c r="D283">
        <f>D223/D212</f>
        <v>2.3351085620647277E-2</v>
      </c>
    </row>
    <row r="284" spans="1:4" x14ac:dyDescent="0.25">
      <c r="A284" s="61"/>
      <c r="C284" t="s">
        <v>267</v>
      </c>
      <c r="D284">
        <f>ABS(D283-D282)/D283</f>
        <v>0.13810077680388819</v>
      </c>
    </row>
    <row r="285" spans="1:4" x14ac:dyDescent="0.25">
      <c r="A285" s="61"/>
      <c r="C285" t="s">
        <v>268</v>
      </c>
      <c r="D285">
        <f>(D5-(D215*D213))*(D217/(D217+D215))</f>
        <v>0.46827150749802693</v>
      </c>
    </row>
    <row r="286" spans="1:4" x14ac:dyDescent="0.25">
      <c r="A286" s="61"/>
      <c r="C286" t="s">
        <v>269</v>
      </c>
      <c r="D286">
        <f>D5/D212</f>
        <v>0.41331421548545688</v>
      </c>
    </row>
    <row r="287" spans="1:4" x14ac:dyDescent="0.25">
      <c r="A287" s="61"/>
      <c r="C287" t="s">
        <v>270</v>
      </c>
      <c r="D287">
        <f>ABS(D286-D285)/D286</f>
        <v>0.13296734047247841</v>
      </c>
    </row>
    <row r="288" spans="1:4" x14ac:dyDescent="0.25">
      <c r="A288" s="61"/>
      <c r="C288" t="s">
        <v>271</v>
      </c>
      <c r="D288">
        <f>(D286-D285)/D226</f>
        <v>-0.79643147249380875</v>
      </c>
    </row>
    <row r="289" spans="1:4" x14ac:dyDescent="0.25">
      <c r="A289" s="61"/>
      <c r="B289" t="s">
        <v>272</v>
      </c>
      <c r="C289" t="s">
        <v>273</v>
      </c>
    </row>
    <row r="290" spans="1:4" x14ac:dyDescent="0.25">
      <c r="A290" s="61"/>
      <c r="B290" t="s">
        <v>274</v>
      </c>
      <c r="D290">
        <f>(D215*D217)/(D215+D217)</f>
        <v>6708.7608524072612</v>
      </c>
    </row>
    <row r="291" spans="1:4" x14ac:dyDescent="0.25">
      <c r="A291" s="61"/>
      <c r="C291" t="s">
        <v>275</v>
      </c>
      <c r="D291">
        <f>0.00000000001</f>
        <v>9.9999999999999994E-12</v>
      </c>
    </row>
    <row r="292" spans="1:4" x14ac:dyDescent="0.25">
      <c r="A292" s="61"/>
    </row>
    <row r="293" spans="1:4" x14ac:dyDescent="0.25">
      <c r="A293" s="61"/>
      <c r="B293" t="s">
        <v>276</v>
      </c>
      <c r="D293">
        <f>3.15/(0.000001)</f>
        <v>3150000</v>
      </c>
    </row>
    <row r="294" spans="1:4" x14ac:dyDescent="0.25">
      <c r="A294" s="61"/>
      <c r="B294" t="s">
        <v>345</v>
      </c>
      <c r="D294">
        <f>D291/((1/D290)+(1/D293))</f>
        <v>6.6945031316023044E-8</v>
      </c>
    </row>
    <row r="295" spans="1:4" x14ac:dyDescent="0.25">
      <c r="A295" s="61"/>
      <c r="B295" t="s">
        <v>284</v>
      </c>
      <c r="D295">
        <f>D210/0.012</f>
        <v>237.5</v>
      </c>
    </row>
    <row r="296" spans="1:4" x14ac:dyDescent="0.25">
      <c r="A296" s="61"/>
      <c r="B296" t="s">
        <v>283</v>
      </c>
      <c r="D296" s="25">
        <v>1000</v>
      </c>
    </row>
    <row r="297" spans="1:4" x14ac:dyDescent="0.25">
      <c r="A297" s="61"/>
    </row>
    <row r="298" spans="1:4" x14ac:dyDescent="0.25">
      <c r="A298" s="61"/>
      <c r="B298" t="s">
        <v>281</v>
      </c>
      <c r="D298">
        <f>D2/D5</f>
        <v>5.6497175141242932</v>
      </c>
    </row>
    <row r="299" spans="1:4" x14ac:dyDescent="0.25">
      <c r="A299" s="61"/>
      <c r="B299" t="s">
        <v>280</v>
      </c>
      <c r="C299" t="s">
        <v>279</v>
      </c>
      <c r="D299">
        <v>0.05</v>
      </c>
    </row>
    <row r="300" spans="1:4" x14ac:dyDescent="0.25">
      <c r="A300" s="61"/>
      <c r="C300" t="s">
        <v>278</v>
      </c>
      <c r="D300">
        <f>D298/(D3*D299)</f>
        <v>7.0621468926553663E-3</v>
      </c>
    </row>
    <row r="301" spans="1:4" x14ac:dyDescent="0.25">
      <c r="A301" s="61"/>
      <c r="C301" t="s">
        <v>282</v>
      </c>
      <c r="D301">
        <f>POWER(D7, 2)*D300/2</f>
        <v>6.8672669491525422</v>
      </c>
    </row>
    <row r="302" spans="1:4" x14ac:dyDescent="0.25">
      <c r="A302" s="61"/>
    </row>
    <row r="303" spans="1:4" x14ac:dyDescent="0.25">
      <c r="A303" s="60" t="s">
        <v>604</v>
      </c>
      <c r="B303" t="s">
        <v>609</v>
      </c>
      <c r="D303" s="1">
        <f>MAX(D338, 200)</f>
        <v>200</v>
      </c>
    </row>
    <row r="304" spans="1:4" x14ac:dyDescent="0.25">
      <c r="A304" s="60"/>
      <c r="B304" t="s">
        <v>606</v>
      </c>
      <c r="D304">
        <v>500000</v>
      </c>
    </row>
    <row r="305" spans="1:5" x14ac:dyDescent="0.25">
      <c r="A305" s="60"/>
      <c r="B305" t="s">
        <v>607</v>
      </c>
      <c r="D305">
        <v>6800</v>
      </c>
    </row>
    <row r="306" spans="1:5" x14ac:dyDescent="0.25">
      <c r="A306" s="60"/>
      <c r="B306" t="s">
        <v>608</v>
      </c>
      <c r="D306">
        <f>D304+D305</f>
        <v>506800</v>
      </c>
    </row>
    <row r="307" spans="1:5" x14ac:dyDescent="0.25">
      <c r="A307" s="60"/>
      <c r="B307" t="s">
        <v>612</v>
      </c>
      <c r="D307" s="1">
        <f>D303/D306</f>
        <v>3.9463299131807419E-4</v>
      </c>
    </row>
    <row r="308" spans="1:5" x14ac:dyDescent="0.25">
      <c r="A308" s="60"/>
      <c r="B308" t="s">
        <v>610</v>
      </c>
      <c r="D308" s="1">
        <f>POWER(D307, 2)*D304</f>
        <v>7.7867598918325606E-2</v>
      </c>
    </row>
    <row r="309" spans="1:5" x14ac:dyDescent="0.25">
      <c r="A309" s="60"/>
      <c r="B309" t="s">
        <v>611</v>
      </c>
      <c r="D309" s="1">
        <f>POWER(D307, 2)*D305</f>
        <v>1.0589993452892283E-3</v>
      </c>
    </row>
    <row r="310" spans="1:5" x14ac:dyDescent="0.25">
      <c r="A310" s="60"/>
      <c r="B310" t="s">
        <v>613</v>
      </c>
      <c r="D310" s="1">
        <f>D308+D309</f>
        <v>7.8926598263614839E-2</v>
      </c>
    </row>
    <row r="311" spans="1:5" x14ac:dyDescent="0.25">
      <c r="A311" s="60"/>
      <c r="C311" t="s">
        <v>614</v>
      </c>
      <c r="D311">
        <v>2.7</v>
      </c>
    </row>
    <row r="312" spans="1:5" x14ac:dyDescent="0.25">
      <c r="A312" s="60"/>
      <c r="C312" t="s">
        <v>615</v>
      </c>
      <c r="D312" s="1">
        <f>D303/D311</f>
        <v>74.074074074074076</v>
      </c>
    </row>
    <row r="313" spans="1:5" x14ac:dyDescent="0.25">
      <c r="A313" s="60"/>
      <c r="C313" t="s">
        <v>616</v>
      </c>
      <c r="D313" s="1">
        <f>D306/D305</f>
        <v>74.529411764705884</v>
      </c>
    </row>
    <row r="314" spans="1:5" x14ac:dyDescent="0.25">
      <c r="A314" s="60"/>
      <c r="C314" t="s">
        <v>617</v>
      </c>
      <c r="D314" s="1" t="b">
        <f>MAX(D312, D313)/MIN(D312,D313)&lt;1.04</f>
        <v>1</v>
      </c>
    </row>
    <row r="315" spans="1:5" x14ac:dyDescent="0.25">
      <c r="A315" s="60"/>
    </row>
    <row r="316" spans="1:5" x14ac:dyDescent="0.25">
      <c r="A316" s="60" t="s">
        <v>581</v>
      </c>
      <c r="C316" t="s">
        <v>285</v>
      </c>
      <c r="D316">
        <v>2</v>
      </c>
    </row>
    <row r="317" spans="1:5" x14ac:dyDescent="0.25">
      <c r="A317" s="60"/>
      <c r="B317" t="s">
        <v>38</v>
      </c>
      <c r="D317">
        <f>D7</f>
        <v>44.1</v>
      </c>
    </row>
    <row r="318" spans="1:5" x14ac:dyDescent="0.25">
      <c r="A318" s="60"/>
      <c r="B318" t="s">
        <v>286</v>
      </c>
      <c r="D318">
        <v>10000</v>
      </c>
      <c r="E318" s="9" t="s">
        <v>24</v>
      </c>
    </row>
    <row r="319" spans="1:5" x14ac:dyDescent="0.25">
      <c r="A319" s="60"/>
      <c r="C319" t="s">
        <v>289</v>
      </c>
      <c r="D319">
        <f>D317*D316/D321</f>
        <v>32.666666666666664</v>
      </c>
    </row>
    <row r="320" spans="1:5" x14ac:dyDescent="0.25">
      <c r="A320" s="60"/>
      <c r="B320" t="s">
        <v>290</v>
      </c>
      <c r="D320">
        <f>D319*D318</f>
        <v>326666.66666666663</v>
      </c>
      <c r="E320" s="9" t="s">
        <v>24</v>
      </c>
    </row>
    <row r="321" spans="1:5" x14ac:dyDescent="0.25">
      <c r="A321" s="60"/>
      <c r="C321" t="s">
        <v>288</v>
      </c>
      <c r="D321">
        <v>2.7</v>
      </c>
    </row>
    <row r="322" spans="1:5" x14ac:dyDescent="0.25">
      <c r="A322" s="60"/>
      <c r="B322" t="s">
        <v>287</v>
      </c>
      <c r="D322">
        <v>330000</v>
      </c>
    </row>
    <row r="323" spans="1:5" x14ac:dyDescent="0.25">
      <c r="A323" s="60"/>
      <c r="B323" t="s">
        <v>291</v>
      </c>
      <c r="D323" s="1">
        <v>1.0000000000000001E-9</v>
      </c>
      <c r="E323" s="9" t="s">
        <v>24</v>
      </c>
    </row>
    <row r="324" spans="1:5" x14ac:dyDescent="0.25">
      <c r="A324" s="60"/>
      <c r="B324" t="s">
        <v>292</v>
      </c>
      <c r="D324">
        <f>(D318*D322)/(D318+D322)</f>
        <v>9705.8823529411766</v>
      </c>
      <c r="E324" s="9" t="s">
        <v>24</v>
      </c>
    </row>
    <row r="325" spans="1:5" x14ac:dyDescent="0.25">
      <c r="A325" s="60"/>
      <c r="B325" t="s">
        <v>346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60" t="s">
        <v>904</v>
      </c>
      <c r="C327" t="s">
        <v>4</v>
      </c>
      <c r="D327">
        <f>D4</f>
        <v>1.2</v>
      </c>
      <c r="E327" s="9"/>
    </row>
    <row r="328" spans="1:5" x14ac:dyDescent="0.25">
      <c r="A328" s="60"/>
      <c r="B328" t="s">
        <v>48</v>
      </c>
      <c r="D328">
        <f>D3</f>
        <v>16000</v>
      </c>
      <c r="E328" t="s">
        <v>73</v>
      </c>
    </row>
    <row r="329" spans="1:5" x14ac:dyDescent="0.25">
      <c r="A329" s="60"/>
      <c r="B329" t="s">
        <v>898</v>
      </c>
      <c r="C329" t="s">
        <v>899</v>
      </c>
      <c r="D329">
        <f>D7</f>
        <v>44.1</v>
      </c>
    </row>
    <row r="330" spans="1:5" x14ac:dyDescent="0.25">
      <c r="A330" s="60"/>
      <c r="B330" t="s">
        <v>41</v>
      </c>
      <c r="D330">
        <f>D176</f>
        <v>22.598870056497173</v>
      </c>
      <c r="E330" t="s">
        <v>20</v>
      </c>
    </row>
    <row r="331" spans="1:5" x14ac:dyDescent="0.25">
      <c r="A331" s="60"/>
      <c r="B331" t="s">
        <v>896</v>
      </c>
      <c r="C331" t="s">
        <v>897</v>
      </c>
      <c r="D331" s="56">
        <f>D256</f>
        <v>61.545745489666373</v>
      </c>
    </row>
    <row r="332" spans="1:5" x14ac:dyDescent="0.25">
      <c r="A332" s="60"/>
      <c r="B332" t="s">
        <v>39</v>
      </c>
      <c r="D332" s="55">
        <v>0.5</v>
      </c>
    </row>
    <row r="333" spans="1:5" x14ac:dyDescent="0.25">
      <c r="A333" s="60"/>
      <c r="B333" t="s">
        <v>304</v>
      </c>
      <c r="D333" s="55">
        <v>2.3E-2</v>
      </c>
      <c r="E333" s="9" t="s">
        <v>24</v>
      </c>
    </row>
    <row r="334" spans="1:5" x14ac:dyDescent="0.25">
      <c r="A334" s="60"/>
      <c r="B334" t="s">
        <v>928</v>
      </c>
      <c r="C334" t="s">
        <v>929</v>
      </c>
      <c r="D334" s="56">
        <f>D107</f>
        <v>4.8951562500000008E-5</v>
      </c>
      <c r="E334" s="9" t="s">
        <v>160</v>
      </c>
    </row>
    <row r="335" spans="1:5" x14ac:dyDescent="0.25">
      <c r="A335" s="60"/>
      <c r="E335" s="9"/>
    </row>
    <row r="336" spans="1:5" x14ac:dyDescent="0.25">
      <c r="A336" s="60"/>
      <c r="B336" t="s">
        <v>303</v>
      </c>
      <c r="D336" s="28">
        <f>POWER(D330,2)*D332*D333/3</f>
        <v>1.9577175566833704</v>
      </c>
    </row>
    <row r="337" spans="1:5" x14ac:dyDescent="0.25">
      <c r="A337" s="60"/>
      <c r="B337" t="s">
        <v>306</v>
      </c>
      <c r="C337" t="s">
        <v>305</v>
      </c>
      <c r="D337" s="54">
        <f>D332*D330*D327</f>
        <v>13.559322033898303</v>
      </c>
    </row>
    <row r="338" spans="1:5" x14ac:dyDescent="0.25">
      <c r="A338" s="60"/>
      <c r="B338" t="s">
        <v>307</v>
      </c>
      <c r="D338" s="54">
        <f>(D331+D329)*D327</f>
        <v>126.77489458759965</v>
      </c>
      <c r="E338" t="s">
        <v>21</v>
      </c>
    </row>
    <row r="339" spans="1:5" x14ac:dyDescent="0.25">
      <c r="A339" s="60"/>
      <c r="B339" t="s">
        <v>324</v>
      </c>
      <c r="D339" s="55">
        <v>250</v>
      </c>
      <c r="E339" t="s">
        <v>21</v>
      </c>
    </row>
    <row r="340" spans="1:5" x14ac:dyDescent="0.25">
      <c r="A340" s="60"/>
      <c r="C340" t="s">
        <v>341</v>
      </c>
      <c r="D340" s="28" t="b">
        <f>D339&gt;=D338</f>
        <v>1</v>
      </c>
    </row>
    <row r="341" spans="1:5" x14ac:dyDescent="0.25">
      <c r="A341" s="60"/>
      <c r="B341" t="s">
        <v>308</v>
      </c>
      <c r="D341" s="55"/>
      <c r="E341" t="s">
        <v>340</v>
      </c>
    </row>
    <row r="342" spans="1:5" x14ac:dyDescent="0.25">
      <c r="A342" s="60"/>
      <c r="B342" t="s">
        <v>309</v>
      </c>
      <c r="D342" s="55"/>
      <c r="E342" t="s">
        <v>340</v>
      </c>
    </row>
    <row r="343" spans="1:5" x14ac:dyDescent="0.25">
      <c r="A343" s="60"/>
      <c r="B343" t="s">
        <v>310</v>
      </c>
      <c r="C343" t="s">
        <v>311</v>
      </c>
      <c r="D343" s="57">
        <v>4.9999999999999998E-8</v>
      </c>
      <c r="E343" t="s">
        <v>340</v>
      </c>
    </row>
    <row r="344" spans="1:5" x14ac:dyDescent="0.25">
      <c r="A344" s="60"/>
      <c r="B344" t="s">
        <v>312</v>
      </c>
      <c r="D344" s="54">
        <f>D328*D343*2</f>
        <v>1.5999999999999999E-3</v>
      </c>
      <c r="E344" t="s">
        <v>20</v>
      </c>
    </row>
    <row r="345" spans="1:5" x14ac:dyDescent="0.25">
      <c r="A345" s="60"/>
      <c r="B345" t="s">
        <v>314</v>
      </c>
      <c r="C345" t="s">
        <v>326</v>
      </c>
      <c r="D345" s="55">
        <v>10</v>
      </c>
      <c r="E345" t="s">
        <v>21</v>
      </c>
    </row>
    <row r="346" spans="1:5" x14ac:dyDescent="0.25">
      <c r="A346" s="60"/>
      <c r="B346" t="s">
        <v>315</v>
      </c>
      <c r="D346" s="55">
        <v>5</v>
      </c>
      <c r="E346" s="9" t="s">
        <v>24</v>
      </c>
    </row>
    <row r="347" spans="1:5" x14ac:dyDescent="0.25">
      <c r="A347" s="60"/>
      <c r="B347" t="s">
        <v>229</v>
      </c>
      <c r="C347" t="s">
        <v>313</v>
      </c>
      <c r="D347" s="54">
        <f>D343*D346/D345</f>
        <v>2.4999999999999999E-8</v>
      </c>
      <c r="E347" t="s">
        <v>339</v>
      </c>
    </row>
    <row r="348" spans="1:5" x14ac:dyDescent="0.25">
      <c r="A348" s="60"/>
      <c r="B348" t="s">
        <v>320</v>
      </c>
      <c r="C348" t="s">
        <v>323</v>
      </c>
      <c r="D348" s="54">
        <f>D347</f>
        <v>2.4999999999999999E-8</v>
      </c>
      <c r="E348" t="s">
        <v>339</v>
      </c>
    </row>
    <row r="349" spans="1:5" x14ac:dyDescent="0.25">
      <c r="A349" s="60"/>
      <c r="B349" t="s">
        <v>321</v>
      </c>
      <c r="C349" t="s">
        <v>322</v>
      </c>
      <c r="D349" s="54">
        <f>D348</f>
        <v>2.4999999999999999E-8</v>
      </c>
      <c r="E349" t="s">
        <v>339</v>
      </c>
    </row>
    <row r="350" spans="1:5" x14ac:dyDescent="0.25">
      <c r="A350" s="60"/>
      <c r="C350" t="s">
        <v>316</v>
      </c>
      <c r="D350" s="28">
        <f>D345/D346</f>
        <v>2</v>
      </c>
      <c r="E350" t="s">
        <v>20</v>
      </c>
    </row>
    <row r="351" spans="1:5" x14ac:dyDescent="0.25">
      <c r="A351" s="60"/>
      <c r="C351" t="s">
        <v>318</v>
      </c>
      <c r="D351" s="55">
        <v>3</v>
      </c>
      <c r="E351" t="s">
        <v>20</v>
      </c>
    </row>
    <row r="352" spans="1:5" x14ac:dyDescent="0.25">
      <c r="A352" s="60"/>
      <c r="C352" t="s">
        <v>319</v>
      </c>
      <c r="D352" s="28">
        <f>D351/D4</f>
        <v>2.5</v>
      </c>
      <c r="E352" t="s">
        <v>20</v>
      </c>
    </row>
    <row r="353" spans="1:6" x14ac:dyDescent="0.25">
      <c r="A353" s="60"/>
      <c r="C353" t="s">
        <v>317</v>
      </c>
      <c r="D353" s="28" t="b">
        <f>D350&lt;D352</f>
        <v>1</v>
      </c>
    </row>
    <row r="354" spans="1:6" x14ac:dyDescent="0.25">
      <c r="A354" s="60"/>
      <c r="B354" t="s">
        <v>343</v>
      </c>
      <c r="C354" t="s">
        <v>344</v>
      </c>
      <c r="D354" s="54">
        <f>D343*D345*D328</f>
        <v>8.0000000000000002E-3</v>
      </c>
      <c r="E354" t="s">
        <v>22</v>
      </c>
    </row>
    <row r="355" spans="1:6" x14ac:dyDescent="0.25">
      <c r="A355" s="60"/>
      <c r="B355" t="s">
        <v>901</v>
      </c>
      <c r="D355" s="28">
        <f>D235+D329</f>
        <v>144.1</v>
      </c>
      <c r="E355" t="s">
        <v>21</v>
      </c>
      <c r="F355" t="s">
        <v>902</v>
      </c>
    </row>
    <row r="356" spans="1:6" x14ac:dyDescent="0.25">
      <c r="A356" s="60"/>
      <c r="B356" t="s">
        <v>900</v>
      </c>
      <c r="D356" s="28">
        <f>D330</f>
        <v>22.598870056497173</v>
      </c>
      <c r="E356" t="s">
        <v>20</v>
      </c>
    </row>
    <row r="357" spans="1:6" x14ac:dyDescent="0.25">
      <c r="A357" s="60"/>
      <c r="B357" t="s">
        <v>903</v>
      </c>
      <c r="D357" s="54">
        <f>0.5*D355*D356*(D348+D349)*D3</f>
        <v>1.302598870056497</v>
      </c>
      <c r="E357" t="s">
        <v>22</v>
      </c>
    </row>
    <row r="358" spans="1:6" x14ac:dyDescent="0.25">
      <c r="A358" s="60"/>
      <c r="B358" t="s">
        <v>338</v>
      </c>
      <c r="D358" s="54">
        <f>D336+D357</f>
        <v>3.2603164267398674</v>
      </c>
      <c r="E358" t="s">
        <v>22</v>
      </c>
    </row>
    <row r="359" spans="1:6" x14ac:dyDescent="0.25">
      <c r="A359" s="60"/>
      <c r="B359" t="s">
        <v>327</v>
      </c>
      <c r="D359" s="55">
        <v>1000</v>
      </c>
      <c r="E359" s="9" t="s">
        <v>24</v>
      </c>
    </row>
    <row r="360" spans="1:6" x14ac:dyDescent="0.25">
      <c r="A360" s="60"/>
      <c r="B360" t="s">
        <v>330</v>
      </c>
      <c r="D360" s="55">
        <v>2.5</v>
      </c>
      <c r="E360" t="s">
        <v>21</v>
      </c>
    </row>
    <row r="361" spans="1:6" x14ac:dyDescent="0.25">
      <c r="A361" s="60"/>
      <c r="B361" t="s">
        <v>331</v>
      </c>
      <c r="C361" t="s">
        <v>332</v>
      </c>
      <c r="D361" s="55">
        <v>210</v>
      </c>
      <c r="E361" t="s">
        <v>20</v>
      </c>
    </row>
    <row r="362" spans="1:6" x14ac:dyDescent="0.25">
      <c r="A362" s="60"/>
      <c r="B362" t="s">
        <v>328</v>
      </c>
      <c r="C362" t="s">
        <v>329</v>
      </c>
      <c r="D362" s="54">
        <f>-D359*(D343/D345)*LN(D360/D345)</f>
        <v>6.9314718055994534E-6</v>
      </c>
      <c r="E362" t="s">
        <v>339</v>
      </c>
    </row>
    <row r="363" spans="1:6" x14ac:dyDescent="0.25">
      <c r="A363" s="60"/>
      <c r="C363" t="s">
        <v>342</v>
      </c>
      <c r="D363" s="54">
        <f>D330+(D329*D362/D334)</f>
        <v>28.843367494693062</v>
      </c>
      <c r="E363" t="s">
        <v>20</v>
      </c>
    </row>
    <row r="364" spans="1:6" x14ac:dyDescent="0.25">
      <c r="A364" s="60"/>
      <c r="B364" t="s">
        <v>333</v>
      </c>
      <c r="D364" s="55">
        <v>60</v>
      </c>
      <c r="E364" t="s">
        <v>20</v>
      </c>
    </row>
    <row r="365" spans="1:6" x14ac:dyDescent="0.25">
      <c r="A365" s="60"/>
      <c r="C365" t="s">
        <v>335</v>
      </c>
      <c r="D365" s="28" t="b">
        <f>D363&lt;D361</f>
        <v>1</v>
      </c>
    </row>
    <row r="366" spans="1:6" x14ac:dyDescent="0.25">
      <c r="A366" s="60"/>
      <c r="C366" t="s">
        <v>334</v>
      </c>
      <c r="D366" s="28" t="b">
        <f>D363&lt;D364</f>
        <v>1</v>
      </c>
    </row>
    <row r="367" spans="1:6" x14ac:dyDescent="0.25">
      <c r="A367" s="60"/>
      <c r="B367" t="s">
        <v>336</v>
      </c>
      <c r="C367" t="s">
        <v>337</v>
      </c>
      <c r="D367" s="28">
        <f>0.5*POWER(D345, 2)/D359</f>
        <v>0.05</v>
      </c>
      <c r="E367" t="s">
        <v>22</v>
      </c>
    </row>
    <row r="368" spans="1:6" x14ac:dyDescent="0.25">
      <c r="A368" s="53"/>
      <c r="D368" s="28"/>
    </row>
    <row r="369" spans="1:5" ht="15" customHeight="1" x14ac:dyDescent="0.25">
      <c r="A369" s="60" t="s">
        <v>997</v>
      </c>
      <c r="C369" t="s">
        <v>4</v>
      </c>
      <c r="D369">
        <f>D4</f>
        <v>1.2</v>
      </c>
      <c r="E369" s="9"/>
    </row>
    <row r="370" spans="1:5" x14ac:dyDescent="0.25">
      <c r="A370" s="60"/>
      <c r="B370" t="s">
        <v>48</v>
      </c>
      <c r="D370">
        <f>D3</f>
        <v>16000</v>
      </c>
      <c r="E370" t="s">
        <v>73</v>
      </c>
    </row>
    <row r="371" spans="1:5" x14ac:dyDescent="0.25">
      <c r="A371" s="60"/>
      <c r="B371" t="s">
        <v>898</v>
      </c>
      <c r="C371" t="s">
        <v>899</v>
      </c>
      <c r="D371">
        <f>D7</f>
        <v>44.1</v>
      </c>
    </row>
    <row r="372" spans="1:5" x14ac:dyDescent="0.25">
      <c r="A372" s="60"/>
      <c r="B372" t="s">
        <v>41</v>
      </c>
      <c r="D372">
        <f>D176</f>
        <v>22.598870056497173</v>
      </c>
      <c r="E372" t="s">
        <v>20</v>
      </c>
    </row>
    <row r="373" spans="1:5" x14ac:dyDescent="0.25">
      <c r="A373" s="60"/>
      <c r="D373" s="56"/>
    </row>
    <row r="374" spans="1:5" x14ac:dyDescent="0.25">
      <c r="A374" s="60"/>
      <c r="B374" t="s">
        <v>39</v>
      </c>
      <c r="D374" s="55">
        <v>0.5</v>
      </c>
    </row>
    <row r="375" spans="1:5" x14ac:dyDescent="0.25">
      <c r="A375" s="60"/>
      <c r="B375" t="s">
        <v>304</v>
      </c>
      <c r="D375" s="55">
        <v>2.3E-2</v>
      </c>
      <c r="E375" s="9" t="s">
        <v>24</v>
      </c>
    </row>
    <row r="376" spans="1:5" x14ac:dyDescent="0.25">
      <c r="A376" s="60"/>
      <c r="B376" t="s">
        <v>928</v>
      </c>
      <c r="C376" t="s">
        <v>929</v>
      </c>
      <c r="D376" s="56">
        <f>D107</f>
        <v>4.8951562500000008E-5</v>
      </c>
      <c r="E376" s="9" t="s">
        <v>160</v>
      </c>
    </row>
    <row r="377" spans="1:5" x14ac:dyDescent="0.25">
      <c r="A377" s="60"/>
      <c r="D377" s="56"/>
      <c r="E377" s="9"/>
    </row>
    <row r="378" spans="1:5" x14ac:dyDescent="0.25">
      <c r="A378" s="60"/>
      <c r="B378" t="s">
        <v>303</v>
      </c>
      <c r="D378" s="28">
        <f>POWER(D372,2)*D374*D375/3</f>
        <v>1.9577175566833704</v>
      </c>
    </row>
    <row r="379" spans="1:5" x14ac:dyDescent="0.25">
      <c r="A379" s="60"/>
      <c r="B379" t="s">
        <v>306</v>
      </c>
      <c r="C379" t="s">
        <v>1006</v>
      </c>
      <c r="D379" s="54">
        <f>D374*D372*D369</f>
        <v>13.559322033898303</v>
      </c>
    </row>
    <row r="380" spans="1:5" x14ac:dyDescent="0.25">
      <c r="A380" s="60"/>
      <c r="B380" t="s">
        <v>994</v>
      </c>
      <c r="C380" t="s">
        <v>1005</v>
      </c>
      <c r="D380" s="54"/>
    </row>
    <row r="381" spans="1:5" x14ac:dyDescent="0.25">
      <c r="A381" s="60"/>
      <c r="C381" t="s">
        <v>995</v>
      </c>
      <c r="D381" s="54" t="b">
        <f>D380&gt;=D379</f>
        <v>0</v>
      </c>
    </row>
    <row r="382" spans="1:5" x14ac:dyDescent="0.25">
      <c r="A382" s="60"/>
      <c r="B382" t="s">
        <v>307</v>
      </c>
      <c r="D382" s="54">
        <f>D371*D369</f>
        <v>52.92</v>
      </c>
      <c r="E382" t="s">
        <v>21</v>
      </c>
    </row>
    <row r="383" spans="1:5" x14ac:dyDescent="0.25">
      <c r="A383" s="60"/>
      <c r="B383" t="s">
        <v>324</v>
      </c>
      <c r="D383" s="55">
        <v>250</v>
      </c>
      <c r="E383" t="s">
        <v>21</v>
      </c>
    </row>
    <row r="384" spans="1:5" x14ac:dyDescent="0.25">
      <c r="A384" s="60"/>
      <c r="C384" t="s">
        <v>341</v>
      </c>
      <c r="D384" s="28" t="b">
        <f>D383&gt;=D382</f>
        <v>1</v>
      </c>
    </row>
    <row r="385" spans="1:8" x14ac:dyDescent="0.25">
      <c r="A385" s="60"/>
      <c r="B385" t="s">
        <v>308</v>
      </c>
      <c r="D385" s="55"/>
      <c r="E385" t="s">
        <v>340</v>
      </c>
    </row>
    <row r="386" spans="1:8" x14ac:dyDescent="0.25">
      <c r="A386" s="60"/>
      <c r="B386" t="s">
        <v>309</v>
      </c>
      <c r="D386" s="55"/>
      <c r="E386" t="s">
        <v>340</v>
      </c>
    </row>
    <row r="387" spans="1:8" x14ac:dyDescent="0.25">
      <c r="A387" s="60"/>
      <c r="B387" t="s">
        <v>310</v>
      </c>
      <c r="C387" t="s">
        <v>311</v>
      </c>
      <c r="D387" s="57">
        <v>4.9999999999999998E-8</v>
      </c>
      <c r="E387" t="s">
        <v>340</v>
      </c>
    </row>
    <row r="388" spans="1:8" x14ac:dyDescent="0.25">
      <c r="A388" s="60"/>
      <c r="B388" t="s">
        <v>312</v>
      </c>
      <c r="D388" s="54">
        <f>D370*D387*2</f>
        <v>1.5999999999999999E-3</v>
      </c>
      <c r="E388" t="s">
        <v>20</v>
      </c>
    </row>
    <row r="389" spans="1:8" x14ac:dyDescent="0.25">
      <c r="A389" s="60"/>
      <c r="B389" t="s">
        <v>944</v>
      </c>
      <c r="C389" t="s">
        <v>945</v>
      </c>
      <c r="D389" s="57">
        <v>14</v>
      </c>
    </row>
    <row r="390" spans="1:8" x14ac:dyDescent="0.25">
      <c r="A390" s="60"/>
      <c r="B390" s="39" t="s">
        <v>931</v>
      </c>
      <c r="C390" t="s">
        <v>930</v>
      </c>
      <c r="D390" s="55">
        <v>0.05</v>
      </c>
      <c r="E390" t="s">
        <v>21</v>
      </c>
    </row>
    <row r="391" spans="1:8" x14ac:dyDescent="0.25">
      <c r="A391" s="60"/>
      <c r="B391" s="39" t="s">
        <v>933</v>
      </c>
      <c r="C391" t="s">
        <v>935</v>
      </c>
      <c r="D391" s="54">
        <f>D387/D390</f>
        <v>9.9999999999999995E-7</v>
      </c>
      <c r="E391" t="s">
        <v>23</v>
      </c>
    </row>
    <row r="392" spans="1:8" x14ac:dyDescent="0.25">
      <c r="A392" s="60"/>
      <c r="B392" s="39" t="s">
        <v>932</v>
      </c>
      <c r="C392" t="s">
        <v>936</v>
      </c>
      <c r="D392" s="28">
        <f>0.000001</f>
        <v>9.9999999999999995E-7</v>
      </c>
      <c r="E392" t="s">
        <v>23</v>
      </c>
      <c r="F392" s="5" t="s">
        <v>1002</v>
      </c>
    </row>
    <row r="393" spans="1:8" x14ac:dyDescent="0.25">
      <c r="A393" s="60"/>
      <c r="B393" s="39" t="s">
        <v>934</v>
      </c>
      <c r="C393" t="s">
        <v>937</v>
      </c>
      <c r="D393" s="54">
        <f>D387/D392</f>
        <v>0.05</v>
      </c>
      <c r="E393" t="s">
        <v>21</v>
      </c>
    </row>
    <row r="394" spans="1:8" x14ac:dyDescent="0.25">
      <c r="A394" s="60"/>
      <c r="B394" s="39"/>
      <c r="C394" t="s">
        <v>946</v>
      </c>
      <c r="D394" s="54" t="b">
        <f>D393&lt;=D390</f>
        <v>1</v>
      </c>
    </row>
    <row r="395" spans="1:8" x14ac:dyDescent="0.25">
      <c r="A395" s="60"/>
      <c r="B395" s="39" t="s">
        <v>957</v>
      </c>
      <c r="C395" t="s">
        <v>958</v>
      </c>
      <c r="D395" s="54">
        <f>D393*D392</f>
        <v>4.9999999999999998E-8</v>
      </c>
      <c r="E395" t="s">
        <v>340</v>
      </c>
    </row>
    <row r="396" spans="1:8" x14ac:dyDescent="0.25">
      <c r="A396" s="60"/>
      <c r="B396" s="39" t="s">
        <v>959</v>
      </c>
      <c r="C396" t="s">
        <v>960</v>
      </c>
      <c r="D396" s="54">
        <f>D395*D370</f>
        <v>7.9999999999999993E-4</v>
      </c>
      <c r="E396" t="s">
        <v>20</v>
      </c>
    </row>
    <row r="397" spans="1:8" x14ac:dyDescent="0.25">
      <c r="A397" s="60"/>
      <c r="B397" s="39" t="s">
        <v>941</v>
      </c>
      <c r="C397" t="s">
        <v>942</v>
      </c>
      <c r="D397" s="55">
        <v>0.9</v>
      </c>
      <c r="E397" t="s">
        <v>21</v>
      </c>
      <c r="F397" t="s">
        <v>999</v>
      </c>
      <c r="G397" t="s">
        <v>1004</v>
      </c>
    </row>
    <row r="398" spans="1:8" x14ac:dyDescent="0.25">
      <c r="A398" s="60"/>
      <c r="B398" t="s">
        <v>908</v>
      </c>
      <c r="C398" t="s">
        <v>910</v>
      </c>
      <c r="D398" s="56">
        <f>D389</f>
        <v>14</v>
      </c>
      <c r="E398" t="s">
        <v>21</v>
      </c>
    </row>
    <row r="399" spans="1:8" x14ac:dyDescent="0.25">
      <c r="A399" s="60"/>
      <c r="B399" t="s">
        <v>943</v>
      </c>
      <c r="C399" t="s">
        <v>909</v>
      </c>
      <c r="D399" s="54">
        <f>D389-D397-D393</f>
        <v>13.049999999999999</v>
      </c>
      <c r="E399" t="s">
        <v>21</v>
      </c>
    </row>
    <row r="400" spans="1:8" x14ac:dyDescent="0.25">
      <c r="A400" s="60"/>
      <c r="B400" t="s">
        <v>315</v>
      </c>
      <c r="D400" s="55">
        <v>6</v>
      </c>
      <c r="E400" s="9" t="s">
        <v>24</v>
      </c>
      <c r="H400" s="55"/>
    </row>
    <row r="401" spans="1:6" x14ac:dyDescent="0.25">
      <c r="A401" s="60"/>
      <c r="B401" t="s">
        <v>964</v>
      </c>
      <c r="D401" s="55">
        <v>1</v>
      </c>
      <c r="E401" s="9" t="s">
        <v>24</v>
      </c>
    </row>
    <row r="402" spans="1:6" x14ac:dyDescent="0.25">
      <c r="A402" s="60"/>
      <c r="B402" t="s">
        <v>973</v>
      </c>
      <c r="D402" s="55">
        <v>0.02</v>
      </c>
      <c r="E402" s="9" t="s">
        <v>24</v>
      </c>
      <c r="F402" t="s">
        <v>1001</v>
      </c>
    </row>
    <row r="403" spans="1:6" x14ac:dyDescent="0.25">
      <c r="A403" s="60"/>
      <c r="B403" t="s">
        <v>962</v>
      </c>
      <c r="D403" s="55">
        <v>0.02</v>
      </c>
      <c r="E403" s="9" t="s">
        <v>24</v>
      </c>
      <c r="F403" t="s">
        <v>1003</v>
      </c>
    </row>
    <row r="404" spans="1:6" x14ac:dyDescent="0.25">
      <c r="A404" s="60"/>
      <c r="B404" t="s">
        <v>963</v>
      </c>
      <c r="C404" t="s">
        <v>961</v>
      </c>
      <c r="D404" s="28">
        <f>D401+D402+D403</f>
        <v>1.04</v>
      </c>
      <c r="E404" s="9" t="s">
        <v>24</v>
      </c>
    </row>
    <row r="405" spans="1:6" x14ac:dyDescent="0.25">
      <c r="A405" s="60"/>
      <c r="B405" t="s">
        <v>966</v>
      </c>
      <c r="C405" t="s">
        <v>967</v>
      </c>
      <c r="D405" s="55">
        <v>7.5</v>
      </c>
      <c r="E405" s="9" t="s">
        <v>21</v>
      </c>
    </row>
    <row r="406" spans="1:6" x14ac:dyDescent="0.25">
      <c r="A406" s="60"/>
      <c r="B406" t="s">
        <v>969</v>
      </c>
      <c r="C406" t="s">
        <v>965</v>
      </c>
      <c r="D406" s="58">
        <f>(D389-D405)/D404</f>
        <v>6.25</v>
      </c>
      <c r="E406" s="9" t="s">
        <v>20</v>
      </c>
    </row>
    <row r="407" spans="1:6" x14ac:dyDescent="0.25">
      <c r="A407" s="60"/>
      <c r="B407" t="s">
        <v>970</v>
      </c>
      <c r="D407" s="54">
        <f>D393/D404</f>
        <v>4.807692307692308E-2</v>
      </c>
      <c r="E407" s="9" t="s">
        <v>20</v>
      </c>
    </row>
    <row r="408" spans="1:6" x14ac:dyDescent="0.25">
      <c r="A408" s="60"/>
      <c r="B408" t="s">
        <v>972</v>
      </c>
      <c r="D408" s="59">
        <v>125</v>
      </c>
      <c r="E408" s="9" t="s">
        <v>20</v>
      </c>
    </row>
    <row r="409" spans="1:6" x14ac:dyDescent="0.25">
      <c r="A409" s="60"/>
      <c r="C409" t="s">
        <v>968</v>
      </c>
      <c r="D409" s="58" t="b">
        <f>AND(D408&gt;=D406*D369, D408&gt;=D407*D369)</f>
        <v>1</v>
      </c>
      <c r="E409" s="9"/>
    </row>
    <row r="410" spans="1:6" x14ac:dyDescent="0.25">
      <c r="A410" s="60"/>
      <c r="B410" t="s">
        <v>971</v>
      </c>
      <c r="D410" s="59">
        <v>200</v>
      </c>
      <c r="E410" s="9" t="s">
        <v>21</v>
      </c>
    </row>
    <row r="411" spans="1:6" x14ac:dyDescent="0.25">
      <c r="A411" s="60"/>
      <c r="C411" t="s">
        <v>974</v>
      </c>
      <c r="D411" s="58" t="b">
        <f>D410&gt;=2*D389</f>
        <v>1</v>
      </c>
      <c r="E411" s="9"/>
    </row>
    <row r="412" spans="1:6" x14ac:dyDescent="0.25">
      <c r="A412" s="60"/>
      <c r="B412" t="s">
        <v>911</v>
      </c>
      <c r="C412" t="s">
        <v>918</v>
      </c>
      <c r="D412" s="54">
        <f>D387*D400/D398</f>
        <v>2.1428571428571429E-8</v>
      </c>
      <c r="E412" t="s">
        <v>339</v>
      </c>
    </row>
    <row r="413" spans="1:6" x14ac:dyDescent="0.25">
      <c r="A413" s="60"/>
      <c r="B413" t="s">
        <v>912</v>
      </c>
      <c r="C413" t="s">
        <v>905</v>
      </c>
      <c r="D413" s="54">
        <f>D412</f>
        <v>2.1428571428571429E-8</v>
      </c>
      <c r="E413" t="s">
        <v>339</v>
      </c>
    </row>
    <row r="414" spans="1:6" x14ac:dyDescent="0.25">
      <c r="A414" s="60"/>
      <c r="B414" t="s">
        <v>913</v>
      </c>
      <c r="C414" t="s">
        <v>906</v>
      </c>
      <c r="D414" s="54">
        <f>D413</f>
        <v>2.1428571428571429E-8</v>
      </c>
      <c r="E414" t="s">
        <v>339</v>
      </c>
    </row>
    <row r="415" spans="1:6" x14ac:dyDescent="0.25">
      <c r="A415" s="60"/>
      <c r="B415" t="s">
        <v>914</v>
      </c>
      <c r="C415" t="s">
        <v>917</v>
      </c>
      <c r="D415" s="54">
        <f>D387*D400/D399</f>
        <v>2.2988505747126436E-8</v>
      </c>
      <c r="E415" t="s">
        <v>339</v>
      </c>
    </row>
    <row r="416" spans="1:6" x14ac:dyDescent="0.25">
      <c r="A416" s="60"/>
      <c r="B416" t="s">
        <v>915</v>
      </c>
      <c r="C416" t="s">
        <v>919</v>
      </c>
      <c r="D416" s="54">
        <f>D415</f>
        <v>2.2988505747126436E-8</v>
      </c>
      <c r="E416" t="s">
        <v>339</v>
      </c>
    </row>
    <row r="417" spans="1:6" x14ac:dyDescent="0.25">
      <c r="A417" s="60"/>
      <c r="B417" t="s">
        <v>916</v>
      </c>
      <c r="C417" t="s">
        <v>920</v>
      </c>
      <c r="D417" s="54">
        <f>D416</f>
        <v>2.2988505747126436E-8</v>
      </c>
      <c r="E417" t="s">
        <v>339</v>
      </c>
    </row>
    <row r="418" spans="1:6" x14ac:dyDescent="0.25">
      <c r="A418" s="60"/>
      <c r="C418" t="s">
        <v>907</v>
      </c>
      <c r="D418" s="28">
        <f>D398/D400</f>
        <v>2.3333333333333335</v>
      </c>
      <c r="E418" t="s">
        <v>20</v>
      </c>
    </row>
    <row r="419" spans="1:6" x14ac:dyDescent="0.25">
      <c r="A419" s="60"/>
      <c r="C419" t="s">
        <v>318</v>
      </c>
      <c r="D419" s="55">
        <v>3</v>
      </c>
      <c r="E419" t="s">
        <v>20</v>
      </c>
    </row>
    <row r="420" spans="1:6" x14ac:dyDescent="0.25">
      <c r="A420" s="60"/>
      <c r="C420" t="s">
        <v>319</v>
      </c>
      <c r="D420" s="28">
        <f>D419/D369</f>
        <v>2.5</v>
      </c>
      <c r="E420" t="s">
        <v>20</v>
      </c>
    </row>
    <row r="421" spans="1:6" x14ac:dyDescent="0.25">
      <c r="A421" s="60"/>
      <c r="C421" t="s">
        <v>317</v>
      </c>
      <c r="D421" s="28" t="b">
        <f>D418&lt;D420</f>
        <v>1</v>
      </c>
    </row>
    <row r="422" spans="1:6" x14ac:dyDescent="0.25">
      <c r="A422" s="60"/>
      <c r="B422" t="s">
        <v>976</v>
      </c>
      <c r="C422" t="s">
        <v>975</v>
      </c>
      <c r="D422" s="54">
        <f>D393/(D401+D402+D403)</f>
        <v>4.807692307692308E-2</v>
      </c>
    </row>
    <row r="423" spans="1:6" x14ac:dyDescent="0.25">
      <c r="A423" s="60"/>
      <c r="B423" t="s">
        <v>977</v>
      </c>
      <c r="C423" t="s">
        <v>980</v>
      </c>
      <c r="D423" s="57">
        <v>2E-8</v>
      </c>
      <c r="E423" t="s">
        <v>160</v>
      </c>
      <c r="F423" t="s">
        <v>1000</v>
      </c>
    </row>
    <row r="424" spans="1:6" x14ac:dyDescent="0.25">
      <c r="A424" s="60"/>
      <c r="B424" t="s">
        <v>978</v>
      </c>
      <c r="C424" t="s">
        <v>979</v>
      </c>
      <c r="D424" s="1">
        <v>5.0000000000000001E-9</v>
      </c>
      <c r="E424" t="s">
        <v>339</v>
      </c>
    </row>
    <row r="425" spans="1:6" x14ac:dyDescent="0.25">
      <c r="A425" s="60"/>
      <c r="B425" t="s">
        <v>991</v>
      </c>
      <c r="C425" t="s">
        <v>981</v>
      </c>
      <c r="D425" s="1">
        <f xml:space="preserve"> D423*D422/D424</f>
        <v>0.19230769230769232</v>
      </c>
      <c r="E425" t="s">
        <v>21</v>
      </c>
    </row>
    <row r="426" spans="1:6" x14ac:dyDescent="0.25">
      <c r="A426" s="60"/>
      <c r="B426" t="s">
        <v>922</v>
      </c>
      <c r="C426" t="s">
        <v>344</v>
      </c>
      <c r="D426" s="54">
        <f>D387*D398*D370</f>
        <v>1.12E-2</v>
      </c>
      <c r="E426" t="s">
        <v>22</v>
      </c>
    </row>
    <row r="427" spans="1:6" x14ac:dyDescent="0.25">
      <c r="A427" s="60"/>
      <c r="D427" s="57"/>
      <c r="E427" t="s">
        <v>340</v>
      </c>
    </row>
    <row r="428" spans="1:6" x14ac:dyDescent="0.25">
      <c r="A428" s="60"/>
      <c r="B428" t="s">
        <v>983</v>
      </c>
      <c r="C428" t="s">
        <v>984</v>
      </c>
      <c r="D428" s="57">
        <v>2.4999999999999999E-8</v>
      </c>
      <c r="E428" t="s">
        <v>339</v>
      </c>
      <c r="F428" t="s">
        <v>999</v>
      </c>
    </row>
    <row r="429" spans="1:6" x14ac:dyDescent="0.25">
      <c r="A429" s="60"/>
      <c r="B429" t="s">
        <v>982</v>
      </c>
      <c r="C429" t="s">
        <v>998</v>
      </c>
      <c r="D429" s="58">
        <v>0.25</v>
      </c>
      <c r="E429" t="s">
        <v>20</v>
      </c>
    </row>
    <row r="430" spans="1:6" x14ac:dyDescent="0.25">
      <c r="A430" s="60"/>
      <c r="B430" t="s">
        <v>988</v>
      </c>
      <c r="C430" t="s">
        <v>985</v>
      </c>
      <c r="D430" s="58">
        <f>D423*D429/D428</f>
        <v>0.2</v>
      </c>
      <c r="E430" t="s">
        <v>21</v>
      </c>
    </row>
    <row r="431" spans="1:6" x14ac:dyDescent="0.25">
      <c r="A431" s="60"/>
      <c r="B431" t="s">
        <v>992</v>
      </c>
      <c r="C431" t="s">
        <v>989</v>
      </c>
      <c r="D431" s="59">
        <v>0.2</v>
      </c>
      <c r="E431" t="s">
        <v>21</v>
      </c>
    </row>
    <row r="432" spans="1:6" x14ac:dyDescent="0.25">
      <c r="A432" s="60"/>
      <c r="B432" t="s">
        <v>986</v>
      </c>
      <c r="C432" t="s">
        <v>990</v>
      </c>
      <c r="D432" s="55">
        <v>0.2</v>
      </c>
      <c r="E432" t="s">
        <v>21</v>
      </c>
    </row>
    <row r="433" spans="1:5" x14ac:dyDescent="0.25">
      <c r="A433" s="60"/>
      <c r="B433" t="s">
        <v>993</v>
      </c>
      <c r="D433" s="28" t="b">
        <f>D431&gt;=D425</f>
        <v>1</v>
      </c>
    </row>
    <row r="434" spans="1:5" x14ac:dyDescent="0.25">
      <c r="A434" s="60"/>
      <c r="B434" t="s">
        <v>987</v>
      </c>
      <c r="D434" s="28" t="b">
        <f>D432&lt;=D430</f>
        <v>1</v>
      </c>
    </row>
    <row r="435" spans="1:5" x14ac:dyDescent="0.25">
      <c r="A435" s="60"/>
      <c r="B435" t="s">
        <v>901</v>
      </c>
      <c r="D435" s="28">
        <f>D371</f>
        <v>44.1</v>
      </c>
      <c r="E435" t="s">
        <v>21</v>
      </c>
    </row>
    <row r="436" spans="1:5" x14ac:dyDescent="0.25">
      <c r="A436" s="60"/>
      <c r="B436" t="s">
        <v>900</v>
      </c>
      <c r="D436" s="28">
        <f>D372</f>
        <v>22.598870056497173</v>
      </c>
      <c r="E436" t="s">
        <v>20</v>
      </c>
    </row>
    <row r="437" spans="1:5" x14ac:dyDescent="0.25">
      <c r="A437" s="60"/>
      <c r="B437" t="s">
        <v>921</v>
      </c>
      <c r="D437" s="54">
        <f>0.5*D435*D436*(D413+D414)*D43</f>
        <v>1.368114406779661E-4</v>
      </c>
      <c r="E437" t="s">
        <v>22</v>
      </c>
    </row>
    <row r="438" spans="1:5" x14ac:dyDescent="0.25">
      <c r="A438" s="60"/>
      <c r="B438" t="s">
        <v>923</v>
      </c>
      <c r="C438" t="s">
        <v>924</v>
      </c>
      <c r="D438" s="54">
        <f>D378+D437</f>
        <v>1.9578543681240483</v>
      </c>
      <c r="E438" t="s">
        <v>22</v>
      </c>
    </row>
    <row r="439" spans="1:5" x14ac:dyDescent="0.25">
      <c r="A439" s="60"/>
      <c r="B439" t="s">
        <v>925</v>
      </c>
      <c r="C439" t="s">
        <v>926</v>
      </c>
      <c r="D439" s="54">
        <f>4*D438</f>
        <v>7.8314174724961934</v>
      </c>
      <c r="E439" t="s">
        <v>22</v>
      </c>
    </row>
    <row r="440" spans="1:5" x14ac:dyDescent="0.25">
      <c r="A440" s="60"/>
      <c r="B440" t="s">
        <v>327</v>
      </c>
      <c r="D440" s="55">
        <v>1000</v>
      </c>
      <c r="E440" s="9" t="s">
        <v>24</v>
      </c>
    </row>
    <row r="441" spans="1:5" x14ac:dyDescent="0.25">
      <c r="A441" s="60"/>
      <c r="B441" t="s">
        <v>330</v>
      </c>
      <c r="D441" s="55">
        <v>2.5</v>
      </c>
      <c r="E441" t="s">
        <v>21</v>
      </c>
    </row>
    <row r="442" spans="1:5" x14ac:dyDescent="0.25">
      <c r="A442" s="60"/>
      <c r="B442" t="s">
        <v>331</v>
      </c>
      <c r="C442" t="s">
        <v>927</v>
      </c>
      <c r="D442" s="55">
        <v>210</v>
      </c>
      <c r="E442" t="s">
        <v>20</v>
      </c>
    </row>
    <row r="443" spans="1:5" x14ac:dyDescent="0.25">
      <c r="A443" s="60"/>
      <c r="B443" t="s">
        <v>328</v>
      </c>
      <c r="C443" t="s">
        <v>329</v>
      </c>
      <c r="D443" s="54">
        <f>-D440*(D387/D398)*LN(D441/D398)</f>
        <v>6.1527378490753689E-6</v>
      </c>
      <c r="E443" t="s">
        <v>339</v>
      </c>
    </row>
    <row r="444" spans="1:5" x14ac:dyDescent="0.25">
      <c r="A444" s="60"/>
      <c r="C444" t="s">
        <v>342</v>
      </c>
      <c r="D444" s="54">
        <f>D372+(D371*D443/D376)</f>
        <v>28.141813433314283</v>
      </c>
      <c r="E444" t="s">
        <v>20</v>
      </c>
    </row>
    <row r="445" spans="1:5" x14ac:dyDescent="0.25">
      <c r="A445" s="60"/>
      <c r="B445" t="s">
        <v>333</v>
      </c>
      <c r="D445" s="55">
        <v>60</v>
      </c>
      <c r="E445" t="s">
        <v>20</v>
      </c>
    </row>
    <row r="446" spans="1:5" x14ac:dyDescent="0.25">
      <c r="A446" s="60"/>
      <c r="C446" t="s">
        <v>335</v>
      </c>
      <c r="D446" s="28" t="b">
        <f>D444&lt;D442</f>
        <v>1</v>
      </c>
    </row>
    <row r="447" spans="1:5" x14ac:dyDescent="0.25">
      <c r="A447" s="60"/>
      <c r="C447" t="s">
        <v>334</v>
      </c>
      <c r="D447" s="28" t="b">
        <f>D444&lt;D445</f>
        <v>1</v>
      </c>
    </row>
    <row r="448" spans="1:5" x14ac:dyDescent="0.25">
      <c r="A448" s="60"/>
      <c r="B448" t="s">
        <v>336</v>
      </c>
      <c r="C448" t="s">
        <v>337</v>
      </c>
      <c r="D448" s="28">
        <f>0.5*POWER(D398, 2)/D440</f>
        <v>9.8000000000000004E-2</v>
      </c>
      <c r="E448" t="s">
        <v>22</v>
      </c>
    </row>
    <row r="449" spans="1:5" x14ac:dyDescent="0.25">
      <c r="A449" s="60"/>
      <c r="B449" s="39" t="s">
        <v>938</v>
      </c>
      <c r="C449" t="s">
        <v>939</v>
      </c>
      <c r="D449" s="55">
        <v>9.6999999999999993</v>
      </c>
    </row>
    <row r="450" spans="1:5" x14ac:dyDescent="0.25">
      <c r="A450" s="60"/>
      <c r="B450" s="39" t="s">
        <v>952</v>
      </c>
      <c r="C450" t="s">
        <v>940</v>
      </c>
      <c r="D450" s="54">
        <f>D399-D449</f>
        <v>3.3499999999999996</v>
      </c>
    </row>
    <row r="451" spans="1:5" x14ac:dyDescent="0.25">
      <c r="A451" s="60"/>
      <c r="B451" t="s">
        <v>947</v>
      </c>
      <c r="C451" t="s">
        <v>948</v>
      </c>
      <c r="D451" s="28">
        <v>2</v>
      </c>
    </row>
    <row r="452" spans="1:5" x14ac:dyDescent="0.25">
      <c r="A452" s="60"/>
      <c r="B452" s="39"/>
      <c r="C452" t="s">
        <v>955</v>
      </c>
      <c r="D452" s="54" t="b">
        <f>D450&gt;=D451</f>
        <v>1</v>
      </c>
    </row>
    <row r="453" spans="1:5" x14ac:dyDescent="0.25">
      <c r="A453" s="60"/>
      <c r="B453" t="s">
        <v>951</v>
      </c>
      <c r="D453" s="55">
        <v>9.6999999999999993</v>
      </c>
    </row>
    <row r="454" spans="1:5" x14ac:dyDescent="0.25">
      <c r="A454" s="60"/>
      <c r="B454" t="s">
        <v>949</v>
      </c>
      <c r="C454" t="s">
        <v>950</v>
      </c>
      <c r="D454" s="54">
        <f xml:space="preserve"> D389</f>
        <v>14</v>
      </c>
    </row>
    <row r="455" spans="1:5" ht="15" customHeight="1" x14ac:dyDescent="0.25">
      <c r="A455" s="60"/>
      <c r="B455" s="39" t="s">
        <v>953</v>
      </c>
      <c r="C455" t="s">
        <v>954</v>
      </c>
      <c r="D455" s="54">
        <f>D454-D453</f>
        <v>4.3000000000000007</v>
      </c>
    </row>
    <row r="456" spans="1:5" ht="15" customHeight="1" x14ac:dyDescent="0.25">
      <c r="A456" s="60"/>
      <c r="C456" t="s">
        <v>956</v>
      </c>
      <c r="D456" s="28" t="b">
        <f>D455&gt;=D451</f>
        <v>1</v>
      </c>
    </row>
    <row r="457" spans="1:5" ht="15" customHeight="1" x14ac:dyDescent="0.25">
      <c r="A457" s="53"/>
      <c r="D457" s="28"/>
    </row>
    <row r="458" spans="1:5" x14ac:dyDescent="0.25">
      <c r="A458" s="60" t="s">
        <v>697</v>
      </c>
      <c r="B458" t="s">
        <v>338</v>
      </c>
      <c r="D458" s="1">
        <f>D358</f>
        <v>3.2603164267398674</v>
      </c>
      <c r="E458" t="s">
        <v>22</v>
      </c>
    </row>
    <row r="459" spans="1:5" x14ac:dyDescent="0.25">
      <c r="A459" s="60"/>
      <c r="C459" t="s">
        <v>698</v>
      </c>
      <c r="D459">
        <v>0.9</v>
      </c>
      <c r="E459" s="38" t="s">
        <v>699</v>
      </c>
    </row>
    <row r="460" spans="1:5" x14ac:dyDescent="0.25">
      <c r="A460" s="60"/>
      <c r="C460" t="s">
        <v>700</v>
      </c>
      <c r="D460">
        <v>0.15</v>
      </c>
      <c r="E460" s="39" t="s">
        <v>139</v>
      </c>
    </row>
    <row r="461" spans="1:5" x14ac:dyDescent="0.25">
      <c r="A461" s="60"/>
      <c r="C461" t="s">
        <v>701</v>
      </c>
      <c r="D461" s="1">
        <v>1.4999999999999999E-4</v>
      </c>
      <c r="E461" s="40" t="s">
        <v>213</v>
      </c>
    </row>
    <row r="462" spans="1:5" x14ac:dyDescent="0.25">
      <c r="A462" s="60"/>
      <c r="B462" t="s">
        <v>703</v>
      </c>
      <c r="C462" t="s">
        <v>704</v>
      </c>
      <c r="D462">
        <f>D460/(1000*D459*D461)</f>
        <v>1.1111111111111112</v>
      </c>
      <c r="E462" s="39"/>
    </row>
    <row r="463" spans="1:5" x14ac:dyDescent="0.25">
      <c r="A463" s="60"/>
      <c r="B463" t="s">
        <v>705</v>
      </c>
      <c r="C463" t="s">
        <v>706</v>
      </c>
      <c r="D463">
        <f>3.5+0.5</f>
        <v>4</v>
      </c>
      <c r="E463" s="39"/>
    </row>
    <row r="464" spans="1:5" x14ac:dyDescent="0.25">
      <c r="A464" s="60"/>
      <c r="B464" t="s">
        <v>707</v>
      </c>
      <c r="C464" t="s">
        <v>708</v>
      </c>
      <c r="D464">
        <v>6.6665999999999999</v>
      </c>
      <c r="E464" s="38"/>
    </row>
    <row r="465" spans="1:5" x14ac:dyDescent="0.25">
      <c r="A465" s="60"/>
      <c r="C465" t="s">
        <v>702</v>
      </c>
      <c r="D465" s="28">
        <f>D462+D463+D464</f>
        <v>11.77771111111111</v>
      </c>
      <c r="E465" s="38"/>
    </row>
    <row r="466" spans="1:5" x14ac:dyDescent="0.25">
      <c r="A466" s="60"/>
      <c r="B466" t="s">
        <v>710</v>
      </c>
      <c r="C466" t="s">
        <v>709</v>
      </c>
      <c r="D466" s="54">
        <f>D465*D458</f>
        <v>38.399065004952206</v>
      </c>
      <c r="E466" s="38"/>
    </row>
    <row r="467" spans="1:5" x14ac:dyDescent="0.25">
      <c r="A467" s="60"/>
      <c r="C467" t="s">
        <v>711</v>
      </c>
      <c r="D467">
        <v>35</v>
      </c>
      <c r="E467" s="38"/>
    </row>
    <row r="468" spans="1:5" x14ac:dyDescent="0.25">
      <c r="A468" s="60"/>
      <c r="C468" t="s">
        <v>712</v>
      </c>
      <c r="D468" s="54">
        <f>D467+D466</f>
        <v>73.399065004952206</v>
      </c>
      <c r="E468" s="38"/>
    </row>
    <row r="469" spans="1:5" x14ac:dyDescent="0.25">
      <c r="A469" s="60"/>
      <c r="C469" t="s">
        <v>713</v>
      </c>
      <c r="D469">
        <v>150</v>
      </c>
      <c r="E469" s="38"/>
    </row>
    <row r="470" spans="1:5" x14ac:dyDescent="0.25">
      <c r="A470" s="60"/>
      <c r="C470" t="s">
        <v>714</v>
      </c>
      <c r="D470" s="28" t="b">
        <f>D468&lt;D469/D4</f>
        <v>1</v>
      </c>
    </row>
    <row r="471" spans="1:5" x14ac:dyDescent="0.25">
      <c r="A471" s="60" t="s">
        <v>715</v>
      </c>
    </row>
    <row r="472" spans="1:5" x14ac:dyDescent="0.25">
      <c r="A472" s="60"/>
    </row>
    <row r="473" spans="1:5" x14ac:dyDescent="0.25">
      <c r="A473" s="60"/>
    </row>
    <row r="474" spans="1:5" x14ac:dyDescent="0.25">
      <c r="A474" s="60"/>
    </row>
    <row r="475" spans="1:5" x14ac:dyDescent="0.25">
      <c r="A475" s="61" t="s">
        <v>347</v>
      </c>
      <c r="B475" t="s">
        <v>39</v>
      </c>
      <c r="C475" t="s">
        <v>42</v>
      </c>
      <c r="D475">
        <f>D103</f>
        <v>0.5</v>
      </c>
    </row>
    <row r="476" spans="1:5" x14ac:dyDescent="0.25">
      <c r="A476" s="61"/>
      <c r="B476" t="s">
        <v>48</v>
      </c>
      <c r="D476">
        <f>D3</f>
        <v>16000</v>
      </c>
    </row>
    <row r="477" spans="1:5" x14ac:dyDescent="0.25">
      <c r="A477" s="61"/>
      <c r="B477" t="s">
        <v>240</v>
      </c>
      <c r="D477">
        <f>D176</f>
        <v>22.598870056497173</v>
      </c>
    </row>
    <row r="478" spans="1:5" x14ac:dyDescent="0.25">
      <c r="A478" s="61"/>
      <c r="C478" t="s">
        <v>351</v>
      </c>
      <c r="D478">
        <v>2</v>
      </c>
    </row>
    <row r="479" spans="1:5" x14ac:dyDescent="0.25">
      <c r="A479" s="61"/>
      <c r="C479" t="s">
        <v>353</v>
      </c>
      <c r="D479">
        <f>D478*D477</f>
        <v>45.197740112994346</v>
      </c>
    </row>
    <row r="480" spans="1:5" x14ac:dyDescent="0.25">
      <c r="A480" s="61"/>
      <c r="B480" t="s">
        <v>348</v>
      </c>
      <c r="C480" t="s">
        <v>349</v>
      </c>
      <c r="D480">
        <v>1E-3</v>
      </c>
    </row>
    <row r="481" spans="1:5" x14ac:dyDescent="0.25">
      <c r="A481" s="61"/>
      <c r="B481" t="s">
        <v>350</v>
      </c>
      <c r="C481" t="s">
        <v>352</v>
      </c>
      <c r="D481">
        <f>D480*D477</f>
        <v>2.2598870056497175E-2</v>
      </c>
    </row>
    <row r="482" spans="1:5" x14ac:dyDescent="0.25">
      <c r="A482" s="61"/>
      <c r="B482" t="s">
        <v>400</v>
      </c>
      <c r="C482" t="s">
        <v>401</v>
      </c>
      <c r="D482">
        <f>POWER(D477, 2)*D480/3</f>
        <v>0.17023630927681485</v>
      </c>
    </row>
    <row r="483" spans="1:5" x14ac:dyDescent="0.25">
      <c r="A483" s="61"/>
      <c r="B483" t="s">
        <v>355</v>
      </c>
      <c r="C483" t="s">
        <v>354</v>
      </c>
      <c r="D483">
        <f>POWER(D479, 2)*D480/3</f>
        <v>0.6809452371072594</v>
      </c>
    </row>
    <row r="484" spans="1:5" x14ac:dyDescent="0.25">
      <c r="A484" s="61"/>
      <c r="B484" t="s">
        <v>356</v>
      </c>
      <c r="C484" t="s">
        <v>352</v>
      </c>
      <c r="D484">
        <f>D477*D480</f>
        <v>2.2598870056497175E-2</v>
      </c>
    </row>
    <row r="485" spans="1:5" x14ac:dyDescent="0.25">
      <c r="A485" s="61"/>
      <c r="B485" t="s">
        <v>357</v>
      </c>
      <c r="C485" t="s">
        <v>358</v>
      </c>
      <c r="D485">
        <f>D479*D480</f>
        <v>4.519774011299435E-2</v>
      </c>
    </row>
    <row r="486" spans="1:5" x14ac:dyDescent="0.25">
      <c r="A486" s="61"/>
      <c r="C486" t="s">
        <v>359</v>
      </c>
      <c r="D486">
        <f>2.5</f>
        <v>2.5</v>
      </c>
    </row>
    <row r="487" spans="1:5" x14ac:dyDescent="0.25">
      <c r="A487" s="61"/>
      <c r="B487" t="s">
        <v>390</v>
      </c>
      <c r="C487" t="s">
        <v>391</v>
      </c>
      <c r="D487" s="5" t="s">
        <v>392</v>
      </c>
    </row>
    <row r="488" spans="1:5" x14ac:dyDescent="0.25">
      <c r="A488" s="61"/>
      <c r="B488" t="s">
        <v>364</v>
      </c>
      <c r="C488" t="s">
        <v>363</v>
      </c>
      <c r="D488" s="1">
        <v>2.5000000000000001E-4</v>
      </c>
    </row>
    <row r="489" spans="1:5" x14ac:dyDescent="0.25">
      <c r="A489" s="61"/>
      <c r="B489" t="s">
        <v>365</v>
      </c>
      <c r="C489" t="s">
        <v>366</v>
      </c>
      <c r="D489" s="1">
        <v>5.0000000000000001E-9</v>
      </c>
    </row>
    <row r="490" spans="1:5" x14ac:dyDescent="0.25">
      <c r="A490" s="61"/>
      <c r="B490" t="s">
        <v>368</v>
      </c>
      <c r="C490" t="s">
        <v>367</v>
      </c>
      <c r="D490" s="1">
        <v>10000000</v>
      </c>
      <c r="E490" t="s">
        <v>73</v>
      </c>
    </row>
    <row r="491" spans="1:5" x14ac:dyDescent="0.25">
      <c r="A491" s="61"/>
      <c r="B491" t="s">
        <v>369</v>
      </c>
      <c r="C491" t="s">
        <v>370</v>
      </c>
      <c r="D491" s="26">
        <v>7000</v>
      </c>
      <c r="E491" t="s">
        <v>374</v>
      </c>
    </row>
    <row r="492" spans="1:5" x14ac:dyDescent="0.25">
      <c r="A492" s="61"/>
      <c r="B492" t="s">
        <v>371</v>
      </c>
      <c r="C492" t="s">
        <v>372</v>
      </c>
      <c r="D492" s="1">
        <f>D491*1000</f>
        <v>7000000</v>
      </c>
      <c r="E492" t="s">
        <v>373</v>
      </c>
    </row>
    <row r="493" spans="1:5" x14ac:dyDescent="0.25">
      <c r="A493" s="61"/>
      <c r="B493" s="27" t="s">
        <v>375</v>
      </c>
      <c r="C493" t="s">
        <v>376</v>
      </c>
      <c r="D493" s="27">
        <v>70</v>
      </c>
      <c r="E493" t="s">
        <v>377</v>
      </c>
    </row>
    <row r="494" spans="1:5" x14ac:dyDescent="0.25">
      <c r="A494" s="61"/>
      <c r="C494" t="s">
        <v>378</v>
      </c>
      <c r="D494">
        <f>D486/D485</f>
        <v>55.3125</v>
      </c>
    </row>
    <row r="495" spans="1:5" x14ac:dyDescent="0.25">
      <c r="A495" s="61"/>
      <c r="B495" t="s">
        <v>393</v>
      </c>
      <c r="C495" t="s">
        <v>381</v>
      </c>
      <c r="D495">
        <f>D494-1</f>
        <v>54.3125</v>
      </c>
    </row>
    <row r="496" spans="1:5" x14ac:dyDescent="0.25">
      <c r="A496" s="61"/>
      <c r="B496" t="s">
        <v>394</v>
      </c>
      <c r="D496">
        <f>20*LOG10(D495)</f>
        <v>34.697995875854836</v>
      </c>
    </row>
    <row r="497" spans="1:5" x14ac:dyDescent="0.25">
      <c r="A497" s="61"/>
      <c r="B497" t="s">
        <v>360</v>
      </c>
      <c r="D497">
        <v>56000</v>
      </c>
    </row>
    <row r="498" spans="1:5" x14ac:dyDescent="0.25">
      <c r="A498" s="61"/>
      <c r="B498" t="s">
        <v>362</v>
      </c>
      <c r="D498">
        <f>D497/D495</f>
        <v>1031.0701956271575</v>
      </c>
    </row>
    <row r="499" spans="1:5" x14ac:dyDescent="0.25">
      <c r="A499" s="61"/>
      <c r="B499" t="s">
        <v>361</v>
      </c>
      <c r="C499" t="s">
        <v>379</v>
      </c>
      <c r="D499">
        <v>1000</v>
      </c>
    </row>
    <row r="500" spans="1:5" x14ac:dyDescent="0.25">
      <c r="A500" s="61"/>
      <c r="B500" t="s">
        <v>395</v>
      </c>
      <c r="C500" t="s">
        <v>380</v>
      </c>
      <c r="D500">
        <f>1+(D497/D499)</f>
        <v>57</v>
      </c>
    </row>
    <row r="501" spans="1:5" x14ac:dyDescent="0.25">
      <c r="A501" s="61"/>
      <c r="C501" t="s">
        <v>411</v>
      </c>
      <c r="D501">
        <v>1E-3</v>
      </c>
    </row>
    <row r="502" spans="1:5" x14ac:dyDescent="0.25">
      <c r="A502" s="61"/>
      <c r="B502" t="s">
        <v>412</v>
      </c>
      <c r="D502">
        <f>D497*(1+D501)</f>
        <v>56055.999999999993</v>
      </c>
    </row>
    <row r="503" spans="1:5" x14ac:dyDescent="0.25">
      <c r="A503" s="61"/>
      <c r="B503" t="s">
        <v>413</v>
      </c>
      <c r="D503">
        <f>D497*(1-D501)</f>
        <v>55944</v>
      </c>
    </row>
    <row r="504" spans="1:5" x14ac:dyDescent="0.25">
      <c r="A504" s="61"/>
      <c r="B504" t="s">
        <v>414</v>
      </c>
      <c r="D504">
        <f>D499*(1+D501)</f>
        <v>1000.9999999999999</v>
      </c>
    </row>
    <row r="505" spans="1:5" x14ac:dyDescent="0.25">
      <c r="A505" s="61"/>
      <c r="B505" t="s">
        <v>415</v>
      </c>
      <c r="D505">
        <f>D499*(1-D501)</f>
        <v>999</v>
      </c>
    </row>
    <row r="506" spans="1:5" x14ac:dyDescent="0.25">
      <c r="A506" s="61"/>
      <c r="B506" t="s">
        <v>409</v>
      </c>
      <c r="C506" t="s">
        <v>410</v>
      </c>
      <c r="D506">
        <f>1+(D502/D505)</f>
        <v>57.112112112112108</v>
      </c>
    </row>
    <row r="507" spans="1:5" x14ac:dyDescent="0.25">
      <c r="A507" s="61"/>
      <c r="B507" t="s">
        <v>416</v>
      </c>
      <c r="C507" t="s">
        <v>410</v>
      </c>
      <c r="D507">
        <f>1+(D503/D504)</f>
        <v>56.888111888111894</v>
      </c>
    </row>
    <row r="508" spans="1:5" x14ac:dyDescent="0.25">
      <c r="A508" s="61"/>
      <c r="C508" t="s">
        <v>417</v>
      </c>
      <c r="D508">
        <f>MAX(ABS((D506-D500)/D500), ABS((D507-D500)/D500))</f>
        <v>1.9668791598615406E-3</v>
      </c>
    </row>
    <row r="509" spans="1:5" x14ac:dyDescent="0.25">
      <c r="A509" s="61"/>
      <c r="C509" t="s">
        <v>418</v>
      </c>
      <c r="D509">
        <f>100*D508</f>
        <v>0.19668791598615407</v>
      </c>
      <c r="E509" t="s">
        <v>168</v>
      </c>
    </row>
    <row r="510" spans="1:5" x14ac:dyDescent="0.25">
      <c r="A510" s="61"/>
      <c r="B510" t="s">
        <v>396</v>
      </c>
      <c r="D510">
        <f>20*LOG10(D500)</f>
        <v>35.117497113449829</v>
      </c>
    </row>
    <row r="511" spans="1:5" x14ac:dyDescent="0.25">
      <c r="A511" s="61"/>
      <c r="C511" t="s">
        <v>385</v>
      </c>
      <c r="D511" t="b">
        <f>ABS((D500-D494)/D494)&lt;0.02</f>
        <v>0</v>
      </c>
    </row>
    <row r="512" spans="1:5" x14ac:dyDescent="0.25">
      <c r="A512" s="61"/>
      <c r="C512" t="s">
        <v>397</v>
      </c>
      <c r="D512" t="b">
        <f>D493&gt;D510</f>
        <v>1</v>
      </c>
    </row>
    <row r="513" spans="1:5" x14ac:dyDescent="0.25">
      <c r="A513" s="61"/>
      <c r="B513" t="s">
        <v>383</v>
      </c>
      <c r="C513" t="s">
        <v>382</v>
      </c>
      <c r="D513" s="1">
        <f>D488/D480</f>
        <v>0.25</v>
      </c>
    </row>
    <row r="514" spans="1:5" x14ac:dyDescent="0.25">
      <c r="A514" s="61"/>
      <c r="C514" t="s">
        <v>398</v>
      </c>
      <c r="D514" s="1">
        <f>D477/20</f>
        <v>1.1299435028248586</v>
      </c>
    </row>
    <row r="515" spans="1:5" x14ac:dyDescent="0.25">
      <c r="A515" s="61"/>
      <c r="C515" t="s">
        <v>399</v>
      </c>
      <c r="D515" s="1" t="b">
        <f>D513&lt;D514</f>
        <v>1</v>
      </c>
    </row>
    <row r="516" spans="1:5" x14ac:dyDescent="0.25">
      <c r="A516" s="61"/>
      <c r="B516" t="s">
        <v>384</v>
      </c>
      <c r="D516">
        <f>D490/D500</f>
        <v>175438.59649122806</v>
      </c>
    </row>
    <row r="517" spans="1:5" x14ac:dyDescent="0.25">
      <c r="A517" s="61"/>
      <c r="C517" t="s">
        <v>389</v>
      </c>
      <c r="D517">
        <f>D476*D500</f>
        <v>912000</v>
      </c>
    </row>
    <row r="518" spans="1:5" x14ac:dyDescent="0.25">
      <c r="A518" s="61"/>
      <c r="C518" t="s">
        <v>386</v>
      </c>
      <c r="D518" t="b">
        <f>D516&gt;=D3</f>
        <v>1</v>
      </c>
    </row>
    <row r="519" spans="1:5" x14ac:dyDescent="0.25">
      <c r="A519" s="61"/>
    </row>
    <row r="520" spans="1:5" x14ac:dyDescent="0.25">
      <c r="A520" s="61"/>
      <c r="C520" t="s">
        <v>387</v>
      </c>
      <c r="D520">
        <f>D486*D476/D475</f>
        <v>80000</v>
      </c>
      <c r="E520" t="s">
        <v>373</v>
      </c>
    </row>
    <row r="521" spans="1:5" x14ac:dyDescent="0.25">
      <c r="A521" s="61"/>
      <c r="C521" t="s">
        <v>387</v>
      </c>
      <c r="D521">
        <f>D520/1000</f>
        <v>80</v>
      </c>
      <c r="E521" t="s">
        <v>374</v>
      </c>
    </row>
    <row r="522" spans="1:5" x14ac:dyDescent="0.25">
      <c r="A522" s="61"/>
      <c r="C522" t="s">
        <v>388</v>
      </c>
      <c r="D522" t="b">
        <f>D520&lt;=D492</f>
        <v>1</v>
      </c>
    </row>
    <row r="523" spans="1:5" x14ac:dyDescent="0.25">
      <c r="A523" s="61"/>
      <c r="B523" t="s">
        <v>402</v>
      </c>
      <c r="D523">
        <f>(D497*D499)/(D497+D499)</f>
        <v>982.45614035087715</v>
      </c>
    </row>
    <row r="524" spans="1:5" x14ac:dyDescent="0.25">
      <c r="A524" s="61"/>
      <c r="B524" t="s">
        <v>403</v>
      </c>
      <c r="D524">
        <f>D480</f>
        <v>1E-3</v>
      </c>
    </row>
    <row r="525" spans="1:5" x14ac:dyDescent="0.25">
      <c r="A525" s="61"/>
    </row>
    <row r="526" spans="1:5" x14ac:dyDescent="0.25">
      <c r="A526" s="61"/>
    </row>
    <row r="527" spans="1:5" x14ac:dyDescent="0.25">
      <c r="A527" s="61"/>
      <c r="B527" t="s">
        <v>405</v>
      </c>
      <c r="C527" s="28" t="s">
        <v>404</v>
      </c>
      <c r="D527">
        <f>D489*(D523-D524)</f>
        <v>4.9122757017543856E-6</v>
      </c>
      <c r="E527" t="s">
        <v>21</v>
      </c>
    </row>
    <row r="528" spans="1:5" x14ac:dyDescent="0.25">
      <c r="A528" s="61"/>
      <c r="B528" t="s">
        <v>406</v>
      </c>
      <c r="C528" t="s">
        <v>407</v>
      </c>
      <c r="D528" s="1">
        <f>D500*D488</f>
        <v>1.4250000000000001E-2</v>
      </c>
    </row>
    <row r="529" spans="1:5" x14ac:dyDescent="0.25">
      <c r="A529" s="61"/>
      <c r="B529" t="s">
        <v>408</v>
      </c>
      <c r="D529" s="1">
        <f>D528+D527</f>
        <v>1.4254912275701755E-2</v>
      </c>
    </row>
    <row r="530" spans="1:5" x14ac:dyDescent="0.25">
      <c r="A530" s="61"/>
      <c r="B530" t="s">
        <v>419</v>
      </c>
      <c r="C530" t="s">
        <v>420</v>
      </c>
      <c r="D530">
        <f>D480*D500</f>
        <v>5.7000000000000002E-2</v>
      </c>
    </row>
    <row r="531" spans="1:5" x14ac:dyDescent="0.25">
      <c r="A531" s="61"/>
      <c r="B531" t="s">
        <v>421</v>
      </c>
      <c r="D531">
        <f>D530*D508</f>
        <v>1.1211211211210782E-4</v>
      </c>
    </row>
    <row r="532" spans="1:5" x14ac:dyDescent="0.25">
      <c r="A532" s="61"/>
      <c r="B532" t="s">
        <v>422</v>
      </c>
      <c r="D532" s="1">
        <f>D531+D529</f>
        <v>1.4367024387813862E-2</v>
      </c>
    </row>
    <row r="533" spans="1:5" x14ac:dyDescent="0.25">
      <c r="A533" s="61"/>
      <c r="B533" t="s">
        <v>423</v>
      </c>
      <c r="D533" s="1">
        <f>(D531*D477)+D529</f>
        <v>1.6788519329082721E-2</v>
      </c>
    </row>
    <row r="534" spans="1:5" x14ac:dyDescent="0.25">
      <c r="A534" s="61"/>
      <c r="B534" t="s">
        <v>424</v>
      </c>
      <c r="D534" s="1">
        <f>(D531*D479)+D529</f>
        <v>1.9322126382463688E-2</v>
      </c>
    </row>
    <row r="535" spans="1:5" x14ac:dyDescent="0.25">
      <c r="A535" s="61"/>
      <c r="C535" t="s">
        <v>425</v>
      </c>
      <c r="D535">
        <f>1/D530</f>
        <v>17.543859649122805</v>
      </c>
    </row>
    <row r="536" spans="1:5" x14ac:dyDescent="0.25">
      <c r="A536" s="61"/>
      <c r="B536" t="s">
        <v>426</v>
      </c>
      <c r="D536" s="1">
        <f>D532*D533</f>
        <v>2.4120106663621586E-4</v>
      </c>
    </row>
    <row r="537" spans="1:5" x14ac:dyDescent="0.25">
      <c r="A537" s="61"/>
      <c r="B537" t="s">
        <v>427</v>
      </c>
      <c r="D537" s="1">
        <f>D533*D535</f>
        <v>0.29453542682601264</v>
      </c>
    </row>
    <row r="538" spans="1:5" x14ac:dyDescent="0.25">
      <c r="A538" s="61"/>
      <c r="B538" t="s">
        <v>428</v>
      </c>
      <c r="D538" s="1">
        <f>D534*D535</f>
        <v>0.33898467337655586</v>
      </c>
    </row>
    <row r="539" spans="1:5" x14ac:dyDescent="0.25">
      <c r="A539" s="61"/>
      <c r="B539" t="s">
        <v>426</v>
      </c>
      <c r="D539" s="1">
        <f>D536*100</f>
        <v>2.4120106663621587E-2</v>
      </c>
      <c r="E539" t="s">
        <v>168</v>
      </c>
    </row>
    <row r="540" spans="1:5" x14ac:dyDescent="0.25">
      <c r="A540" s="61"/>
      <c r="B540" t="s">
        <v>427</v>
      </c>
      <c r="D540" s="1">
        <f>(D537/D477)*100</f>
        <v>1.3033192637051061</v>
      </c>
      <c r="E540" t="s">
        <v>168</v>
      </c>
    </row>
    <row r="541" spans="1:5" x14ac:dyDescent="0.25">
      <c r="A541" s="61"/>
      <c r="B541" t="s">
        <v>428</v>
      </c>
      <c r="D541">
        <f>(D538/D479)*100</f>
        <v>0.75000358984562998</v>
      </c>
      <c r="E541" t="s">
        <v>168</v>
      </c>
    </row>
    <row r="542" spans="1:5" x14ac:dyDescent="0.25">
      <c r="A542" s="48"/>
    </row>
    <row r="543" spans="1:5" x14ac:dyDescent="0.25">
      <c r="A543" s="48"/>
      <c r="B543" t="s">
        <v>852</v>
      </c>
      <c r="C543" t="s">
        <v>825</v>
      </c>
      <c r="D543">
        <f>D105</f>
        <v>22.598870056497173</v>
      </c>
      <c r="E543" t="s">
        <v>20</v>
      </c>
    </row>
    <row r="544" spans="1:5" x14ac:dyDescent="0.25">
      <c r="A544" s="49"/>
      <c r="B544" t="s">
        <v>851</v>
      </c>
      <c r="D544">
        <f>D543/SQRT(3)</f>
        <v>13.047463710500017</v>
      </c>
      <c r="E544" t="s">
        <v>20</v>
      </c>
    </row>
    <row r="545" spans="1:5" ht="15.75" x14ac:dyDescent="0.3">
      <c r="A545" s="48"/>
      <c r="B545" s="51" t="s">
        <v>827</v>
      </c>
      <c r="C545" t="s">
        <v>826</v>
      </c>
      <c r="D545">
        <f xml:space="preserve"> 40</f>
        <v>40</v>
      </c>
      <c r="E545" t="s">
        <v>20</v>
      </c>
    </row>
    <row r="546" spans="1:5" ht="15.75" x14ac:dyDescent="0.3">
      <c r="A546" s="49"/>
      <c r="B546" s="51" t="s">
        <v>829</v>
      </c>
      <c r="C546" t="s">
        <v>828</v>
      </c>
      <c r="D546" s="8">
        <f>D545/SQRT(3)</f>
        <v>23.094010767585033</v>
      </c>
      <c r="E546" t="s">
        <v>20</v>
      </c>
    </row>
    <row r="547" spans="1:5" ht="15.75" x14ac:dyDescent="0.3">
      <c r="A547" s="48"/>
      <c r="B547" s="51" t="s">
        <v>814</v>
      </c>
      <c r="C547" t="s">
        <v>815</v>
      </c>
      <c r="D547" s="8">
        <f>D3</f>
        <v>16000</v>
      </c>
      <c r="E547" t="s">
        <v>73</v>
      </c>
    </row>
    <row r="548" spans="1:5" ht="15.75" x14ac:dyDescent="0.3">
      <c r="A548" s="48"/>
      <c r="B548" s="51" t="s">
        <v>816</v>
      </c>
      <c r="C548" t="s">
        <v>817</v>
      </c>
      <c r="D548" s="8">
        <v>200</v>
      </c>
    </row>
    <row r="549" spans="1:5" ht="15.75" x14ac:dyDescent="0.3">
      <c r="A549" s="49"/>
      <c r="B549" s="51" t="s">
        <v>841</v>
      </c>
      <c r="D549" s="8">
        <f>D543/D548</f>
        <v>0.11299435028248586</v>
      </c>
      <c r="E549" t="s">
        <v>20</v>
      </c>
    </row>
    <row r="550" spans="1:5" x14ac:dyDescent="0.25">
      <c r="A550" s="48"/>
      <c r="B550" t="s">
        <v>830</v>
      </c>
      <c r="D550" s="8">
        <f>D545/D548</f>
        <v>0.2</v>
      </c>
      <c r="E550" t="s">
        <v>20</v>
      </c>
    </row>
    <row r="551" spans="1:5" x14ac:dyDescent="0.25">
      <c r="A551" s="49"/>
      <c r="B551" t="s">
        <v>850</v>
      </c>
      <c r="D551" s="8">
        <f>D544/D548</f>
        <v>6.523731855250009E-2</v>
      </c>
      <c r="E551" t="s">
        <v>20</v>
      </c>
    </row>
    <row r="552" spans="1:5" x14ac:dyDescent="0.25">
      <c r="A552" s="48"/>
      <c r="B552" t="s">
        <v>831</v>
      </c>
      <c r="D552" s="8">
        <f>D546/D548</f>
        <v>0.11547005383792516</v>
      </c>
      <c r="E552" t="s">
        <v>20</v>
      </c>
    </row>
    <row r="553" spans="1:5" x14ac:dyDescent="0.25">
      <c r="A553" s="48"/>
      <c r="B553" t="s">
        <v>818</v>
      </c>
      <c r="C553" t="s">
        <v>832</v>
      </c>
      <c r="D553" s="8">
        <v>2</v>
      </c>
      <c r="E553" t="s">
        <v>21</v>
      </c>
    </row>
    <row r="554" spans="1:5" x14ac:dyDescent="0.25">
      <c r="A554" s="48"/>
      <c r="B554" t="s">
        <v>819</v>
      </c>
      <c r="C554" t="s">
        <v>820</v>
      </c>
      <c r="D554">
        <v>1.05</v>
      </c>
      <c r="E554" t="s">
        <v>21</v>
      </c>
    </row>
    <row r="555" spans="1:5" x14ac:dyDescent="0.25">
      <c r="A555" s="48"/>
      <c r="B555" t="s">
        <v>822</v>
      </c>
      <c r="C555" t="s">
        <v>821</v>
      </c>
      <c r="D555">
        <f>(D553)/D550</f>
        <v>10</v>
      </c>
      <c r="E555" s="9" t="s">
        <v>24</v>
      </c>
    </row>
    <row r="556" spans="1:5" x14ac:dyDescent="0.25">
      <c r="A556" s="48"/>
      <c r="B556" t="s">
        <v>823</v>
      </c>
      <c r="C556" t="s">
        <v>824</v>
      </c>
      <c r="D556">
        <v>10</v>
      </c>
      <c r="E556" s="9" t="s">
        <v>24</v>
      </c>
    </row>
    <row r="557" spans="1:5" x14ac:dyDescent="0.25">
      <c r="A557" s="49"/>
      <c r="B557" t="s">
        <v>836</v>
      </c>
      <c r="C557" t="s">
        <v>835</v>
      </c>
      <c r="D557">
        <f xml:space="preserve"> D550*D556</f>
        <v>2</v>
      </c>
      <c r="E557" t="s">
        <v>21</v>
      </c>
    </row>
    <row r="558" spans="1:5" x14ac:dyDescent="0.25">
      <c r="A558" s="49"/>
    </row>
    <row r="559" spans="1:5" x14ac:dyDescent="0.25">
      <c r="A559" s="49"/>
      <c r="B559" t="s">
        <v>838</v>
      </c>
      <c r="C559" t="s">
        <v>833</v>
      </c>
      <c r="D559">
        <f xml:space="preserve"> POWER(D550, 2)*D556</f>
        <v>0.40000000000000008</v>
      </c>
      <c r="E559" t="s">
        <v>22</v>
      </c>
    </row>
    <row r="560" spans="1:5" x14ac:dyDescent="0.25">
      <c r="A560" s="49"/>
      <c r="B560" t="s">
        <v>846</v>
      </c>
      <c r="C560" t="s">
        <v>849</v>
      </c>
      <c r="D560">
        <f>POWER(D552, 2)*D556</f>
        <v>0.13333333333333336</v>
      </c>
      <c r="E560" t="s">
        <v>22</v>
      </c>
    </row>
    <row r="561" spans="1:102" x14ac:dyDescent="0.25">
      <c r="A561" s="49"/>
      <c r="B561" t="s">
        <v>840</v>
      </c>
      <c r="C561" t="s">
        <v>839</v>
      </c>
      <c r="D561">
        <f>POWER(D549, 2)*D556</f>
        <v>0.12767723195761113</v>
      </c>
      <c r="E561" t="s">
        <v>22</v>
      </c>
    </row>
    <row r="562" spans="1:102" x14ac:dyDescent="0.25">
      <c r="A562" s="49"/>
      <c r="B562" t="s">
        <v>847</v>
      </c>
      <c r="C562" t="s">
        <v>848</v>
      </c>
      <c r="D562">
        <f>POWER(D551, 2)*D556</f>
        <v>4.255907731920372E-2</v>
      </c>
      <c r="E562" t="s">
        <v>22</v>
      </c>
    </row>
    <row r="563" spans="1:102" x14ac:dyDescent="0.25">
      <c r="A563" s="49"/>
      <c r="B563" t="s">
        <v>837</v>
      </c>
      <c r="C563" t="s">
        <v>834</v>
      </c>
      <c r="D563">
        <f>D554*D550</f>
        <v>0.21000000000000002</v>
      </c>
      <c r="E563" t="s">
        <v>22</v>
      </c>
    </row>
    <row r="564" spans="1:102" x14ac:dyDescent="0.25">
      <c r="A564" s="49"/>
      <c r="B564" t="s">
        <v>842</v>
      </c>
      <c r="C564" t="s">
        <v>843</v>
      </c>
      <c r="D564">
        <f>D554*D549</f>
        <v>0.11864406779661016</v>
      </c>
    </row>
    <row r="565" spans="1:102" x14ac:dyDescent="0.25">
      <c r="A565" s="49"/>
    </row>
    <row r="566" spans="1:102" x14ac:dyDescent="0.25">
      <c r="A566" s="49"/>
      <c r="B566" t="s">
        <v>853</v>
      </c>
      <c r="C566" t="s">
        <v>854</v>
      </c>
      <c r="D566">
        <f>D556+(2*(D554/D550))</f>
        <v>20.5</v>
      </c>
      <c r="E566" s="9" t="s">
        <v>24</v>
      </c>
    </row>
    <row r="567" spans="1:102" x14ac:dyDescent="0.25">
      <c r="A567" s="49"/>
      <c r="B567" t="s">
        <v>844</v>
      </c>
      <c r="C567" t="s">
        <v>845</v>
      </c>
      <c r="D567">
        <f>D549*D556</f>
        <v>1.1299435028248586</v>
      </c>
      <c r="E567" t="s">
        <v>21</v>
      </c>
    </row>
    <row r="568" spans="1:102" x14ac:dyDescent="0.25">
      <c r="A568" s="49"/>
      <c r="B568" t="s">
        <v>855</v>
      </c>
      <c r="C568" t="s">
        <v>856</v>
      </c>
      <c r="D568">
        <f>D550</f>
        <v>0.2</v>
      </c>
    </row>
    <row r="569" spans="1:102" x14ac:dyDescent="0.25">
      <c r="A569" s="49"/>
      <c r="B569" t="s">
        <v>857</v>
      </c>
      <c r="C569" t="s">
        <v>858</v>
      </c>
      <c r="D569" t="s">
        <v>527</v>
      </c>
    </row>
    <row r="570" spans="1:102" x14ac:dyDescent="0.25">
      <c r="A570" s="49"/>
      <c r="B570" t="s">
        <v>859</v>
      </c>
      <c r="C570" t="s">
        <v>860</v>
      </c>
    </row>
    <row r="571" spans="1:102" x14ac:dyDescent="0.25">
      <c r="A571" s="49"/>
      <c r="B571" t="s">
        <v>861</v>
      </c>
      <c r="C571" t="s">
        <v>862</v>
      </c>
      <c r="D571">
        <v>100</v>
      </c>
      <c r="E571" s="9" t="s">
        <v>24</v>
      </c>
    </row>
    <row r="572" spans="1:102" x14ac:dyDescent="0.25">
      <c r="A572" s="50"/>
      <c r="B572" t="s">
        <v>863</v>
      </c>
      <c r="C572">
        <f xml:space="preserve"> (1/D547)/2</f>
        <v>3.1250000000000001E-5</v>
      </c>
      <c r="E572" s="9"/>
    </row>
    <row r="573" spans="1:102" x14ac:dyDescent="0.25">
      <c r="A573" s="50"/>
      <c r="B573" t="s">
        <v>864</v>
      </c>
      <c r="C573" t="s">
        <v>865</v>
      </c>
      <c r="D573">
        <v>100</v>
      </c>
      <c r="E573" s="9"/>
    </row>
    <row r="574" spans="1:102" x14ac:dyDescent="0.25">
      <c r="A574" s="50"/>
      <c r="B574" t="s">
        <v>710</v>
      </c>
      <c r="C574" t="s">
        <v>866</v>
      </c>
      <c r="D574">
        <f>C572/D573</f>
        <v>3.1250000000000003E-7</v>
      </c>
      <c r="E574" s="9"/>
    </row>
    <row r="575" spans="1:102" x14ac:dyDescent="0.25">
      <c r="A575" s="50"/>
      <c r="B575" t="s">
        <v>869</v>
      </c>
      <c r="C575">
        <f>D545</f>
        <v>40</v>
      </c>
      <c r="D575">
        <f>D545</f>
        <v>40</v>
      </c>
      <c r="E575" s="9">
        <f>D575</f>
        <v>40</v>
      </c>
      <c r="F575">
        <f>E575</f>
        <v>40</v>
      </c>
      <c r="G575">
        <f t="shared" ref="G575:BR575" si="20">F575</f>
        <v>40</v>
      </c>
      <c r="H575">
        <f t="shared" si="20"/>
        <v>40</v>
      </c>
      <c r="I575">
        <f t="shared" si="20"/>
        <v>40</v>
      </c>
      <c r="J575">
        <f t="shared" si="20"/>
        <v>40</v>
      </c>
      <c r="K575">
        <f t="shared" si="20"/>
        <v>40</v>
      </c>
      <c r="L575">
        <f t="shared" si="20"/>
        <v>40</v>
      </c>
      <c r="M575">
        <f t="shared" si="20"/>
        <v>40</v>
      </c>
      <c r="N575">
        <f t="shared" si="20"/>
        <v>40</v>
      </c>
      <c r="O575">
        <f t="shared" si="20"/>
        <v>40</v>
      </c>
      <c r="P575">
        <f t="shared" si="20"/>
        <v>40</v>
      </c>
      <c r="Q575">
        <f t="shared" si="20"/>
        <v>40</v>
      </c>
      <c r="R575">
        <f t="shared" si="20"/>
        <v>40</v>
      </c>
      <c r="S575">
        <f t="shared" si="20"/>
        <v>40</v>
      </c>
      <c r="T575">
        <f t="shared" si="20"/>
        <v>40</v>
      </c>
      <c r="U575">
        <f t="shared" si="20"/>
        <v>40</v>
      </c>
      <c r="V575">
        <f t="shared" si="20"/>
        <v>40</v>
      </c>
      <c r="W575">
        <f t="shared" si="20"/>
        <v>40</v>
      </c>
      <c r="X575">
        <f t="shared" si="20"/>
        <v>40</v>
      </c>
      <c r="Y575">
        <f t="shared" si="20"/>
        <v>40</v>
      </c>
      <c r="Z575">
        <f t="shared" si="20"/>
        <v>40</v>
      </c>
      <c r="AA575">
        <f t="shared" si="20"/>
        <v>40</v>
      </c>
      <c r="AB575">
        <f t="shared" si="20"/>
        <v>40</v>
      </c>
      <c r="AC575">
        <f t="shared" si="20"/>
        <v>40</v>
      </c>
      <c r="AD575">
        <f t="shared" si="20"/>
        <v>40</v>
      </c>
      <c r="AE575">
        <f t="shared" si="20"/>
        <v>40</v>
      </c>
      <c r="AF575">
        <f t="shared" si="20"/>
        <v>40</v>
      </c>
      <c r="AG575">
        <f t="shared" si="20"/>
        <v>40</v>
      </c>
      <c r="AH575">
        <f t="shared" si="20"/>
        <v>40</v>
      </c>
      <c r="AI575">
        <f t="shared" si="20"/>
        <v>40</v>
      </c>
      <c r="AJ575">
        <f t="shared" si="20"/>
        <v>40</v>
      </c>
      <c r="AK575">
        <f t="shared" si="20"/>
        <v>40</v>
      </c>
      <c r="AL575">
        <f t="shared" si="20"/>
        <v>40</v>
      </c>
      <c r="AM575">
        <f t="shared" si="20"/>
        <v>40</v>
      </c>
      <c r="AN575">
        <f t="shared" si="20"/>
        <v>40</v>
      </c>
      <c r="AO575">
        <f t="shared" si="20"/>
        <v>40</v>
      </c>
      <c r="AP575">
        <f t="shared" si="20"/>
        <v>40</v>
      </c>
      <c r="AQ575">
        <f t="shared" si="20"/>
        <v>40</v>
      </c>
      <c r="AR575">
        <f t="shared" si="20"/>
        <v>40</v>
      </c>
      <c r="AS575">
        <f t="shared" si="20"/>
        <v>40</v>
      </c>
      <c r="AT575">
        <f t="shared" si="20"/>
        <v>40</v>
      </c>
      <c r="AU575">
        <f t="shared" si="20"/>
        <v>40</v>
      </c>
      <c r="AV575">
        <f t="shared" si="20"/>
        <v>40</v>
      </c>
      <c r="AW575">
        <f t="shared" si="20"/>
        <v>40</v>
      </c>
      <c r="AX575">
        <f t="shared" si="20"/>
        <v>40</v>
      </c>
      <c r="AY575">
        <f t="shared" si="20"/>
        <v>40</v>
      </c>
      <c r="AZ575">
        <f t="shared" si="20"/>
        <v>40</v>
      </c>
      <c r="BA575">
        <f t="shared" si="20"/>
        <v>40</v>
      </c>
      <c r="BB575">
        <f t="shared" si="20"/>
        <v>40</v>
      </c>
      <c r="BC575">
        <f t="shared" si="20"/>
        <v>40</v>
      </c>
      <c r="BD575">
        <f t="shared" si="20"/>
        <v>40</v>
      </c>
      <c r="BE575">
        <f t="shared" si="20"/>
        <v>40</v>
      </c>
      <c r="BF575">
        <f t="shared" si="20"/>
        <v>40</v>
      </c>
      <c r="BG575">
        <f t="shared" si="20"/>
        <v>40</v>
      </c>
      <c r="BH575">
        <f t="shared" si="20"/>
        <v>40</v>
      </c>
      <c r="BI575">
        <f t="shared" si="20"/>
        <v>40</v>
      </c>
      <c r="BJ575">
        <f t="shared" si="20"/>
        <v>40</v>
      </c>
      <c r="BK575">
        <f t="shared" si="20"/>
        <v>40</v>
      </c>
      <c r="BL575">
        <f t="shared" si="20"/>
        <v>40</v>
      </c>
      <c r="BM575">
        <f t="shared" si="20"/>
        <v>40</v>
      </c>
      <c r="BN575">
        <f t="shared" si="20"/>
        <v>40</v>
      </c>
      <c r="BO575">
        <f t="shared" si="20"/>
        <v>40</v>
      </c>
      <c r="BP575">
        <f t="shared" si="20"/>
        <v>40</v>
      </c>
      <c r="BQ575">
        <f t="shared" si="20"/>
        <v>40</v>
      </c>
      <c r="BR575">
        <f t="shared" si="20"/>
        <v>40</v>
      </c>
      <c r="BS575">
        <f t="shared" ref="BS575:CX575" si="21">BR575</f>
        <v>40</v>
      </c>
      <c r="BT575">
        <f t="shared" si="21"/>
        <v>40</v>
      </c>
      <c r="BU575">
        <f t="shared" si="21"/>
        <v>40</v>
      </c>
      <c r="BV575">
        <f t="shared" si="21"/>
        <v>40</v>
      </c>
      <c r="BW575">
        <f t="shared" si="21"/>
        <v>40</v>
      </c>
      <c r="BX575">
        <f t="shared" si="21"/>
        <v>40</v>
      </c>
      <c r="BY575">
        <f t="shared" si="21"/>
        <v>40</v>
      </c>
      <c r="BZ575">
        <f t="shared" si="21"/>
        <v>40</v>
      </c>
      <c r="CA575">
        <f t="shared" si="21"/>
        <v>40</v>
      </c>
      <c r="CB575">
        <f t="shared" si="21"/>
        <v>40</v>
      </c>
      <c r="CC575">
        <f t="shared" si="21"/>
        <v>40</v>
      </c>
      <c r="CD575">
        <f t="shared" si="21"/>
        <v>40</v>
      </c>
      <c r="CE575">
        <f t="shared" si="21"/>
        <v>40</v>
      </c>
      <c r="CF575">
        <f t="shared" si="21"/>
        <v>40</v>
      </c>
      <c r="CG575">
        <f t="shared" si="21"/>
        <v>40</v>
      </c>
      <c r="CH575">
        <f t="shared" si="21"/>
        <v>40</v>
      </c>
      <c r="CI575">
        <f t="shared" si="21"/>
        <v>40</v>
      </c>
      <c r="CJ575">
        <f t="shared" si="21"/>
        <v>40</v>
      </c>
      <c r="CK575">
        <f t="shared" si="21"/>
        <v>40</v>
      </c>
      <c r="CL575">
        <f t="shared" si="21"/>
        <v>40</v>
      </c>
      <c r="CM575">
        <f t="shared" si="21"/>
        <v>40</v>
      </c>
      <c r="CN575">
        <f t="shared" si="21"/>
        <v>40</v>
      </c>
      <c r="CO575">
        <f t="shared" si="21"/>
        <v>40</v>
      </c>
      <c r="CP575">
        <f t="shared" si="21"/>
        <v>40</v>
      </c>
      <c r="CQ575">
        <f t="shared" si="21"/>
        <v>40</v>
      </c>
      <c r="CR575">
        <f t="shared" si="21"/>
        <v>40</v>
      </c>
      <c r="CS575">
        <f t="shared" si="21"/>
        <v>40</v>
      </c>
      <c r="CT575">
        <f t="shared" si="21"/>
        <v>40</v>
      </c>
      <c r="CU575">
        <f t="shared" si="21"/>
        <v>40</v>
      </c>
      <c r="CV575">
        <f t="shared" si="21"/>
        <v>40</v>
      </c>
      <c r="CW575">
        <f t="shared" si="21"/>
        <v>40</v>
      </c>
      <c r="CX575">
        <f t="shared" si="21"/>
        <v>40</v>
      </c>
    </row>
    <row r="576" spans="1:102" x14ac:dyDescent="0.25">
      <c r="A576" s="50"/>
      <c r="B576" t="s">
        <v>867</v>
      </c>
      <c r="C576">
        <v>1</v>
      </c>
      <c r="D576">
        <v>2</v>
      </c>
      <c r="E576" s="9">
        <v>3</v>
      </c>
      <c r="F576">
        <v>4</v>
      </c>
      <c r="G576" s="9">
        <v>5</v>
      </c>
      <c r="H576">
        <v>6</v>
      </c>
      <c r="I576" s="9">
        <v>7</v>
      </c>
      <c r="J576">
        <v>8</v>
      </c>
      <c r="K576" s="9">
        <v>9</v>
      </c>
      <c r="L576">
        <v>10</v>
      </c>
      <c r="M576" s="9">
        <v>11</v>
      </c>
      <c r="N576">
        <v>12</v>
      </c>
      <c r="O576" s="9">
        <v>13</v>
      </c>
      <c r="P576">
        <v>14</v>
      </c>
      <c r="Q576" s="9">
        <v>15</v>
      </c>
      <c r="R576">
        <v>16</v>
      </c>
      <c r="S576" s="9">
        <v>17</v>
      </c>
      <c r="T576">
        <v>18</v>
      </c>
      <c r="U576" s="9">
        <v>19</v>
      </c>
      <c r="V576">
        <v>20</v>
      </c>
      <c r="W576" s="9">
        <v>21</v>
      </c>
      <c r="X576">
        <v>22</v>
      </c>
      <c r="Y576" s="9">
        <v>23</v>
      </c>
      <c r="Z576">
        <v>24</v>
      </c>
      <c r="AA576" s="9">
        <v>25</v>
      </c>
      <c r="AB576">
        <v>26</v>
      </c>
      <c r="AC576" s="9">
        <v>27</v>
      </c>
      <c r="AD576">
        <v>28</v>
      </c>
      <c r="AE576" s="9">
        <v>29</v>
      </c>
      <c r="AF576">
        <v>30</v>
      </c>
      <c r="AG576" s="9">
        <v>31</v>
      </c>
      <c r="AH576">
        <v>32</v>
      </c>
      <c r="AI576" s="9">
        <v>33</v>
      </c>
      <c r="AJ576">
        <v>34</v>
      </c>
      <c r="AK576" s="9">
        <v>35</v>
      </c>
      <c r="AL576">
        <v>36</v>
      </c>
      <c r="AM576" s="9">
        <v>37</v>
      </c>
      <c r="AN576">
        <v>38</v>
      </c>
      <c r="AO576" s="9">
        <v>39</v>
      </c>
      <c r="AP576">
        <v>40</v>
      </c>
      <c r="AQ576" s="9">
        <v>41</v>
      </c>
      <c r="AR576">
        <v>42</v>
      </c>
      <c r="AS576" s="9">
        <v>43</v>
      </c>
      <c r="AT576">
        <v>44</v>
      </c>
      <c r="AU576" s="9">
        <v>45</v>
      </c>
      <c r="AV576">
        <v>46</v>
      </c>
      <c r="AW576" s="9">
        <v>47</v>
      </c>
      <c r="AX576">
        <v>48</v>
      </c>
      <c r="AY576" s="9">
        <v>49</v>
      </c>
      <c r="AZ576">
        <v>50</v>
      </c>
      <c r="BA576" s="9">
        <v>51</v>
      </c>
      <c r="BB576">
        <v>52</v>
      </c>
      <c r="BC576" s="9">
        <v>53</v>
      </c>
      <c r="BD576">
        <v>54</v>
      </c>
      <c r="BE576" s="9">
        <v>55</v>
      </c>
      <c r="BF576">
        <v>56</v>
      </c>
      <c r="BG576" s="9">
        <v>57</v>
      </c>
      <c r="BH576">
        <v>58</v>
      </c>
      <c r="BI576" s="9">
        <v>59</v>
      </c>
      <c r="BJ576">
        <v>60</v>
      </c>
      <c r="BK576" s="9">
        <v>61</v>
      </c>
      <c r="BL576">
        <v>62</v>
      </c>
      <c r="BM576" s="9">
        <v>63</v>
      </c>
      <c r="BN576">
        <v>64</v>
      </c>
      <c r="BO576" s="9">
        <v>65</v>
      </c>
      <c r="BP576">
        <v>66</v>
      </c>
      <c r="BQ576" s="9">
        <v>67</v>
      </c>
      <c r="BR576">
        <v>68</v>
      </c>
      <c r="BS576" s="9">
        <v>69</v>
      </c>
      <c r="BT576">
        <v>70</v>
      </c>
      <c r="BU576" s="9">
        <v>71</v>
      </c>
      <c r="BV576">
        <v>72</v>
      </c>
      <c r="BW576" s="9">
        <v>73</v>
      </c>
      <c r="BX576">
        <v>74</v>
      </c>
      <c r="BY576" s="9">
        <v>75</v>
      </c>
      <c r="BZ576">
        <v>76</v>
      </c>
      <c r="CA576" s="9">
        <v>77</v>
      </c>
      <c r="CB576">
        <v>78</v>
      </c>
      <c r="CC576" s="9">
        <v>79</v>
      </c>
      <c r="CD576">
        <v>80</v>
      </c>
      <c r="CE576" s="9">
        <v>81</v>
      </c>
      <c r="CF576">
        <v>82</v>
      </c>
      <c r="CG576" s="9">
        <v>83</v>
      </c>
      <c r="CH576">
        <v>84</v>
      </c>
      <c r="CI576" s="9">
        <v>85</v>
      </c>
      <c r="CJ576">
        <v>86</v>
      </c>
      <c r="CK576" s="9">
        <v>87</v>
      </c>
      <c r="CL576">
        <v>88</v>
      </c>
      <c r="CM576" s="9">
        <v>89</v>
      </c>
      <c r="CN576">
        <v>90</v>
      </c>
      <c r="CO576" s="9">
        <v>91</v>
      </c>
      <c r="CP576">
        <v>92</v>
      </c>
      <c r="CQ576" s="9">
        <v>93</v>
      </c>
      <c r="CR576">
        <v>94</v>
      </c>
      <c r="CS576" s="9">
        <v>95</v>
      </c>
      <c r="CT576">
        <v>96</v>
      </c>
      <c r="CU576" s="9">
        <v>97</v>
      </c>
      <c r="CV576">
        <v>98</v>
      </c>
      <c r="CW576" s="9">
        <v>99</v>
      </c>
      <c r="CX576">
        <v>100</v>
      </c>
    </row>
    <row r="577" spans="1:102" x14ac:dyDescent="0.25">
      <c r="A577" s="50"/>
      <c r="B577" t="s">
        <v>868</v>
      </c>
      <c r="C577">
        <f>(C576/50)*C575</f>
        <v>0.8</v>
      </c>
      <c r="D577">
        <f>(D576/50)*D575</f>
        <v>1.6</v>
      </c>
      <c r="E577">
        <f t="shared" ref="E577:AZ577" si="22">(E576/50)*E575</f>
        <v>2.4</v>
      </c>
      <c r="F577">
        <f t="shared" si="22"/>
        <v>3.2</v>
      </c>
      <c r="G577">
        <f t="shared" si="22"/>
        <v>4</v>
      </c>
      <c r="H577">
        <f t="shared" si="22"/>
        <v>4.8</v>
      </c>
      <c r="I577">
        <f t="shared" si="22"/>
        <v>5.6000000000000005</v>
      </c>
      <c r="J577">
        <f t="shared" si="22"/>
        <v>6.4</v>
      </c>
      <c r="K577">
        <f t="shared" si="22"/>
        <v>7.1999999999999993</v>
      </c>
      <c r="L577">
        <f t="shared" si="22"/>
        <v>8</v>
      </c>
      <c r="M577">
        <f t="shared" si="22"/>
        <v>8.8000000000000007</v>
      </c>
      <c r="N577">
        <f t="shared" si="22"/>
        <v>9.6</v>
      </c>
      <c r="O577">
        <f t="shared" si="22"/>
        <v>10.4</v>
      </c>
      <c r="P577">
        <f t="shared" si="22"/>
        <v>11.200000000000001</v>
      </c>
      <c r="Q577">
        <f t="shared" si="22"/>
        <v>12</v>
      </c>
      <c r="R577">
        <f t="shared" si="22"/>
        <v>12.8</v>
      </c>
      <c r="S577">
        <f t="shared" si="22"/>
        <v>13.600000000000001</v>
      </c>
      <c r="T577">
        <f t="shared" si="22"/>
        <v>14.399999999999999</v>
      </c>
      <c r="U577">
        <f t="shared" si="22"/>
        <v>15.2</v>
      </c>
      <c r="V577">
        <f t="shared" si="22"/>
        <v>16</v>
      </c>
      <c r="W577">
        <f t="shared" si="22"/>
        <v>16.8</v>
      </c>
      <c r="X577">
        <f t="shared" si="22"/>
        <v>17.600000000000001</v>
      </c>
      <c r="Y577">
        <f t="shared" si="22"/>
        <v>18.400000000000002</v>
      </c>
      <c r="Z577">
        <f t="shared" si="22"/>
        <v>19.2</v>
      </c>
      <c r="AA577">
        <f t="shared" si="22"/>
        <v>20</v>
      </c>
      <c r="AB577">
        <f t="shared" si="22"/>
        <v>20.8</v>
      </c>
      <c r="AC577">
        <f t="shared" si="22"/>
        <v>21.6</v>
      </c>
      <c r="AD577">
        <f t="shared" si="22"/>
        <v>22.400000000000002</v>
      </c>
      <c r="AE577">
        <f t="shared" si="22"/>
        <v>23.2</v>
      </c>
      <c r="AF577">
        <f t="shared" si="22"/>
        <v>24</v>
      </c>
      <c r="AG577">
        <f t="shared" si="22"/>
        <v>24.8</v>
      </c>
      <c r="AH577">
        <f t="shared" si="22"/>
        <v>25.6</v>
      </c>
      <c r="AI577">
        <f t="shared" si="22"/>
        <v>26.400000000000002</v>
      </c>
      <c r="AJ577">
        <f t="shared" si="22"/>
        <v>27.200000000000003</v>
      </c>
      <c r="AK577">
        <f t="shared" si="22"/>
        <v>28</v>
      </c>
      <c r="AL577">
        <f t="shared" si="22"/>
        <v>28.799999999999997</v>
      </c>
      <c r="AM577">
        <f t="shared" si="22"/>
        <v>29.6</v>
      </c>
      <c r="AN577">
        <f t="shared" si="22"/>
        <v>30.4</v>
      </c>
      <c r="AO577">
        <f t="shared" si="22"/>
        <v>31.200000000000003</v>
      </c>
      <c r="AP577">
        <f t="shared" si="22"/>
        <v>32</v>
      </c>
      <c r="AQ577">
        <f t="shared" si="22"/>
        <v>32.799999999999997</v>
      </c>
      <c r="AR577">
        <f t="shared" si="22"/>
        <v>33.6</v>
      </c>
      <c r="AS577">
        <f t="shared" si="22"/>
        <v>34.4</v>
      </c>
      <c r="AT577">
        <f t="shared" si="22"/>
        <v>35.200000000000003</v>
      </c>
      <c r="AU577">
        <f t="shared" si="22"/>
        <v>36</v>
      </c>
      <c r="AV577">
        <f t="shared" si="22"/>
        <v>36.800000000000004</v>
      </c>
      <c r="AW577">
        <f t="shared" si="22"/>
        <v>37.599999999999994</v>
      </c>
      <c r="AX577">
        <f t="shared" si="22"/>
        <v>38.4</v>
      </c>
      <c r="AY577">
        <f t="shared" si="22"/>
        <v>39.200000000000003</v>
      </c>
      <c r="AZ577">
        <f t="shared" si="22"/>
        <v>40</v>
      </c>
      <c r="BA577">
        <f>(((100-BA576)/50)*BA575)</f>
        <v>39.200000000000003</v>
      </c>
      <c r="BB577">
        <f t="shared" ref="BB577:BD577" si="23">(((100-BB576)/50)*BB575)</f>
        <v>38.4</v>
      </c>
      <c r="BC577">
        <f t="shared" si="23"/>
        <v>37.599999999999994</v>
      </c>
      <c r="BD577">
        <f t="shared" si="23"/>
        <v>36.800000000000004</v>
      </c>
      <c r="BE577">
        <f t="shared" ref="BE577" si="24">(((100-BE576)/50)*BE575)</f>
        <v>36</v>
      </c>
      <c r="BF577">
        <f t="shared" ref="BF577:BG577" si="25">(((100-BF576)/50)*BF575)</f>
        <v>35.200000000000003</v>
      </c>
      <c r="BG577">
        <f t="shared" si="25"/>
        <v>34.4</v>
      </c>
      <c r="BH577">
        <f t="shared" ref="BH577" si="26">(((100-BH576)/50)*BH575)</f>
        <v>33.6</v>
      </c>
      <c r="BI577">
        <f t="shared" ref="BI577:BJ577" si="27">(((100-BI576)/50)*BI575)</f>
        <v>32.799999999999997</v>
      </c>
      <c r="BJ577">
        <f t="shared" si="27"/>
        <v>32</v>
      </c>
      <c r="BK577">
        <f t="shared" ref="BK577" si="28">(((100-BK576)/50)*BK575)</f>
        <v>31.200000000000003</v>
      </c>
      <c r="BL577">
        <f t="shared" ref="BL577:BM577" si="29">(((100-BL576)/50)*BL575)</f>
        <v>30.4</v>
      </c>
      <c r="BM577">
        <f t="shared" si="29"/>
        <v>29.6</v>
      </c>
      <c r="BN577">
        <f t="shared" ref="BN577" si="30">(((100-BN576)/50)*BN575)</f>
        <v>28.799999999999997</v>
      </c>
      <c r="BO577">
        <f t="shared" ref="BO577:BP577" si="31">(((100-BO576)/50)*BO575)</f>
        <v>28</v>
      </c>
      <c r="BP577">
        <f t="shared" si="31"/>
        <v>27.200000000000003</v>
      </c>
      <c r="BQ577">
        <f t="shared" ref="BQ577" si="32">(((100-BQ576)/50)*BQ575)</f>
        <v>26.400000000000002</v>
      </c>
      <c r="BR577">
        <f t="shared" ref="BR577:BS577" si="33">(((100-BR576)/50)*BR575)</f>
        <v>25.6</v>
      </c>
      <c r="BS577">
        <f t="shared" si="33"/>
        <v>24.8</v>
      </c>
      <c r="BT577">
        <f t="shared" ref="BT577" si="34">(((100-BT576)/50)*BT575)</f>
        <v>24</v>
      </c>
      <c r="BU577">
        <f t="shared" ref="BU577:BV577" si="35">(((100-BU576)/50)*BU575)</f>
        <v>23.2</v>
      </c>
      <c r="BV577">
        <f t="shared" si="35"/>
        <v>22.400000000000002</v>
      </c>
      <c r="BW577">
        <f t="shared" ref="BW577" si="36">(((100-BW576)/50)*BW575)</f>
        <v>21.6</v>
      </c>
      <c r="BX577">
        <f t="shared" ref="BX577:BY577" si="37">(((100-BX576)/50)*BX575)</f>
        <v>20.8</v>
      </c>
      <c r="BY577">
        <f t="shared" si="37"/>
        <v>20</v>
      </c>
      <c r="BZ577">
        <f t="shared" ref="BZ577" si="38">(((100-BZ576)/50)*BZ575)</f>
        <v>19.2</v>
      </c>
      <c r="CA577">
        <f t="shared" ref="CA577:CB577" si="39">(((100-CA576)/50)*CA575)</f>
        <v>18.400000000000002</v>
      </c>
      <c r="CB577">
        <f t="shared" si="39"/>
        <v>17.600000000000001</v>
      </c>
      <c r="CC577">
        <f t="shared" ref="CC577" si="40">(((100-CC576)/50)*CC575)</f>
        <v>16.8</v>
      </c>
      <c r="CD577">
        <f t="shared" ref="CD577:CE577" si="41">(((100-CD576)/50)*CD575)</f>
        <v>16</v>
      </c>
      <c r="CE577">
        <f t="shared" si="41"/>
        <v>15.2</v>
      </c>
      <c r="CF577">
        <f t="shared" ref="CF577" si="42">(((100-CF576)/50)*CF575)</f>
        <v>14.399999999999999</v>
      </c>
      <c r="CG577">
        <f t="shared" ref="CG577:CH577" si="43">(((100-CG576)/50)*CG575)</f>
        <v>13.600000000000001</v>
      </c>
      <c r="CH577">
        <f t="shared" si="43"/>
        <v>12.8</v>
      </c>
      <c r="CI577">
        <f t="shared" ref="CI577" si="44">(((100-CI576)/50)*CI575)</f>
        <v>12</v>
      </c>
      <c r="CJ577">
        <f t="shared" ref="CJ577:CK577" si="45">(((100-CJ576)/50)*CJ575)</f>
        <v>11.200000000000001</v>
      </c>
      <c r="CK577">
        <f t="shared" si="45"/>
        <v>10.4</v>
      </c>
      <c r="CL577">
        <f t="shared" ref="CL577" si="46">(((100-CL576)/50)*CL575)</f>
        <v>9.6</v>
      </c>
      <c r="CM577">
        <f t="shared" ref="CM577:CN577" si="47">(((100-CM576)/50)*CM575)</f>
        <v>8.8000000000000007</v>
      </c>
      <c r="CN577">
        <f t="shared" si="47"/>
        <v>8</v>
      </c>
      <c r="CO577">
        <f t="shared" ref="CO577" si="48">(((100-CO576)/50)*CO575)</f>
        <v>7.1999999999999993</v>
      </c>
      <c r="CP577">
        <f t="shared" ref="CP577:CQ577" si="49">(((100-CP576)/50)*CP575)</f>
        <v>6.4</v>
      </c>
      <c r="CQ577">
        <f t="shared" si="49"/>
        <v>5.6000000000000005</v>
      </c>
      <c r="CR577">
        <f t="shared" ref="CR577" si="50">(((100-CR576)/50)*CR575)</f>
        <v>4.8</v>
      </c>
      <c r="CS577">
        <f t="shared" ref="CS577:CT577" si="51">(((100-CS576)/50)*CS575)</f>
        <v>4</v>
      </c>
      <c r="CT577">
        <f t="shared" si="51"/>
        <v>3.2</v>
      </c>
      <c r="CU577">
        <f t="shared" ref="CU577" si="52">(((100-CU576)/50)*CU575)</f>
        <v>2.4</v>
      </c>
      <c r="CV577">
        <f t="shared" ref="CV577:CW577" si="53">(((100-CV576)/50)*CV575)</f>
        <v>1.6</v>
      </c>
      <c r="CW577">
        <f t="shared" si="53"/>
        <v>0.8</v>
      </c>
      <c r="CX577">
        <f t="shared" ref="CX577" si="54">(((100-CX576)/50)*CX575)</f>
        <v>0</v>
      </c>
    </row>
    <row r="578" spans="1:102" x14ac:dyDescent="0.25">
      <c r="A578" s="50"/>
      <c r="B578" t="s">
        <v>870</v>
      </c>
      <c r="C578">
        <f t="shared" ref="C578:AH578" si="55">C577/$D$548</f>
        <v>4.0000000000000001E-3</v>
      </c>
      <c r="D578">
        <f t="shared" si="55"/>
        <v>8.0000000000000002E-3</v>
      </c>
      <c r="E578">
        <f t="shared" si="55"/>
        <v>1.2E-2</v>
      </c>
      <c r="F578">
        <f t="shared" si="55"/>
        <v>1.6E-2</v>
      </c>
      <c r="G578">
        <f t="shared" si="55"/>
        <v>0.02</v>
      </c>
      <c r="H578">
        <f t="shared" si="55"/>
        <v>2.4E-2</v>
      </c>
      <c r="I578">
        <f t="shared" si="55"/>
        <v>2.8000000000000004E-2</v>
      </c>
      <c r="J578">
        <f t="shared" si="55"/>
        <v>3.2000000000000001E-2</v>
      </c>
      <c r="K578">
        <f t="shared" si="55"/>
        <v>3.5999999999999997E-2</v>
      </c>
      <c r="L578">
        <f t="shared" si="55"/>
        <v>0.04</v>
      </c>
      <c r="M578">
        <f t="shared" si="55"/>
        <v>4.4000000000000004E-2</v>
      </c>
      <c r="N578">
        <f t="shared" si="55"/>
        <v>4.8000000000000001E-2</v>
      </c>
      <c r="O578">
        <f t="shared" si="55"/>
        <v>5.2000000000000005E-2</v>
      </c>
      <c r="P578">
        <f t="shared" si="55"/>
        <v>5.6000000000000008E-2</v>
      </c>
      <c r="Q578">
        <f t="shared" si="55"/>
        <v>0.06</v>
      </c>
      <c r="R578">
        <f t="shared" si="55"/>
        <v>6.4000000000000001E-2</v>
      </c>
      <c r="S578">
        <f t="shared" si="55"/>
        <v>6.8000000000000005E-2</v>
      </c>
      <c r="T578">
        <f t="shared" si="55"/>
        <v>7.1999999999999995E-2</v>
      </c>
      <c r="U578">
        <f t="shared" si="55"/>
        <v>7.5999999999999998E-2</v>
      </c>
      <c r="V578">
        <f t="shared" si="55"/>
        <v>0.08</v>
      </c>
      <c r="W578">
        <f t="shared" si="55"/>
        <v>8.4000000000000005E-2</v>
      </c>
      <c r="X578">
        <f t="shared" si="55"/>
        <v>8.8000000000000009E-2</v>
      </c>
      <c r="Y578">
        <f t="shared" si="55"/>
        <v>9.2000000000000012E-2</v>
      </c>
      <c r="Z578">
        <f t="shared" si="55"/>
        <v>9.6000000000000002E-2</v>
      </c>
      <c r="AA578">
        <f t="shared" si="55"/>
        <v>0.1</v>
      </c>
      <c r="AB578">
        <f t="shared" si="55"/>
        <v>0.10400000000000001</v>
      </c>
      <c r="AC578">
        <f t="shared" si="55"/>
        <v>0.10800000000000001</v>
      </c>
      <c r="AD578">
        <f t="shared" si="55"/>
        <v>0.11200000000000002</v>
      </c>
      <c r="AE578">
        <f t="shared" si="55"/>
        <v>0.11599999999999999</v>
      </c>
      <c r="AF578">
        <f t="shared" si="55"/>
        <v>0.12</v>
      </c>
      <c r="AG578">
        <f t="shared" si="55"/>
        <v>0.124</v>
      </c>
      <c r="AH578">
        <f t="shared" si="55"/>
        <v>0.128</v>
      </c>
      <c r="AI578">
        <f t="shared" ref="AI578:BN578" si="56">AI577/$D$548</f>
        <v>0.13200000000000001</v>
      </c>
      <c r="AJ578">
        <f t="shared" si="56"/>
        <v>0.13600000000000001</v>
      </c>
      <c r="AK578">
        <f t="shared" si="56"/>
        <v>0.14000000000000001</v>
      </c>
      <c r="AL578">
        <f t="shared" si="56"/>
        <v>0.14399999999999999</v>
      </c>
      <c r="AM578">
        <f t="shared" si="56"/>
        <v>0.14800000000000002</v>
      </c>
      <c r="AN578">
        <f t="shared" si="56"/>
        <v>0.152</v>
      </c>
      <c r="AO578">
        <f t="shared" si="56"/>
        <v>0.15600000000000003</v>
      </c>
      <c r="AP578">
        <f t="shared" si="56"/>
        <v>0.16</v>
      </c>
      <c r="AQ578">
        <f t="shared" si="56"/>
        <v>0.16399999999999998</v>
      </c>
      <c r="AR578">
        <f t="shared" si="56"/>
        <v>0.16800000000000001</v>
      </c>
      <c r="AS578">
        <f t="shared" si="56"/>
        <v>0.17199999999999999</v>
      </c>
      <c r="AT578">
        <f t="shared" si="56"/>
        <v>0.17600000000000002</v>
      </c>
      <c r="AU578">
        <f t="shared" si="56"/>
        <v>0.18</v>
      </c>
      <c r="AV578">
        <f t="shared" si="56"/>
        <v>0.18400000000000002</v>
      </c>
      <c r="AW578">
        <f t="shared" si="56"/>
        <v>0.18799999999999997</v>
      </c>
      <c r="AX578">
        <f t="shared" si="56"/>
        <v>0.192</v>
      </c>
      <c r="AY578">
        <f t="shared" si="56"/>
        <v>0.19600000000000001</v>
      </c>
      <c r="AZ578">
        <f t="shared" si="56"/>
        <v>0.2</v>
      </c>
      <c r="BA578">
        <f t="shared" si="56"/>
        <v>0.19600000000000001</v>
      </c>
      <c r="BB578">
        <f t="shared" si="56"/>
        <v>0.192</v>
      </c>
      <c r="BC578">
        <f t="shared" si="56"/>
        <v>0.18799999999999997</v>
      </c>
      <c r="BD578">
        <f t="shared" si="56"/>
        <v>0.18400000000000002</v>
      </c>
      <c r="BE578">
        <f t="shared" si="56"/>
        <v>0.18</v>
      </c>
      <c r="BF578">
        <f t="shared" si="56"/>
        <v>0.17600000000000002</v>
      </c>
      <c r="BG578">
        <f t="shared" si="56"/>
        <v>0.17199999999999999</v>
      </c>
      <c r="BH578">
        <f t="shared" si="56"/>
        <v>0.16800000000000001</v>
      </c>
      <c r="BI578">
        <f t="shared" si="56"/>
        <v>0.16399999999999998</v>
      </c>
      <c r="BJ578">
        <f t="shared" si="56"/>
        <v>0.16</v>
      </c>
      <c r="BK578">
        <f t="shared" si="56"/>
        <v>0.15600000000000003</v>
      </c>
      <c r="BL578">
        <f t="shared" si="56"/>
        <v>0.152</v>
      </c>
      <c r="BM578">
        <f t="shared" si="56"/>
        <v>0.14800000000000002</v>
      </c>
      <c r="BN578">
        <f t="shared" si="56"/>
        <v>0.14399999999999999</v>
      </c>
      <c r="BO578">
        <f t="shared" ref="BO578:CT578" si="57">BO577/$D$548</f>
        <v>0.14000000000000001</v>
      </c>
      <c r="BP578">
        <f t="shared" ref="BP578:CX578" si="58">BP577/$D$548</f>
        <v>0.13600000000000001</v>
      </c>
      <c r="BQ578">
        <f t="shared" si="58"/>
        <v>0.13200000000000001</v>
      </c>
      <c r="BR578">
        <f t="shared" si="58"/>
        <v>0.128</v>
      </c>
      <c r="BS578">
        <f t="shared" si="58"/>
        <v>0.124</v>
      </c>
      <c r="BT578">
        <f t="shared" si="58"/>
        <v>0.12</v>
      </c>
      <c r="BU578">
        <f t="shared" si="58"/>
        <v>0.11599999999999999</v>
      </c>
      <c r="BV578">
        <f t="shared" si="58"/>
        <v>0.11200000000000002</v>
      </c>
      <c r="BW578">
        <f t="shared" si="58"/>
        <v>0.10800000000000001</v>
      </c>
      <c r="BX578">
        <f t="shared" si="58"/>
        <v>0.10400000000000001</v>
      </c>
      <c r="BY578">
        <f t="shared" si="58"/>
        <v>0.1</v>
      </c>
      <c r="BZ578">
        <f t="shared" si="58"/>
        <v>9.6000000000000002E-2</v>
      </c>
      <c r="CA578">
        <f t="shared" si="58"/>
        <v>9.2000000000000012E-2</v>
      </c>
      <c r="CB578">
        <f t="shared" si="58"/>
        <v>8.8000000000000009E-2</v>
      </c>
      <c r="CC578">
        <f t="shared" si="58"/>
        <v>8.4000000000000005E-2</v>
      </c>
      <c r="CD578">
        <f t="shared" si="58"/>
        <v>0.08</v>
      </c>
      <c r="CE578">
        <f t="shared" si="58"/>
        <v>7.5999999999999998E-2</v>
      </c>
      <c r="CF578">
        <f t="shared" si="58"/>
        <v>7.1999999999999995E-2</v>
      </c>
      <c r="CG578">
        <f t="shared" si="58"/>
        <v>6.8000000000000005E-2</v>
      </c>
      <c r="CH578">
        <f t="shared" si="58"/>
        <v>6.4000000000000001E-2</v>
      </c>
      <c r="CI578">
        <f t="shared" si="58"/>
        <v>0.06</v>
      </c>
      <c r="CJ578">
        <f t="shared" si="58"/>
        <v>5.6000000000000008E-2</v>
      </c>
      <c r="CK578">
        <f t="shared" si="58"/>
        <v>5.2000000000000005E-2</v>
      </c>
      <c r="CL578">
        <f t="shared" si="58"/>
        <v>4.8000000000000001E-2</v>
      </c>
      <c r="CM578">
        <f t="shared" si="58"/>
        <v>4.4000000000000004E-2</v>
      </c>
      <c r="CN578">
        <f t="shared" si="58"/>
        <v>0.04</v>
      </c>
      <c r="CO578">
        <f t="shared" si="58"/>
        <v>3.5999999999999997E-2</v>
      </c>
      <c r="CP578">
        <f t="shared" si="58"/>
        <v>3.2000000000000001E-2</v>
      </c>
      <c r="CQ578">
        <f t="shared" si="58"/>
        <v>2.8000000000000004E-2</v>
      </c>
      <c r="CR578">
        <f t="shared" si="58"/>
        <v>2.4E-2</v>
      </c>
      <c r="CS578">
        <f t="shared" si="58"/>
        <v>0.02</v>
      </c>
      <c r="CT578">
        <f t="shared" si="58"/>
        <v>1.6E-2</v>
      </c>
      <c r="CU578">
        <f t="shared" si="58"/>
        <v>1.2E-2</v>
      </c>
      <c r="CV578">
        <f t="shared" si="58"/>
        <v>8.0000000000000002E-3</v>
      </c>
      <c r="CW578">
        <f t="shared" si="58"/>
        <v>4.0000000000000001E-3</v>
      </c>
      <c r="CX578">
        <f t="shared" si="58"/>
        <v>0</v>
      </c>
    </row>
    <row r="579" spans="1:102" x14ac:dyDescent="0.25">
      <c r="A579" s="50"/>
      <c r="B579" t="s">
        <v>871</v>
      </c>
      <c r="C579">
        <f>(($D$554*2)+(C578*($D$556+$D$558)))*$D$574</f>
        <v>6.6875000000000006E-7</v>
      </c>
      <c r="D579">
        <f>(($D$554*2)+(D578*($D$556+$D$558)))*$D$574</f>
        <v>6.8125000000000015E-7</v>
      </c>
      <c r="E579">
        <f t="shared" ref="E579:BP579" si="59">(($D$554*2)+(E578*($D$556+$D$558)))*$D$574</f>
        <v>6.9375000000000013E-7</v>
      </c>
      <c r="F579">
        <f t="shared" si="59"/>
        <v>7.0625000000000012E-7</v>
      </c>
      <c r="G579">
        <f t="shared" si="59"/>
        <v>7.1875000000000011E-7</v>
      </c>
      <c r="H579">
        <f t="shared" si="59"/>
        <v>7.3124999999999999E-7</v>
      </c>
      <c r="I579">
        <f t="shared" si="59"/>
        <v>7.4375000000000008E-7</v>
      </c>
      <c r="J579">
        <f t="shared" si="59"/>
        <v>7.5625000000000007E-7</v>
      </c>
      <c r="K579">
        <f t="shared" si="59"/>
        <v>7.6875000000000005E-7</v>
      </c>
      <c r="L579">
        <f t="shared" si="59"/>
        <v>7.8125000000000004E-7</v>
      </c>
      <c r="M579">
        <f t="shared" si="59"/>
        <v>7.9375000000000002E-7</v>
      </c>
      <c r="N579">
        <f t="shared" si="59"/>
        <v>8.0625000000000012E-7</v>
      </c>
      <c r="O579">
        <f t="shared" si="59"/>
        <v>8.187500000000001E-7</v>
      </c>
      <c r="P579">
        <f t="shared" si="59"/>
        <v>8.3125000000000009E-7</v>
      </c>
      <c r="Q579">
        <f t="shared" si="59"/>
        <v>8.4375000000000007E-7</v>
      </c>
      <c r="R579">
        <f t="shared" si="59"/>
        <v>8.5625000000000017E-7</v>
      </c>
      <c r="S579">
        <f t="shared" si="59"/>
        <v>8.6875000000000015E-7</v>
      </c>
      <c r="T579">
        <f t="shared" si="59"/>
        <v>8.8125000000000014E-7</v>
      </c>
      <c r="U579">
        <f t="shared" si="59"/>
        <v>8.9375000000000012E-7</v>
      </c>
      <c r="V579">
        <f t="shared" si="59"/>
        <v>9.0625000000000022E-7</v>
      </c>
      <c r="W579">
        <f t="shared" si="59"/>
        <v>9.187500000000002E-7</v>
      </c>
      <c r="X579">
        <f t="shared" si="59"/>
        <v>9.3125000000000019E-7</v>
      </c>
      <c r="Y579">
        <f t="shared" si="59"/>
        <v>9.4375000000000018E-7</v>
      </c>
      <c r="Z579">
        <f t="shared" si="59"/>
        <v>9.5625000000000016E-7</v>
      </c>
      <c r="AA579">
        <f t="shared" si="59"/>
        <v>9.6875000000000004E-7</v>
      </c>
      <c r="AB579">
        <f t="shared" si="59"/>
        <v>9.8125000000000013E-7</v>
      </c>
      <c r="AC579">
        <f t="shared" si="59"/>
        <v>9.9375000000000023E-7</v>
      </c>
      <c r="AD579">
        <f t="shared" si="59"/>
        <v>1.0062500000000001E-6</v>
      </c>
      <c r="AE579">
        <f t="shared" si="59"/>
        <v>1.01875E-6</v>
      </c>
      <c r="AF579">
        <f t="shared" si="59"/>
        <v>1.0312500000000001E-6</v>
      </c>
      <c r="AG579">
        <f t="shared" si="59"/>
        <v>1.04375E-6</v>
      </c>
      <c r="AH579">
        <f t="shared" si="59"/>
        <v>1.0562500000000001E-6</v>
      </c>
      <c r="AI579">
        <f t="shared" si="59"/>
        <v>1.0687500000000001E-6</v>
      </c>
      <c r="AJ579">
        <f t="shared" si="59"/>
        <v>1.08125E-6</v>
      </c>
      <c r="AK579">
        <f t="shared" si="59"/>
        <v>1.0937500000000001E-6</v>
      </c>
      <c r="AL579">
        <f t="shared" si="59"/>
        <v>1.10625E-6</v>
      </c>
      <c r="AM579">
        <f t="shared" si="59"/>
        <v>1.1187500000000001E-6</v>
      </c>
      <c r="AN579">
        <f t="shared" si="59"/>
        <v>1.1312500000000002E-6</v>
      </c>
      <c r="AO579">
        <f t="shared" si="59"/>
        <v>1.1437500000000001E-6</v>
      </c>
      <c r="AP579">
        <f t="shared" si="59"/>
        <v>1.1562500000000002E-6</v>
      </c>
      <c r="AQ579">
        <f t="shared" si="59"/>
        <v>1.16875E-6</v>
      </c>
      <c r="AR579">
        <f t="shared" si="59"/>
        <v>1.1812500000000001E-6</v>
      </c>
      <c r="AS579">
        <f t="shared" si="59"/>
        <v>1.19375E-6</v>
      </c>
      <c r="AT579">
        <f t="shared" si="59"/>
        <v>1.2062500000000001E-6</v>
      </c>
      <c r="AU579">
        <f t="shared" si="59"/>
        <v>1.21875E-6</v>
      </c>
      <c r="AV579">
        <f t="shared" si="59"/>
        <v>1.2312500000000003E-6</v>
      </c>
      <c r="AW579">
        <f t="shared" si="59"/>
        <v>1.24375E-6</v>
      </c>
      <c r="AX579">
        <f t="shared" si="59"/>
        <v>1.25625E-6</v>
      </c>
      <c r="AY579">
        <f t="shared" si="59"/>
        <v>1.2687500000000003E-6</v>
      </c>
      <c r="AZ579">
        <f t="shared" si="59"/>
        <v>1.28125E-6</v>
      </c>
      <c r="BA579">
        <f t="shared" si="59"/>
        <v>1.2687500000000003E-6</v>
      </c>
      <c r="BB579">
        <f t="shared" si="59"/>
        <v>1.25625E-6</v>
      </c>
      <c r="BC579">
        <f t="shared" si="59"/>
        <v>1.24375E-6</v>
      </c>
      <c r="BD579">
        <f t="shared" si="59"/>
        <v>1.2312500000000003E-6</v>
      </c>
      <c r="BE579">
        <f t="shared" si="59"/>
        <v>1.21875E-6</v>
      </c>
      <c r="BF579">
        <f t="shared" si="59"/>
        <v>1.2062500000000001E-6</v>
      </c>
      <c r="BG579">
        <f t="shared" si="59"/>
        <v>1.19375E-6</v>
      </c>
      <c r="BH579">
        <f t="shared" si="59"/>
        <v>1.1812500000000001E-6</v>
      </c>
      <c r="BI579">
        <f t="shared" si="59"/>
        <v>1.16875E-6</v>
      </c>
      <c r="BJ579">
        <f t="shared" si="59"/>
        <v>1.1562500000000002E-6</v>
      </c>
      <c r="BK579">
        <f t="shared" si="59"/>
        <v>1.1437500000000001E-6</v>
      </c>
      <c r="BL579">
        <f t="shared" si="59"/>
        <v>1.1312500000000002E-6</v>
      </c>
      <c r="BM579">
        <f t="shared" si="59"/>
        <v>1.1187500000000001E-6</v>
      </c>
      <c r="BN579">
        <f t="shared" si="59"/>
        <v>1.10625E-6</v>
      </c>
      <c r="BO579">
        <f t="shared" si="59"/>
        <v>1.0937500000000001E-6</v>
      </c>
      <c r="BP579">
        <f t="shared" si="59"/>
        <v>1.08125E-6</v>
      </c>
      <c r="BQ579">
        <f t="shared" ref="BQ579:CX579" si="60">(($D$554*2)+(BQ578*($D$556+$D$558)))*$D$574</f>
        <v>1.0687500000000001E-6</v>
      </c>
      <c r="BR579">
        <f t="shared" si="60"/>
        <v>1.0562500000000001E-6</v>
      </c>
      <c r="BS579">
        <f t="shared" si="60"/>
        <v>1.04375E-6</v>
      </c>
      <c r="BT579">
        <f t="shared" si="60"/>
        <v>1.0312500000000001E-6</v>
      </c>
      <c r="BU579">
        <f t="shared" si="60"/>
        <v>1.01875E-6</v>
      </c>
      <c r="BV579">
        <f t="shared" si="60"/>
        <v>1.0062500000000001E-6</v>
      </c>
      <c r="BW579">
        <f t="shared" si="60"/>
        <v>9.9375000000000023E-7</v>
      </c>
      <c r="BX579">
        <f t="shared" si="60"/>
        <v>9.8125000000000013E-7</v>
      </c>
      <c r="BY579">
        <f t="shared" si="60"/>
        <v>9.6875000000000004E-7</v>
      </c>
      <c r="BZ579">
        <f t="shared" si="60"/>
        <v>9.5625000000000016E-7</v>
      </c>
      <c r="CA579">
        <f t="shared" si="60"/>
        <v>9.4375000000000018E-7</v>
      </c>
      <c r="CB579">
        <f t="shared" si="60"/>
        <v>9.3125000000000019E-7</v>
      </c>
      <c r="CC579">
        <f t="shared" si="60"/>
        <v>9.187500000000002E-7</v>
      </c>
      <c r="CD579">
        <f t="shared" si="60"/>
        <v>9.0625000000000022E-7</v>
      </c>
      <c r="CE579">
        <f t="shared" si="60"/>
        <v>8.9375000000000012E-7</v>
      </c>
      <c r="CF579">
        <f t="shared" si="60"/>
        <v>8.8125000000000014E-7</v>
      </c>
      <c r="CG579">
        <f t="shared" si="60"/>
        <v>8.6875000000000015E-7</v>
      </c>
      <c r="CH579">
        <f t="shared" si="60"/>
        <v>8.5625000000000017E-7</v>
      </c>
      <c r="CI579">
        <f t="shared" si="60"/>
        <v>8.4375000000000007E-7</v>
      </c>
      <c r="CJ579">
        <f t="shared" si="60"/>
        <v>8.3125000000000009E-7</v>
      </c>
      <c r="CK579">
        <f t="shared" si="60"/>
        <v>8.187500000000001E-7</v>
      </c>
      <c r="CL579">
        <f t="shared" si="60"/>
        <v>8.0625000000000012E-7</v>
      </c>
      <c r="CM579">
        <f t="shared" si="60"/>
        <v>7.9375000000000002E-7</v>
      </c>
      <c r="CN579">
        <f t="shared" si="60"/>
        <v>7.8125000000000004E-7</v>
      </c>
      <c r="CO579">
        <f t="shared" si="60"/>
        <v>7.6875000000000005E-7</v>
      </c>
      <c r="CP579">
        <f t="shared" si="60"/>
        <v>7.5625000000000007E-7</v>
      </c>
      <c r="CQ579">
        <f t="shared" si="60"/>
        <v>7.4375000000000008E-7</v>
      </c>
      <c r="CR579">
        <f t="shared" si="60"/>
        <v>7.3124999999999999E-7</v>
      </c>
      <c r="CS579">
        <f t="shared" si="60"/>
        <v>7.1875000000000011E-7</v>
      </c>
      <c r="CT579">
        <f t="shared" si="60"/>
        <v>7.0625000000000012E-7</v>
      </c>
      <c r="CU579">
        <f t="shared" si="60"/>
        <v>6.9375000000000013E-7</v>
      </c>
      <c r="CV579">
        <f t="shared" si="60"/>
        <v>6.8125000000000015E-7</v>
      </c>
      <c r="CW579">
        <f t="shared" si="60"/>
        <v>6.6875000000000006E-7</v>
      </c>
      <c r="CX579">
        <f t="shared" si="60"/>
        <v>6.5625000000000007E-7</v>
      </c>
    </row>
    <row r="580" spans="1:102" x14ac:dyDescent="0.25">
      <c r="A580" s="50"/>
      <c r="B580" t="s">
        <v>872</v>
      </c>
      <c r="C580">
        <f>SUM(C579:CX579)</f>
        <v>9.6874999999999969E-5</v>
      </c>
    </row>
    <row r="581" spans="1:102" x14ac:dyDescent="0.25">
      <c r="A581" s="50"/>
      <c r="B581" t="s">
        <v>873</v>
      </c>
      <c r="C581">
        <f>791/1000000</f>
        <v>7.9100000000000004E-4</v>
      </c>
    </row>
    <row r="582" spans="1:102" x14ac:dyDescent="0.25">
      <c r="A582" s="50"/>
      <c r="C582" t="s">
        <v>874</v>
      </c>
      <c r="D582" t="b">
        <f>C580&lt;=C581</f>
        <v>1</v>
      </c>
    </row>
    <row r="583" spans="1:102" x14ac:dyDescent="0.25">
      <c r="A583" s="50"/>
    </row>
    <row r="584" spans="1:102" x14ac:dyDescent="0.25">
      <c r="A584" s="50"/>
      <c r="E584" s="9"/>
    </row>
    <row r="585" spans="1:102" x14ac:dyDescent="0.25">
      <c r="A585" s="61" t="s">
        <v>448</v>
      </c>
      <c r="B585" t="s">
        <v>48</v>
      </c>
      <c r="C585" t="s">
        <v>47</v>
      </c>
      <c r="D585">
        <f>D3</f>
        <v>16000</v>
      </c>
    </row>
    <row r="586" spans="1:102" x14ac:dyDescent="0.25">
      <c r="A586" s="61"/>
      <c r="B586" t="s">
        <v>41</v>
      </c>
      <c r="C586" t="s">
        <v>431</v>
      </c>
      <c r="D586">
        <f>D105</f>
        <v>22.598870056497173</v>
      </c>
    </row>
    <row r="587" spans="1:102" x14ac:dyDescent="0.25">
      <c r="A587" s="61"/>
      <c r="B587" t="s">
        <v>39</v>
      </c>
      <c r="C587" t="s">
        <v>432</v>
      </c>
      <c r="D587">
        <f>D103</f>
        <v>0.5</v>
      </c>
    </row>
    <row r="588" spans="1:102" x14ac:dyDescent="0.25">
      <c r="A588" s="61"/>
      <c r="B588" t="s">
        <v>429</v>
      </c>
      <c r="C588" t="s">
        <v>430</v>
      </c>
      <c r="D588">
        <f>0.5*D586/D585</f>
        <v>7.0621468926553661E-4</v>
      </c>
    </row>
    <row r="589" spans="1:102" x14ac:dyDescent="0.25">
      <c r="A589" s="61"/>
      <c r="B589" t="s">
        <v>433</v>
      </c>
      <c r="D589">
        <v>0.5</v>
      </c>
    </row>
    <row r="590" spans="1:102" x14ac:dyDescent="0.25">
      <c r="A590" s="61"/>
      <c r="B590" t="s">
        <v>439</v>
      </c>
      <c r="D590">
        <f>D588/D589</f>
        <v>1.4124293785310732E-3</v>
      </c>
    </row>
    <row r="591" spans="1:102" x14ac:dyDescent="0.25">
      <c r="A591" s="61"/>
      <c r="C591" t="s">
        <v>434</v>
      </c>
      <c r="D591">
        <v>10</v>
      </c>
    </row>
    <row r="592" spans="1:102" x14ac:dyDescent="0.25">
      <c r="A592" s="61"/>
      <c r="B592" t="s">
        <v>438</v>
      </c>
      <c r="D592">
        <f>D591*D590</f>
        <v>1.4124293785310733E-2</v>
      </c>
    </row>
    <row r="593" spans="1:4" x14ac:dyDescent="0.25">
      <c r="A593" s="61"/>
      <c r="B593" t="s">
        <v>463</v>
      </c>
      <c r="C593" t="s">
        <v>464</v>
      </c>
      <c r="D593">
        <f>3*D615</f>
        <v>132.30000000000001</v>
      </c>
    </row>
    <row r="594" spans="1:4" x14ac:dyDescent="0.25">
      <c r="A594" s="61"/>
      <c r="B594" t="s">
        <v>465</v>
      </c>
      <c r="D594" s="1">
        <v>1E-3</v>
      </c>
    </row>
    <row r="595" spans="1:4" x14ac:dyDescent="0.25">
      <c r="A595" s="61"/>
      <c r="B595" t="s">
        <v>466</v>
      </c>
      <c r="D595">
        <v>20</v>
      </c>
    </row>
    <row r="596" spans="1:4" x14ac:dyDescent="0.25">
      <c r="A596" s="61"/>
      <c r="B596" t="s">
        <v>469</v>
      </c>
      <c r="C596" t="s">
        <v>470</v>
      </c>
      <c r="D596" s="30">
        <v>1.7000000000000001E-2</v>
      </c>
    </row>
    <row r="597" spans="1:4" x14ac:dyDescent="0.25">
      <c r="A597" s="61"/>
      <c r="B597" t="s">
        <v>471</v>
      </c>
      <c r="D597">
        <f>D596/D595</f>
        <v>8.5000000000000006E-4</v>
      </c>
    </row>
    <row r="598" spans="1:4" x14ac:dyDescent="0.25">
      <c r="A598" s="61"/>
      <c r="B598" t="s">
        <v>444</v>
      </c>
      <c r="C598" t="s">
        <v>445</v>
      </c>
      <c r="D598" s="1">
        <f>D594*D595</f>
        <v>0.02</v>
      </c>
    </row>
    <row r="599" spans="1:4" x14ac:dyDescent="0.25">
      <c r="A599" s="61"/>
      <c r="C599" t="s">
        <v>467</v>
      </c>
      <c r="D599" s="1">
        <f>0.2</f>
        <v>0.2</v>
      </c>
    </row>
    <row r="600" spans="1:4" x14ac:dyDescent="0.25">
      <c r="A600" s="61"/>
      <c r="B600" t="s">
        <v>468</v>
      </c>
      <c r="D600" s="1">
        <f>D598*(1-D599)</f>
        <v>1.6E-2</v>
      </c>
    </row>
    <row r="601" spans="1:4" x14ac:dyDescent="0.25">
      <c r="A601" s="61"/>
      <c r="B601" t="s">
        <v>504</v>
      </c>
      <c r="D601" s="1">
        <f>D597*D586</f>
        <v>1.9209039548022597E-2</v>
      </c>
    </row>
    <row r="602" spans="1:4" x14ac:dyDescent="0.25">
      <c r="A602" s="61"/>
      <c r="B602" t="s">
        <v>505</v>
      </c>
      <c r="D602" s="1">
        <f>D588/D598</f>
        <v>3.531073446327683E-2</v>
      </c>
    </row>
    <row r="603" spans="1:4" x14ac:dyDescent="0.25">
      <c r="A603" s="61"/>
      <c r="B603" t="s">
        <v>506</v>
      </c>
      <c r="D603" s="1">
        <f>D601+D602</f>
        <v>5.4519774011299427E-2</v>
      </c>
    </row>
    <row r="604" spans="1:4" x14ac:dyDescent="0.25">
      <c r="A604" s="61"/>
      <c r="B604" t="s">
        <v>472</v>
      </c>
      <c r="D604" s="1">
        <f>POWER(D601, 2)/D597</f>
        <v>0.43410258865587781</v>
      </c>
    </row>
    <row r="605" spans="1:4" x14ac:dyDescent="0.25">
      <c r="A605" s="61"/>
      <c r="B605" t="s">
        <v>473</v>
      </c>
      <c r="D605" s="1">
        <f>D604/D595</f>
        <v>2.1705129432793891E-2</v>
      </c>
    </row>
    <row r="606" spans="1:4" x14ac:dyDescent="0.25">
      <c r="A606" s="61"/>
      <c r="B606" t="s">
        <v>442</v>
      </c>
      <c r="C606" t="s">
        <v>436</v>
      </c>
      <c r="D606">
        <v>500</v>
      </c>
    </row>
    <row r="607" spans="1:4" x14ac:dyDescent="0.25">
      <c r="A607" s="61"/>
      <c r="B607" t="s">
        <v>440</v>
      </c>
      <c r="C607" t="s">
        <v>441</v>
      </c>
      <c r="D607">
        <f>1/(POWER(2*PI()*D606, 2)*D592)</f>
        <v>7.1735398018775158E-6</v>
      </c>
    </row>
    <row r="608" spans="1:4" x14ac:dyDescent="0.25">
      <c r="A608" s="61"/>
      <c r="B608" t="s">
        <v>437</v>
      </c>
      <c r="C608" t="s">
        <v>474</v>
      </c>
      <c r="D608" s="1">
        <v>2.1999999999999999E-5</v>
      </c>
    </row>
    <row r="609" spans="1:4" x14ac:dyDescent="0.25">
      <c r="A609" s="61"/>
      <c r="B609" t="s">
        <v>475</v>
      </c>
      <c r="D609" s="1">
        <f>D2*2/D5</f>
        <v>11.299435028248586</v>
      </c>
    </row>
    <row r="610" spans="1:4" x14ac:dyDescent="0.25">
      <c r="A610" s="61"/>
      <c r="B610" t="s">
        <v>476</v>
      </c>
      <c r="D610" s="1">
        <f>2*D609</f>
        <v>22.598870056497173</v>
      </c>
    </row>
    <row r="611" spans="1:4" x14ac:dyDescent="0.25">
      <c r="A611" s="61"/>
      <c r="B611" t="s">
        <v>435</v>
      </c>
      <c r="C611" t="s">
        <v>443</v>
      </c>
      <c r="D611" s="1">
        <f>1/(2*PI()*POWER(D598*D608, 0.5))</f>
        <v>239.93510443917407</v>
      </c>
    </row>
    <row r="612" spans="1:4" x14ac:dyDescent="0.25">
      <c r="A612" s="61"/>
      <c r="B612" t="s">
        <v>446</v>
      </c>
      <c r="D612" s="1">
        <f>40*LOG10(D585/D611)</f>
        <v>72.961047570285331</v>
      </c>
    </row>
    <row r="613" spans="1:4" x14ac:dyDescent="0.25">
      <c r="A613" s="61"/>
      <c r="C613" t="s">
        <v>447</v>
      </c>
      <c r="D613">
        <f>POWER(D7, 2)*0.5*D598</f>
        <v>19.448100000000004</v>
      </c>
    </row>
    <row r="614" spans="1:4" x14ac:dyDescent="0.25">
      <c r="A614" s="61"/>
      <c r="B614" t="s">
        <v>449</v>
      </c>
      <c r="C614" t="s">
        <v>450</v>
      </c>
      <c r="D614">
        <v>33</v>
      </c>
    </row>
    <row r="615" spans="1:4" x14ac:dyDescent="0.25">
      <c r="A615" s="61"/>
      <c r="B615" t="s">
        <v>38</v>
      </c>
      <c r="D615">
        <f>D7</f>
        <v>44.1</v>
      </c>
    </row>
    <row r="616" spans="1:4" x14ac:dyDescent="0.25">
      <c r="A616" s="61"/>
    </row>
    <row r="617" spans="1:4" x14ac:dyDescent="0.25">
      <c r="A617" s="61"/>
      <c r="B617" t="s">
        <v>452</v>
      </c>
      <c r="D617" s="1">
        <f>((-D614)+POWER(POWER(D614, 2)-(4*D608/D598), 0.5))/(2*D608)</f>
        <v>-1.5151530456139737</v>
      </c>
    </row>
    <row r="618" spans="1:4" x14ac:dyDescent="0.25">
      <c r="A618" s="61"/>
      <c r="B618" t="s">
        <v>453</v>
      </c>
      <c r="D618" s="1">
        <f>((-D614)-POWER(POWER(D614, 2)-(4*D608/D598), 0.5))/(2*D608)</f>
        <v>-1499998.4848469547</v>
      </c>
    </row>
    <row r="619" spans="1:4" x14ac:dyDescent="0.25">
      <c r="A619" s="61"/>
      <c r="B619" t="s">
        <v>454</v>
      </c>
      <c r="D619" s="1">
        <f>LN(D618/D617)/(D617-D618)</f>
        <v>9.2036573945350537E-6</v>
      </c>
    </row>
    <row r="620" spans="1:4" x14ac:dyDescent="0.25">
      <c r="A620" s="61"/>
      <c r="B620" t="s">
        <v>240</v>
      </c>
      <c r="D620" s="1">
        <f>(D615/(D608*(D617-D618)))*(EXP(D617*D619)-EXP(D618*D619))</f>
        <v>1.3363463508162678</v>
      </c>
    </row>
    <row r="621" spans="1:4" x14ac:dyDescent="0.25">
      <c r="A621" s="61"/>
      <c r="B621" t="s">
        <v>455</v>
      </c>
      <c r="D621" s="1">
        <f>D614*POWER(D620, 2)</f>
        <v>58.932111788218542</v>
      </c>
    </row>
    <row r="622" spans="1:4" x14ac:dyDescent="0.25">
      <c r="A622" s="61"/>
      <c r="C622" t="s">
        <v>451</v>
      </c>
      <c r="D622" s="1">
        <f>D621*D4</f>
        <v>70.71853414586225</v>
      </c>
    </row>
    <row r="623" spans="1:4" x14ac:dyDescent="0.25">
      <c r="A623" s="61"/>
      <c r="B623" t="s">
        <v>457</v>
      </c>
      <c r="C623" t="s">
        <v>456</v>
      </c>
      <c r="D623" t="b">
        <f>(POWER(D614, 2)/(4*POWER(D608, 2)))&lt;(1/(D608*D598))</f>
        <v>0</v>
      </c>
    </row>
    <row r="624" spans="1:4" x14ac:dyDescent="0.25">
      <c r="A624" s="61"/>
      <c r="B624" t="s">
        <v>458</v>
      </c>
      <c r="D624" s="1">
        <f>D614/(2*D608)</f>
        <v>750000</v>
      </c>
    </row>
    <row r="625" spans="1:4" x14ac:dyDescent="0.25">
      <c r="A625" s="61"/>
      <c r="B625" t="s">
        <v>459</v>
      </c>
      <c r="D625" s="1">
        <f>1/POWER(D608*D598, 0.5)</f>
        <v>1507.5567228888181</v>
      </c>
    </row>
    <row r="626" spans="1:4" x14ac:dyDescent="0.25">
      <c r="A626" s="61"/>
      <c r="B626" t="s">
        <v>460</v>
      </c>
      <c r="D626" t="str">
        <f>IF(D623, POWER(POWER(D625, 2)-POWER(D624, 2), 0.5),"NA")</f>
        <v>NA</v>
      </c>
    </row>
    <row r="627" spans="1:4" x14ac:dyDescent="0.25">
      <c r="A627" s="61"/>
      <c r="C627" t="s">
        <v>461</v>
      </c>
      <c r="D627" s="1" t="str">
        <f>IF(D623, 100*EXP(-PI()*D624/D626), "Not Under-damped")</f>
        <v>Not Under-damped</v>
      </c>
    </row>
    <row r="628" spans="1:4" x14ac:dyDescent="0.25">
      <c r="A628" s="61"/>
      <c r="B628" t="s">
        <v>462</v>
      </c>
      <c r="D628" s="1">
        <f>5/MIN(ABS(D617), ABS(D618))</f>
        <v>3.2999966666561322</v>
      </c>
    </row>
    <row r="629" spans="1:4" x14ac:dyDescent="0.25">
      <c r="A629" s="61"/>
      <c r="B629" t="s">
        <v>480</v>
      </c>
      <c r="C629" t="s">
        <v>477</v>
      </c>
      <c r="D629">
        <v>1600</v>
      </c>
    </row>
    <row r="630" spans="1:4" x14ac:dyDescent="0.25">
      <c r="A630" s="61"/>
      <c r="C630" t="s">
        <v>478</v>
      </c>
      <c r="D630">
        <v>0.1</v>
      </c>
    </row>
    <row r="631" spans="1:4" x14ac:dyDescent="0.25">
      <c r="A631" s="61"/>
      <c r="B631" t="s">
        <v>479</v>
      </c>
      <c r="D631">
        <f>D629*(1-D630)</f>
        <v>1440</v>
      </c>
    </row>
    <row r="632" spans="1:4" x14ac:dyDescent="0.25">
      <c r="A632" s="61"/>
      <c r="B632" t="s">
        <v>481</v>
      </c>
      <c r="D632">
        <f>D629*(1+D630)</f>
        <v>1760.0000000000002</v>
      </c>
    </row>
    <row r="633" spans="1:4" x14ac:dyDescent="0.25">
      <c r="A633" s="61"/>
      <c r="B633" t="s">
        <v>482</v>
      </c>
      <c r="D633">
        <v>24</v>
      </c>
    </row>
    <row r="634" spans="1:4" x14ac:dyDescent="0.25">
      <c r="A634" s="61"/>
      <c r="B634" t="s">
        <v>483</v>
      </c>
      <c r="D634">
        <v>1.4999999999999999E-2</v>
      </c>
    </row>
    <row r="635" spans="1:4" x14ac:dyDescent="0.25">
      <c r="A635" s="61"/>
      <c r="C635" t="s">
        <v>484</v>
      </c>
      <c r="D635" t="b">
        <f>(D633/D629)=D634</f>
        <v>1</v>
      </c>
    </row>
    <row r="636" spans="1:4" x14ac:dyDescent="0.25">
      <c r="A636" s="61"/>
      <c r="B636" t="s">
        <v>485</v>
      </c>
      <c r="C636" t="s">
        <v>486</v>
      </c>
      <c r="D636">
        <f>1.3*D633</f>
        <v>31.200000000000003</v>
      </c>
    </row>
    <row r="637" spans="1:4" x14ac:dyDescent="0.25">
      <c r="A637" s="61"/>
      <c r="B637" t="s">
        <v>487</v>
      </c>
      <c r="C637" t="s">
        <v>488</v>
      </c>
      <c r="D637">
        <f>0.75*D633</f>
        <v>18</v>
      </c>
    </row>
    <row r="638" spans="1:4" x14ac:dyDescent="0.25">
      <c r="A638" s="61"/>
      <c r="B638" t="s">
        <v>489</v>
      </c>
      <c r="D638">
        <f>D637/D632</f>
        <v>1.0227272727272725E-2</v>
      </c>
    </row>
    <row r="639" spans="1:4" x14ac:dyDescent="0.25">
      <c r="A639" s="61"/>
      <c r="B639" t="s">
        <v>490</v>
      </c>
      <c r="D639">
        <f>D636/D632</f>
        <v>1.7727272727272727E-2</v>
      </c>
    </row>
    <row r="640" spans="1:4" x14ac:dyDescent="0.25">
      <c r="A640" s="61"/>
      <c r="B640" t="s">
        <v>496</v>
      </c>
      <c r="D640">
        <v>1330</v>
      </c>
    </row>
    <row r="641" spans="1:4" x14ac:dyDescent="0.25">
      <c r="A641" s="61"/>
      <c r="C641" t="s">
        <v>500</v>
      </c>
      <c r="D641">
        <v>0.05</v>
      </c>
    </row>
    <row r="642" spans="1:4" x14ac:dyDescent="0.25">
      <c r="A642" s="61"/>
      <c r="B642" t="s">
        <v>501</v>
      </c>
      <c r="D642">
        <f>D640*(1-D641)</f>
        <v>1263.5</v>
      </c>
    </row>
    <row r="643" spans="1:4" x14ac:dyDescent="0.25">
      <c r="A643" s="61"/>
      <c r="B643" t="s">
        <v>502</v>
      </c>
      <c r="D643">
        <f>D640*(1+D641)</f>
        <v>1396.5</v>
      </c>
    </row>
    <row r="644" spans="1:4" x14ac:dyDescent="0.25">
      <c r="A644" s="61"/>
      <c r="C644" t="s">
        <v>493</v>
      </c>
      <c r="D644">
        <f>D6/(D629+D640)</f>
        <v>1.3003412969283274E-2</v>
      </c>
    </row>
    <row r="645" spans="1:4" x14ac:dyDescent="0.25">
      <c r="A645" s="61"/>
      <c r="C645" t="s">
        <v>494</v>
      </c>
      <c r="D645">
        <f>D5/(D631+D643)</f>
        <v>1.2480169222633529E-2</v>
      </c>
    </row>
    <row r="646" spans="1:4" x14ac:dyDescent="0.25">
      <c r="A646" s="61"/>
      <c r="C646" t="s">
        <v>495</v>
      </c>
      <c r="D646">
        <f>D7/(D631+D642)</f>
        <v>1.6312187904568152E-2</v>
      </c>
    </row>
    <row r="647" spans="1:4" x14ac:dyDescent="0.25">
      <c r="A647" s="61"/>
      <c r="C647" t="s">
        <v>497</v>
      </c>
      <c r="D647" t="b">
        <f>AND((D644&gt;D638), (D646&lt;D639))</f>
        <v>1</v>
      </c>
    </row>
    <row r="648" spans="1:4" x14ac:dyDescent="0.25">
      <c r="A648" s="61"/>
    </row>
    <row r="649" spans="1:4" x14ac:dyDescent="0.25">
      <c r="A649" s="61"/>
      <c r="B649" t="s">
        <v>498</v>
      </c>
      <c r="D649">
        <f xml:space="preserve"> POWER(D646, 2)*D640</f>
        <v>0.35389634073113957</v>
      </c>
    </row>
    <row r="650" spans="1:4" x14ac:dyDescent="0.25">
      <c r="A650" s="61"/>
      <c r="B650" t="s">
        <v>503</v>
      </c>
      <c r="D650">
        <f>POWER(D644, 2)*D629</f>
        <v>0.27054199815955915</v>
      </c>
    </row>
    <row r="651" spans="1:4" x14ac:dyDescent="0.25">
      <c r="A651" s="61"/>
      <c r="B651" t="s">
        <v>499</v>
      </c>
      <c r="D651">
        <f>POWER(D645, 2)*D632</f>
        <v>0.27412813793300184</v>
      </c>
    </row>
    <row r="652" spans="1:4" x14ac:dyDescent="0.25">
      <c r="A652" s="61"/>
      <c r="C652" t="s">
        <v>623</v>
      </c>
      <c r="D652" s="1">
        <f>0.5*D608*POWER(D653, 2)</f>
        <v>3.0311171733454588E-4</v>
      </c>
    </row>
    <row r="653" spans="1:4" x14ac:dyDescent="0.25">
      <c r="A653" s="61"/>
      <c r="C653" t="s">
        <v>624</v>
      </c>
      <c r="D653">
        <f>D2/D6</f>
        <v>5.2493438320209984</v>
      </c>
    </row>
    <row r="654" spans="1:4" x14ac:dyDescent="0.25">
      <c r="A654" s="61"/>
      <c r="C654" t="s">
        <v>625</v>
      </c>
      <c r="D654">
        <f>D6</f>
        <v>38.099999999999994</v>
      </c>
    </row>
    <row r="655" spans="1:4" x14ac:dyDescent="0.25">
      <c r="A655" s="61"/>
      <c r="C655" t="s">
        <v>626</v>
      </c>
      <c r="D655">
        <f>POWER(((0.5*D598*POWER(D654, 2))+D652)*2/D598, 0.5)</f>
        <v>38.100397782329424</v>
      </c>
    </row>
    <row r="656" spans="1:4" x14ac:dyDescent="0.25">
      <c r="A656" s="61"/>
      <c r="B656" t="s">
        <v>736</v>
      </c>
      <c r="C656" t="s">
        <v>735</v>
      </c>
      <c r="D656" s="1">
        <f>0.5*D598*POWER(D7, 2)</f>
        <v>19.448100000000004</v>
      </c>
    </row>
    <row r="657" spans="1:10" x14ac:dyDescent="0.25">
      <c r="A657" t="s">
        <v>734</v>
      </c>
      <c r="B657" t="s">
        <v>737</v>
      </c>
      <c r="C657" t="s">
        <v>738</v>
      </c>
      <c r="D657">
        <f>(0.06*0.022*0.0018)+(2*(0.06*0.0129*0.001))+(0.06*0.0091*0.0018)</f>
        <v>4.9067999999999993E-6</v>
      </c>
    </row>
    <row r="658" spans="1:10" x14ac:dyDescent="0.25">
      <c r="B658" t="s">
        <v>739</v>
      </c>
      <c r="C658" t="s">
        <v>740</v>
      </c>
      <c r="D658">
        <v>850</v>
      </c>
    </row>
    <row r="659" spans="1:10" x14ac:dyDescent="0.25">
      <c r="B659" t="s">
        <v>741</v>
      </c>
      <c r="C659" t="s">
        <v>742</v>
      </c>
      <c r="D659">
        <v>2700</v>
      </c>
    </row>
    <row r="660" spans="1:10" x14ac:dyDescent="0.25">
      <c r="B660" t="s">
        <v>710</v>
      </c>
      <c r="D660">
        <f>D656/(D659*D657*D658)</f>
        <v>1.7270150907024588</v>
      </c>
    </row>
    <row r="661" spans="1:10" x14ac:dyDescent="0.25">
      <c r="B661" t="s">
        <v>743</v>
      </c>
      <c r="C661" t="s">
        <v>750</v>
      </c>
      <c r="D661">
        <v>0.2</v>
      </c>
    </row>
    <row r="662" spans="1:10" x14ac:dyDescent="0.25">
      <c r="B662" t="s">
        <v>748</v>
      </c>
      <c r="C662" t="s">
        <v>747</v>
      </c>
      <c r="D662">
        <f>D658*D657*D659</f>
        <v>11.261106</v>
      </c>
    </row>
    <row r="663" spans="1:10" x14ac:dyDescent="0.25">
      <c r="B663" t="s">
        <v>754</v>
      </c>
      <c r="C663" t="s">
        <v>753</v>
      </c>
      <c r="D663">
        <f>0.022*0.06</f>
        <v>1.3199999999999998E-3</v>
      </c>
    </row>
    <row r="664" spans="1:10" x14ac:dyDescent="0.25">
      <c r="B664" t="s">
        <v>755</v>
      </c>
      <c r="C664" t="s">
        <v>756</v>
      </c>
      <c r="D664">
        <f>0.002</f>
        <v>2E-3</v>
      </c>
    </row>
    <row r="665" spans="1:10" x14ac:dyDescent="0.25">
      <c r="B665" t="s">
        <v>744</v>
      </c>
      <c r="C665" t="s">
        <v>745</v>
      </c>
      <c r="D665">
        <v>0.5</v>
      </c>
    </row>
    <row r="666" spans="1:10" x14ac:dyDescent="0.25">
      <c r="B666" t="s">
        <v>749</v>
      </c>
      <c r="C666" t="s">
        <v>746</v>
      </c>
      <c r="D666">
        <f>4.605*D662/D665</f>
        <v>103.71478626000001</v>
      </c>
    </row>
    <row r="667" spans="1:10" x14ac:dyDescent="0.25">
      <c r="B667" t="s">
        <v>751</v>
      </c>
      <c r="C667" t="s">
        <v>752</v>
      </c>
      <c r="D667">
        <f>D664/(D661*D663)</f>
        <v>7.575757575757577</v>
      </c>
    </row>
    <row r="668" spans="1:10" x14ac:dyDescent="0.25">
      <c r="B668" t="s">
        <v>757</v>
      </c>
      <c r="D668">
        <f>D662*D660/D666</f>
        <v>0.18751521071687935</v>
      </c>
    </row>
    <row r="669" spans="1:10" x14ac:dyDescent="0.25">
      <c r="B669" t="s">
        <v>758</v>
      </c>
      <c r="D669">
        <f>D668*D667</f>
        <v>1.4205697781581772</v>
      </c>
    </row>
    <row r="670" spans="1:10" x14ac:dyDescent="0.25">
      <c r="A670" s="41"/>
      <c r="C670" t="s">
        <v>631</v>
      </c>
      <c r="D670" t="s">
        <v>632</v>
      </c>
      <c r="E670" t="s">
        <v>634</v>
      </c>
      <c r="F670" t="s">
        <v>633</v>
      </c>
      <c r="G670" t="s">
        <v>635</v>
      </c>
    </row>
    <row r="671" spans="1:10" x14ac:dyDescent="0.25">
      <c r="A671" s="61" t="s">
        <v>627</v>
      </c>
      <c r="C671" t="s">
        <v>628</v>
      </c>
      <c r="D671">
        <f>D2/D5</f>
        <v>5.6497175141242932</v>
      </c>
      <c r="E671">
        <f>11*0.01</f>
        <v>0.11</v>
      </c>
      <c r="F671">
        <v>1</v>
      </c>
      <c r="G671">
        <v>22</v>
      </c>
      <c r="H671">
        <v>10</v>
      </c>
      <c r="I671">
        <v>10</v>
      </c>
      <c r="J671">
        <v>10</v>
      </c>
    </row>
    <row r="672" spans="1:10" x14ac:dyDescent="0.25">
      <c r="A672" s="61"/>
      <c r="C672" t="s">
        <v>629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</row>
    <row r="673" spans="1:10" x14ac:dyDescent="0.25">
      <c r="A673" s="61"/>
      <c r="C673" t="s">
        <v>630</v>
      </c>
      <c r="D673">
        <v>5</v>
      </c>
      <c r="E673">
        <v>5</v>
      </c>
      <c r="F673">
        <v>5</v>
      </c>
      <c r="G673">
        <v>5</v>
      </c>
      <c r="H673">
        <v>5</v>
      </c>
      <c r="I673">
        <v>5</v>
      </c>
      <c r="J673">
        <v>5</v>
      </c>
    </row>
    <row r="674" spans="1:10" x14ac:dyDescent="0.25">
      <c r="A674" s="61"/>
      <c r="C674" t="s">
        <v>638</v>
      </c>
      <c r="D674">
        <f>0.0254*POWER(D671/(0.048*POWER(D673, 0.44)), 1/0.725)/(D672*1.378)</f>
        <v>2.4923433704232472</v>
      </c>
      <c r="E674">
        <f t="shared" ref="E674:G674" si="61">0.0254*POWER(E671/(0.048*POWER(E673, 0.44)), 1/0.725)/(E672*1.378)</f>
        <v>1.0892125473680554E-2</v>
      </c>
      <c r="F674">
        <f t="shared" si="61"/>
        <v>0.22873341897835012</v>
      </c>
      <c r="G674">
        <f t="shared" si="61"/>
        <v>16.253508114154439</v>
      </c>
      <c r="H674">
        <f t="shared" ref="H674" si="62">0.0254*POWER(H671/(0.048*POWER(H673, 0.44)), 1/0.725)/(H672*1.378)</f>
        <v>5.4782262733389961</v>
      </c>
      <c r="I674">
        <f t="shared" ref="I674:J674" si="63">0.0254*POWER(I671/(0.048*POWER(I673, 0.44)), 1/0.725)/(I672*1.378)</f>
        <v>5.4782262733389961</v>
      </c>
      <c r="J674">
        <f t="shared" si="63"/>
        <v>5.4782262733389961</v>
      </c>
    </row>
    <row r="675" spans="1:10" x14ac:dyDescent="0.25">
      <c r="A675" s="61"/>
      <c r="C675" t="s">
        <v>639</v>
      </c>
      <c r="D675">
        <f>0.0254*POWER(D671/(0.024*POWER(D673, 0.44)), 1/0.725)/(D672*1.378)</f>
        <v>6.4836813405534928</v>
      </c>
      <c r="E675">
        <f t="shared" ref="E675:I675" si="64">0.0254*POWER(E671/(0.024*POWER(E673, 0.44)), 1/0.725)/(E672*1.378)</f>
        <v>2.8335209157266786E-2</v>
      </c>
      <c r="F675">
        <f t="shared" si="64"/>
        <v>0.59503622903255293</v>
      </c>
      <c r="G675">
        <f t="shared" si="64"/>
        <v>42.282523559497292</v>
      </c>
      <c r="H675">
        <f t="shared" si="64"/>
        <v>14.251276083899347</v>
      </c>
      <c r="I675">
        <f t="shared" si="64"/>
        <v>14.251276083899347</v>
      </c>
    </row>
    <row r="676" spans="1:10" x14ac:dyDescent="0.25">
      <c r="A676" s="61"/>
      <c r="C676" t="s">
        <v>637</v>
      </c>
      <c r="D676">
        <v>8</v>
      </c>
      <c r="E676">
        <v>1</v>
      </c>
      <c r="F676">
        <v>1</v>
      </c>
      <c r="G676">
        <v>8</v>
      </c>
      <c r="H676">
        <v>8</v>
      </c>
    </row>
    <row r="677" spans="1:10" x14ac:dyDescent="0.25">
      <c r="A677" s="61"/>
      <c r="C677" t="s">
        <v>642</v>
      </c>
      <c r="D677">
        <f>POWER(D671/POWER(D676*(D672*1.378)/0.0254, 0.725)/0.048, 1/0.44)</f>
        <v>0.7318559619713908</v>
      </c>
      <c r="E677">
        <f t="shared" ref="E677:H677" si="65">POWER(E671/POWER(E676*(E672*1.378)/0.0254, 0.725)/0.048, 1/0.44)</f>
        <v>2.9151906392472556E-3</v>
      </c>
      <c r="F677">
        <f t="shared" si="65"/>
        <v>0.43986554940209394</v>
      </c>
      <c r="G677">
        <f t="shared" si="65"/>
        <v>16.078094835159579</v>
      </c>
      <c r="H677">
        <f t="shared" si="65"/>
        <v>2.6791758539545092</v>
      </c>
    </row>
    <row r="678" spans="1:10" x14ac:dyDescent="0.25">
      <c r="A678" s="61"/>
      <c r="C678" t="s">
        <v>641</v>
      </c>
      <c r="D678">
        <f>POWER(D671/POWER(D676*(D672*1.378)/0.0254, 0.725)/0.024, 1/0.44)</f>
        <v>3.5365898499283999</v>
      </c>
      <c r="E678">
        <f t="shared" ref="E678:H678" si="66">POWER(E671/POWER(E676*(E672*1.378)/0.0254, 0.725)/0.024, 1/0.44)</f>
        <v>1.4087244158805046E-2</v>
      </c>
      <c r="F678">
        <f t="shared" si="66"/>
        <v>2.1255877087593311</v>
      </c>
      <c r="G678">
        <f t="shared" si="66"/>
        <v>77.695106625959824</v>
      </c>
      <c r="H678">
        <f t="shared" si="66"/>
        <v>12.946736275462857</v>
      </c>
    </row>
    <row r="679" spans="1:10" x14ac:dyDescent="0.25">
      <c r="A679" s="61"/>
      <c r="C679" t="s">
        <v>636</v>
      </c>
      <c r="D679">
        <v>100</v>
      </c>
      <c r="E679">
        <v>200</v>
      </c>
      <c r="F679">
        <v>120</v>
      </c>
      <c r="G679">
        <v>100</v>
      </c>
      <c r="H679">
        <v>100</v>
      </c>
    </row>
    <row r="680" spans="1:10" x14ac:dyDescent="0.25">
      <c r="A680" s="61"/>
      <c r="C680" t="s">
        <v>200</v>
      </c>
      <c r="D680">
        <f>(0.0000000168)*(D679/1000)/((D676/1000)*0.0000348*D672)</f>
        <v>3.0172413793103452E-3</v>
      </c>
      <c r="E680">
        <f>(0.0000000168)*(E679/1000)/((E676/1000)*0.0000348*E672)</f>
        <v>4.8275862068965524E-2</v>
      </c>
      <c r="F680">
        <f>(0.0000000168)*(F679/1000)/((F676/1000)*0.0000348*F672)</f>
        <v>2.8965517241379312E-2</v>
      </c>
      <c r="G680">
        <f>(0.0000000168)*(G679/1000)/((G676/1000)*0.0000348*G672)</f>
        <v>3.0172413793103452E-3</v>
      </c>
      <c r="H680">
        <f>(0.0000000168)*(H679/1000)/((H676/1000)*0.0000348*H672)</f>
        <v>3.0172413793103452E-3</v>
      </c>
    </row>
    <row r="681" spans="1:10" x14ac:dyDescent="0.25">
      <c r="A681" s="61"/>
      <c r="C681" t="s">
        <v>640</v>
      </c>
      <c r="D681">
        <f>POWER(D671, 2)*D680</f>
        <v>9.6308256864577377E-2</v>
      </c>
      <c r="E681">
        <f>POWER(E671, 2)*E680</f>
        <v>5.8413793103448278E-4</v>
      </c>
      <c r="F681">
        <f>POWER(F671, 2)*F680</f>
        <v>2.8965517241379312E-2</v>
      </c>
      <c r="G681">
        <f>POWER(G671, 2)*G680</f>
        <v>1.460344827586207</v>
      </c>
      <c r="H681">
        <f>POWER(H671, 2)*H680</f>
        <v>0.30172413793103453</v>
      </c>
    </row>
    <row r="682" spans="1:10" x14ac:dyDescent="0.25">
      <c r="A682" s="61"/>
      <c r="C682" t="s">
        <v>643</v>
      </c>
      <c r="D682">
        <f>D671*D680</f>
        <v>1.7046561465030197E-2</v>
      </c>
      <c r="E682">
        <f t="shared" ref="E682:H682" si="67">E671*E680</f>
        <v>5.3103448275862077E-3</v>
      </c>
      <c r="F682">
        <f t="shared" si="67"/>
        <v>2.8965517241379312E-2</v>
      </c>
      <c r="G682">
        <f t="shared" si="67"/>
        <v>6.6379310344827594E-2</v>
      </c>
      <c r="H682">
        <f t="shared" si="67"/>
        <v>3.0172413793103453E-2</v>
      </c>
    </row>
    <row r="683" spans="1:10" x14ac:dyDescent="0.25">
      <c r="A683" s="61"/>
    </row>
    <row r="684" spans="1:10" x14ac:dyDescent="0.25">
      <c r="A684" s="41"/>
    </row>
    <row r="685" spans="1:10" x14ac:dyDescent="0.25">
      <c r="A685" s="41"/>
    </row>
    <row r="690" spans="1:4" x14ac:dyDescent="0.25">
      <c r="A690" s="60" t="s">
        <v>716</v>
      </c>
      <c r="C690" t="s">
        <v>717</v>
      </c>
      <c r="D690" s="1">
        <v>1000000000</v>
      </c>
    </row>
    <row r="691" spans="1:4" x14ac:dyDescent="0.25">
      <c r="A691" s="60"/>
      <c r="C691" t="s">
        <v>718</v>
      </c>
      <c r="D691">
        <v>14</v>
      </c>
    </row>
    <row r="692" spans="1:4" x14ac:dyDescent="0.25">
      <c r="A692" s="60"/>
      <c r="C692" t="s">
        <v>219</v>
      </c>
      <c r="D692" s="1">
        <f>D690*D691</f>
        <v>14000000000</v>
      </c>
    </row>
    <row r="693" spans="1:4" x14ac:dyDescent="0.25">
      <c r="A693" s="60"/>
      <c r="C693" t="s">
        <v>719</v>
      </c>
      <c r="D693">
        <f>2.5</f>
        <v>2.5</v>
      </c>
    </row>
    <row r="694" spans="1:4" x14ac:dyDescent="0.25">
      <c r="A694" s="60"/>
      <c r="C694" t="s">
        <v>720</v>
      </c>
      <c r="D694">
        <f>D8/D693</f>
        <v>32000</v>
      </c>
    </row>
    <row r="695" spans="1:4" x14ac:dyDescent="0.25">
      <c r="A695" s="60"/>
      <c r="C695" t="s">
        <v>721</v>
      </c>
      <c r="D695">
        <f>D692/D694</f>
        <v>437500</v>
      </c>
    </row>
    <row r="696" spans="1:4" x14ac:dyDescent="0.25">
      <c r="A696" s="60"/>
      <c r="C696" t="s">
        <v>759</v>
      </c>
      <c r="D696" s="1">
        <v>130000</v>
      </c>
    </row>
    <row r="697" spans="1:4" x14ac:dyDescent="0.25">
      <c r="A697" s="60"/>
      <c r="C697" t="s">
        <v>722</v>
      </c>
      <c r="D697" s="1">
        <f>D8/D692</f>
        <v>5.7142857142857145E-6</v>
      </c>
    </row>
    <row r="698" spans="1:4" x14ac:dyDescent="0.25">
      <c r="A698" s="60"/>
      <c r="C698" t="s">
        <v>723</v>
      </c>
      <c r="D698" s="1">
        <f>D697*D697*D690</f>
        <v>3.2653061224489799E-2</v>
      </c>
    </row>
    <row r="699" spans="1:4" x14ac:dyDescent="0.25">
      <c r="A699" s="60"/>
      <c r="C699" t="s">
        <v>724</v>
      </c>
      <c r="D699" s="1">
        <f>D698*D691</f>
        <v>0.45714285714285718</v>
      </c>
    </row>
    <row r="700" spans="1:4" x14ac:dyDescent="0.25">
      <c r="A700" s="60"/>
      <c r="C700" t="s">
        <v>725</v>
      </c>
      <c r="D700" s="1">
        <f>POWER(D697, 2)*D696</f>
        <v>4.2448979591836746E-6</v>
      </c>
    </row>
    <row r="701" spans="1:4" x14ac:dyDescent="0.25">
      <c r="A701" s="60"/>
    </row>
    <row r="703" spans="1:4" x14ac:dyDescent="0.25">
      <c r="C703" t="s">
        <v>717</v>
      </c>
      <c r="D703" s="1">
        <v>100000000</v>
      </c>
    </row>
    <row r="704" spans="1:4" x14ac:dyDescent="0.25">
      <c r="A704" s="60" t="s">
        <v>726</v>
      </c>
      <c r="C704" t="s">
        <v>718</v>
      </c>
      <c r="D704">
        <v>1</v>
      </c>
    </row>
    <row r="705" spans="1:5" x14ac:dyDescent="0.25">
      <c r="A705" s="60"/>
      <c r="C705" t="s">
        <v>219</v>
      </c>
      <c r="D705" s="1">
        <f>D703*D704</f>
        <v>100000000</v>
      </c>
    </row>
    <row r="706" spans="1:5" x14ac:dyDescent="0.25">
      <c r="A706" s="60"/>
      <c r="C706" t="s">
        <v>719</v>
      </c>
      <c r="D706">
        <v>2.5</v>
      </c>
    </row>
    <row r="707" spans="1:5" x14ac:dyDescent="0.25">
      <c r="A707" s="60"/>
      <c r="C707" t="s">
        <v>720</v>
      </c>
      <c r="D707">
        <f>D12/D706</f>
        <v>5600</v>
      </c>
    </row>
    <row r="708" spans="1:5" x14ac:dyDescent="0.25">
      <c r="A708" s="60"/>
      <c r="C708" t="s">
        <v>721</v>
      </c>
      <c r="D708">
        <f>D705/D707</f>
        <v>17857.142857142859</v>
      </c>
    </row>
    <row r="709" spans="1:5" x14ac:dyDescent="0.25">
      <c r="A709" s="60"/>
      <c r="C709" t="s">
        <v>760</v>
      </c>
      <c r="D709" s="1">
        <v>20000</v>
      </c>
    </row>
    <row r="710" spans="1:5" x14ac:dyDescent="0.25">
      <c r="A710" s="60"/>
      <c r="C710" t="s">
        <v>722</v>
      </c>
      <c r="D710" s="1">
        <f>D12/D705</f>
        <v>1.3999999999999999E-4</v>
      </c>
    </row>
    <row r="711" spans="1:5" x14ac:dyDescent="0.25">
      <c r="A711" s="60"/>
      <c r="C711" t="s">
        <v>723</v>
      </c>
      <c r="D711" s="1">
        <f>D710*D710*D703</f>
        <v>1.9599999999999997</v>
      </c>
    </row>
    <row r="712" spans="1:5" x14ac:dyDescent="0.25">
      <c r="A712" s="60"/>
      <c r="C712" t="s">
        <v>724</v>
      </c>
      <c r="D712" s="1">
        <f>D711*D704</f>
        <v>1.9599999999999997</v>
      </c>
    </row>
    <row r="713" spans="1:5" x14ac:dyDescent="0.25">
      <c r="A713" s="60"/>
      <c r="C713" t="s">
        <v>725</v>
      </c>
      <c r="D713" s="1">
        <f>POWER(D710, 2)*D709</f>
        <v>3.9199999999999993E-4</v>
      </c>
    </row>
    <row r="715" spans="1:5" x14ac:dyDescent="0.25">
      <c r="C715" t="s">
        <v>728</v>
      </c>
      <c r="D715">
        <v>3</v>
      </c>
    </row>
    <row r="716" spans="1:5" x14ac:dyDescent="0.25">
      <c r="A716" s="61" t="s">
        <v>727</v>
      </c>
      <c r="C716" t="s">
        <v>729</v>
      </c>
      <c r="D716">
        <v>550</v>
      </c>
      <c r="E716" t="s">
        <v>731</v>
      </c>
    </row>
    <row r="717" spans="1:5" x14ac:dyDescent="0.25">
      <c r="A717" s="61"/>
      <c r="C717" t="s">
        <v>730</v>
      </c>
      <c r="D717">
        <f>25.4*41.9*0.000001</f>
        <v>1.06426E-3</v>
      </c>
    </row>
    <row r="718" spans="1:5" x14ac:dyDescent="0.25">
      <c r="A718" s="61"/>
      <c r="C718" t="s">
        <v>732</v>
      </c>
      <c r="D718">
        <f>D717*D716*0.3048</f>
        <v>0.17841254640000004</v>
      </c>
      <c r="E718" t="s">
        <v>645</v>
      </c>
    </row>
    <row r="719" spans="1:5" x14ac:dyDescent="0.25">
      <c r="A719" s="61"/>
      <c r="C719" t="s">
        <v>733</v>
      </c>
      <c r="D719">
        <f>D718*50</f>
        <v>8.9206273200000012</v>
      </c>
    </row>
    <row r="720" spans="1:5" x14ac:dyDescent="0.25">
      <c r="A720" s="61"/>
    </row>
    <row r="721" spans="1:5" x14ac:dyDescent="0.25">
      <c r="A721" s="61"/>
    </row>
    <row r="722" spans="1:5" x14ac:dyDescent="0.25">
      <c r="A722" s="61"/>
    </row>
    <row r="723" spans="1:5" x14ac:dyDescent="0.25">
      <c r="A723" s="61"/>
    </row>
    <row r="724" spans="1:5" x14ac:dyDescent="0.25">
      <c r="A724" s="61"/>
    </row>
    <row r="725" spans="1:5" x14ac:dyDescent="0.25">
      <c r="A725" s="61"/>
    </row>
    <row r="726" spans="1:5" x14ac:dyDescent="0.25">
      <c r="A726" s="61"/>
    </row>
    <row r="727" spans="1:5" x14ac:dyDescent="0.25">
      <c r="A727" s="61"/>
    </row>
    <row r="728" spans="1:5" x14ac:dyDescent="0.25">
      <c r="A728" s="61"/>
    </row>
    <row r="729" spans="1:5" x14ac:dyDescent="0.25">
      <c r="C729" t="s">
        <v>762</v>
      </c>
      <c r="E729" s="1">
        <f>D67</f>
        <v>0.15679999999999999</v>
      </c>
    </row>
    <row r="730" spans="1:5" x14ac:dyDescent="0.25">
      <c r="A730" s="61" t="s">
        <v>761</v>
      </c>
      <c r="C730" t="s">
        <v>763</v>
      </c>
      <c r="E730">
        <f>D27</f>
        <v>0.7</v>
      </c>
    </row>
    <row r="731" spans="1:5" x14ac:dyDescent="0.25">
      <c r="A731" s="61"/>
      <c r="C731" t="s">
        <v>764</v>
      </c>
      <c r="E731" s="1">
        <f>D163+D164</f>
        <v>3.2288346657248184</v>
      </c>
    </row>
    <row r="732" spans="1:5" x14ac:dyDescent="0.25">
      <c r="A732" s="61"/>
      <c r="C732" t="s">
        <v>765</v>
      </c>
      <c r="E732" s="1">
        <f>E729+E730+E731</f>
        <v>4.0856346657248181</v>
      </c>
    </row>
    <row r="733" spans="1:5" x14ac:dyDescent="0.25">
      <c r="A733" s="61"/>
    </row>
    <row r="734" spans="1:5" x14ac:dyDescent="0.25">
      <c r="A734" s="61"/>
    </row>
    <row r="735" spans="1:5" x14ac:dyDescent="0.25">
      <c r="A735" s="61"/>
      <c r="C735" t="s">
        <v>4</v>
      </c>
      <c r="E735">
        <v>2</v>
      </c>
    </row>
    <row r="736" spans="1:5" x14ac:dyDescent="0.25">
      <c r="A736" s="61"/>
      <c r="C736" t="s">
        <v>646</v>
      </c>
      <c r="D736" t="s">
        <v>212</v>
      </c>
      <c r="E736">
        <v>0.17399999999999999</v>
      </c>
    </row>
    <row r="737" spans="1:5" x14ac:dyDescent="0.25">
      <c r="A737" s="61"/>
      <c r="C737" t="s">
        <v>647</v>
      </c>
      <c r="D737" t="s">
        <v>212</v>
      </c>
      <c r="E737">
        <v>0.5</v>
      </c>
    </row>
    <row r="738" spans="1:5" x14ac:dyDescent="0.25">
      <c r="A738" s="61"/>
      <c r="C738" t="s">
        <v>644</v>
      </c>
      <c r="D738" t="s">
        <v>655</v>
      </c>
      <c r="E738">
        <f>POWER(E736/2, 2)*PI()*E737</f>
        <v>1.1889357397510571E-2</v>
      </c>
    </row>
    <row r="739" spans="1:5" x14ac:dyDescent="0.25">
      <c r="A739" s="61"/>
      <c r="C739" t="s">
        <v>648</v>
      </c>
      <c r="E739" s="1">
        <f>E732</f>
        <v>4.0856346657248181</v>
      </c>
    </row>
    <row r="740" spans="1:5" x14ac:dyDescent="0.25">
      <c r="A740" s="61"/>
      <c r="C740" t="s">
        <v>653</v>
      </c>
      <c r="D740" t="s">
        <v>649</v>
      </c>
      <c r="E740">
        <v>2300</v>
      </c>
    </row>
    <row r="741" spans="1:5" x14ac:dyDescent="0.25">
      <c r="A741" s="61"/>
      <c r="C741" t="s">
        <v>650</v>
      </c>
      <c r="D741" t="s">
        <v>651</v>
      </c>
      <c r="E741">
        <v>20</v>
      </c>
    </row>
    <row r="742" spans="1:5" x14ac:dyDescent="0.25">
      <c r="A742" s="61"/>
      <c r="C742" t="s">
        <v>652</v>
      </c>
      <c r="D742" t="s">
        <v>654</v>
      </c>
      <c r="E742">
        <v>800</v>
      </c>
    </row>
    <row r="743" spans="1:5" x14ac:dyDescent="0.25">
      <c r="A743" s="61"/>
      <c r="C743" t="s">
        <v>656</v>
      </c>
      <c r="D743" t="s">
        <v>657</v>
      </c>
      <c r="E743">
        <f>E742*E738</f>
        <v>9.5114859180084572</v>
      </c>
    </row>
    <row r="744" spans="1:5" x14ac:dyDescent="0.25">
      <c r="A744" s="61"/>
      <c r="C744" t="s">
        <v>658</v>
      </c>
      <c r="D744" t="s">
        <v>659</v>
      </c>
      <c r="E744">
        <f>E740*E743*E741</f>
        <v>437528.35222838906</v>
      </c>
    </row>
    <row r="745" spans="1:5" x14ac:dyDescent="0.25">
      <c r="A745" s="61"/>
      <c r="C745" t="s">
        <v>660</v>
      </c>
      <c r="D745" t="s">
        <v>339</v>
      </c>
      <c r="E745">
        <f>E744/E739</f>
        <v>107089.44583295695</v>
      </c>
    </row>
    <row r="746" spans="1:5" x14ac:dyDescent="0.25">
      <c r="A746" s="61"/>
      <c r="C746" t="s">
        <v>661</v>
      </c>
      <c r="D746" t="s">
        <v>339</v>
      </c>
      <c r="E746">
        <f>E745/E735</f>
        <v>53544.722916478473</v>
      </c>
    </row>
    <row r="747" spans="1:5" x14ac:dyDescent="0.25">
      <c r="A747" s="61"/>
      <c r="C747" t="s">
        <v>662</v>
      </c>
      <c r="D747" t="s">
        <v>663</v>
      </c>
      <c r="E747">
        <f>E738/E746</f>
        <v>2.2204536226765314E-7</v>
      </c>
    </row>
    <row r="748" spans="1:5" x14ac:dyDescent="0.25">
      <c r="A748" s="61"/>
      <c r="C748" t="s">
        <v>662</v>
      </c>
      <c r="D748" t="s">
        <v>664</v>
      </c>
      <c r="E748">
        <f>(1000000)*E747</f>
        <v>0.22204536226765315</v>
      </c>
    </row>
    <row r="749" spans="1:5" x14ac:dyDescent="0.25">
      <c r="A749" s="61"/>
      <c r="C749" t="s">
        <v>665</v>
      </c>
      <c r="D749" t="s">
        <v>666</v>
      </c>
      <c r="E749">
        <v>0.1</v>
      </c>
    </row>
    <row r="750" spans="1:5" x14ac:dyDescent="0.25">
      <c r="A750" s="61"/>
      <c r="C750" t="s">
        <v>667</v>
      </c>
      <c r="D750" t="s">
        <v>213</v>
      </c>
      <c r="E750">
        <f>E747/E749</f>
        <v>2.2204536226765314E-6</v>
      </c>
    </row>
    <row r="751" spans="1:5" x14ac:dyDescent="0.25">
      <c r="A751" s="61"/>
      <c r="C751" t="s">
        <v>668</v>
      </c>
      <c r="D751" t="s">
        <v>212</v>
      </c>
      <c r="E751">
        <f>2*POWER(E750/PI(), 0.5)</f>
        <v>1.681418853124411E-3</v>
      </c>
    </row>
    <row r="752" spans="1:5" x14ac:dyDescent="0.25">
      <c r="A752" s="61"/>
      <c r="C752" t="s">
        <v>670</v>
      </c>
      <c r="D752" t="s">
        <v>212</v>
      </c>
      <c r="E752">
        <f>CEILING(E751, 0.001)</f>
        <v>2E-3</v>
      </c>
    </row>
    <row r="753" spans="1:5" x14ac:dyDescent="0.25">
      <c r="A753" s="61"/>
      <c r="C753" t="s">
        <v>669</v>
      </c>
      <c r="D753" t="s">
        <v>139</v>
      </c>
      <c r="E753">
        <f>E752*1000</f>
        <v>2</v>
      </c>
    </row>
    <row r="754" spans="1:5" x14ac:dyDescent="0.25">
      <c r="A754" s="61"/>
      <c r="C754" t="s">
        <v>675</v>
      </c>
      <c r="D754" t="s">
        <v>139</v>
      </c>
      <c r="E754">
        <v>9</v>
      </c>
    </row>
    <row r="755" spans="1:5" x14ac:dyDescent="0.25">
      <c r="A755" s="61"/>
      <c r="C755" t="s">
        <v>676</v>
      </c>
      <c r="E755">
        <f>E754/1000</f>
        <v>8.9999999999999993E-3</v>
      </c>
    </row>
    <row r="756" spans="1:5" x14ac:dyDescent="0.25">
      <c r="C756" t="s">
        <v>673</v>
      </c>
      <c r="E756">
        <f>0.00604</f>
        <v>6.0400000000000002E-3</v>
      </c>
    </row>
    <row r="757" spans="1:5" x14ac:dyDescent="0.25">
      <c r="C757" t="s">
        <v>672</v>
      </c>
      <c r="E757">
        <f>E756/E742</f>
        <v>7.5500000000000006E-6</v>
      </c>
    </row>
    <row r="758" spans="1:5" x14ac:dyDescent="0.25">
      <c r="C758" t="s">
        <v>671</v>
      </c>
      <c r="E758">
        <v>2300</v>
      </c>
    </row>
    <row r="759" spans="1:5" x14ac:dyDescent="0.25">
      <c r="C759" t="s">
        <v>674</v>
      </c>
      <c r="E759">
        <f>E742*E749*E755/E756</f>
        <v>119.20529801324503</v>
      </c>
    </row>
    <row r="760" spans="1:5" x14ac:dyDescent="0.25">
      <c r="C760" t="s">
        <v>677</v>
      </c>
      <c r="E760" t="b">
        <f>E759&lt;E758</f>
        <v>1</v>
      </c>
    </row>
    <row r="763" spans="1:5" x14ac:dyDescent="0.25">
      <c r="B763" t="s">
        <v>37</v>
      </c>
      <c r="C763" t="s">
        <v>44</v>
      </c>
      <c r="D763" t="s">
        <v>21</v>
      </c>
      <c r="E763">
        <f>D5</f>
        <v>35.400000000000006</v>
      </c>
    </row>
    <row r="764" spans="1:5" x14ac:dyDescent="0.25">
      <c r="A764" s="61" t="s">
        <v>782</v>
      </c>
      <c r="B764" t="s">
        <v>491</v>
      </c>
      <c r="C764" t="s">
        <v>492</v>
      </c>
      <c r="D764" t="s">
        <v>21</v>
      </c>
      <c r="E764">
        <f>D6</f>
        <v>38.099999999999994</v>
      </c>
    </row>
    <row r="765" spans="1:5" x14ac:dyDescent="0.25">
      <c r="A765" s="61"/>
      <c r="B765" t="s">
        <v>38</v>
      </c>
      <c r="C765" t="s">
        <v>43</v>
      </c>
      <c r="D765" t="s">
        <v>21</v>
      </c>
      <c r="E765">
        <f>D7</f>
        <v>44.1</v>
      </c>
    </row>
    <row r="766" spans="1:5" x14ac:dyDescent="0.25">
      <c r="A766" s="61"/>
      <c r="C766" t="s">
        <v>783</v>
      </c>
      <c r="D766" t="s">
        <v>20</v>
      </c>
      <c r="E766">
        <v>3</v>
      </c>
    </row>
    <row r="767" spans="1:5" x14ac:dyDescent="0.25">
      <c r="A767" s="61"/>
      <c r="C767" t="s">
        <v>784</v>
      </c>
      <c r="E767">
        <f>(E765/E766)</f>
        <v>14.700000000000001</v>
      </c>
    </row>
    <row r="768" spans="1:5" x14ac:dyDescent="0.25">
      <c r="A768" s="61"/>
      <c r="C768" t="s">
        <v>785</v>
      </c>
      <c r="E768">
        <f>E763/E766</f>
        <v>11.800000000000002</v>
      </c>
    </row>
    <row r="769" spans="1:15" ht="18.75" customHeight="1" x14ac:dyDescent="0.25">
      <c r="A769" s="61"/>
      <c r="C769" t="s">
        <v>786</v>
      </c>
      <c r="E769">
        <f>E764/E766</f>
        <v>12.699999999999998</v>
      </c>
    </row>
    <row r="770" spans="1:15" hidden="1" x14ac:dyDescent="0.25">
      <c r="A770" s="61"/>
      <c r="C770" t="s">
        <v>787</v>
      </c>
      <c r="E770">
        <f>12</f>
        <v>12</v>
      </c>
    </row>
    <row r="771" spans="1:15" ht="115.5" customHeight="1" x14ac:dyDescent="0.25">
      <c r="A771" s="61"/>
      <c r="C771" t="s">
        <v>788</v>
      </c>
      <c r="E771">
        <f>E765*E765/E770</f>
        <v>162.06750000000002</v>
      </c>
      <c r="G771" s="18" t="s">
        <v>200</v>
      </c>
      <c r="H771" s="47" t="s">
        <v>794</v>
      </c>
      <c r="I771" s="47" t="s">
        <v>797</v>
      </c>
      <c r="J771" s="47" t="s">
        <v>796</v>
      </c>
      <c r="K771" s="47" t="s">
        <v>795</v>
      </c>
      <c r="L771" s="47" t="s">
        <v>798</v>
      </c>
      <c r="M771" s="47" t="s">
        <v>799</v>
      </c>
      <c r="N771" s="47" t="s">
        <v>801</v>
      </c>
      <c r="O771" s="46"/>
    </row>
    <row r="772" spans="1:15" x14ac:dyDescent="0.25">
      <c r="A772" s="61"/>
      <c r="C772" t="s">
        <v>789</v>
      </c>
      <c r="E772">
        <f>6</f>
        <v>6</v>
      </c>
      <c r="G772" s="18">
        <v>1</v>
      </c>
      <c r="H772" s="18">
        <f>E765/G772</f>
        <v>44.1</v>
      </c>
      <c r="I772" s="18">
        <f>H772*H772*G772</f>
        <v>1944.8100000000002</v>
      </c>
      <c r="J772" s="18">
        <f>I772/2</f>
        <v>972.40500000000009</v>
      </c>
      <c r="K772" s="18">
        <f>E763/G772</f>
        <v>35.400000000000006</v>
      </c>
      <c r="L772" s="18">
        <f>E763*E763/G772</f>
        <v>1253.1600000000003</v>
      </c>
      <c r="M772" s="18">
        <f>L772/2</f>
        <v>626.58000000000015</v>
      </c>
      <c r="N772" s="46"/>
    </row>
    <row r="773" spans="1:15" x14ac:dyDescent="0.25">
      <c r="A773" s="61"/>
      <c r="C773" t="s">
        <v>790</v>
      </c>
      <c r="E773">
        <v>2</v>
      </c>
      <c r="G773" s="18">
        <v>2</v>
      </c>
      <c r="H773" s="18">
        <f>E765/G773</f>
        <v>22.05</v>
      </c>
      <c r="I773" s="18">
        <f t="shared" ref="I773:I786" si="68">H773*H773*G773</f>
        <v>972.40500000000009</v>
      </c>
      <c r="J773" s="18">
        <f>I773/2</f>
        <v>486.20250000000004</v>
      </c>
      <c r="K773" s="18">
        <f>E763/G773</f>
        <v>17.700000000000003</v>
      </c>
      <c r="L773" s="18">
        <f>E763*E763/G773</f>
        <v>626.58000000000015</v>
      </c>
      <c r="M773" s="18">
        <f>L773/2</f>
        <v>313.29000000000008</v>
      </c>
      <c r="N773" s="46"/>
    </row>
    <row r="774" spans="1:15" x14ac:dyDescent="0.25">
      <c r="A774" s="61"/>
      <c r="C774" t="s">
        <v>791</v>
      </c>
      <c r="E774">
        <f xml:space="preserve"> E772*E773</f>
        <v>12</v>
      </c>
      <c r="G774" s="18">
        <v>3</v>
      </c>
      <c r="H774" s="18">
        <f>E765/G774</f>
        <v>14.700000000000001</v>
      </c>
      <c r="I774" s="18">
        <f t="shared" si="68"/>
        <v>648.2700000000001</v>
      </c>
      <c r="J774" s="18">
        <f>I774/2</f>
        <v>324.13500000000005</v>
      </c>
      <c r="K774" s="18">
        <f>E763/G774</f>
        <v>11.800000000000002</v>
      </c>
      <c r="L774" s="18">
        <f>E763*E763/G774</f>
        <v>417.72000000000008</v>
      </c>
      <c r="M774" s="18">
        <f>L774/2</f>
        <v>208.86000000000004</v>
      </c>
    </row>
    <row r="775" spans="1:15" x14ac:dyDescent="0.25">
      <c r="A775" s="61"/>
      <c r="G775" s="18">
        <v>4</v>
      </c>
      <c r="H775" s="18">
        <f>E765/G775</f>
        <v>11.025</v>
      </c>
      <c r="I775" s="18">
        <f t="shared" si="68"/>
        <v>486.20250000000004</v>
      </c>
      <c r="J775" s="18">
        <f t="shared" ref="J775:J786" si="69">I775/2</f>
        <v>243.10125000000002</v>
      </c>
      <c r="K775" s="18">
        <f>E763/G775</f>
        <v>8.8500000000000014</v>
      </c>
      <c r="L775" s="18">
        <f>E763*E763/G775</f>
        <v>313.29000000000008</v>
      </c>
      <c r="M775" s="18">
        <f t="shared" ref="M775:M786" si="70">L775/2</f>
        <v>156.64500000000004</v>
      </c>
    </row>
    <row r="776" spans="1:15" x14ac:dyDescent="0.25">
      <c r="A776" s="61"/>
      <c r="C776" t="s">
        <v>792</v>
      </c>
      <c r="E776">
        <f>(POWER(E765,2))/(200*2)</f>
        <v>4.862025</v>
      </c>
      <c r="G776" s="18">
        <v>5</v>
      </c>
      <c r="H776" s="18">
        <f>E765/G776</f>
        <v>8.82</v>
      </c>
      <c r="I776" s="18">
        <f t="shared" si="68"/>
        <v>388.96199999999999</v>
      </c>
      <c r="J776" s="18">
        <f t="shared" si="69"/>
        <v>194.48099999999999</v>
      </c>
      <c r="K776" s="18">
        <f>E763/G776</f>
        <v>7.080000000000001</v>
      </c>
      <c r="L776" s="18">
        <f>E763*E763/G776</f>
        <v>250.63200000000006</v>
      </c>
      <c r="M776" s="18">
        <f t="shared" si="70"/>
        <v>125.31600000000003</v>
      </c>
      <c r="N776" t="s">
        <v>800</v>
      </c>
    </row>
    <row r="777" spans="1:15" x14ac:dyDescent="0.25">
      <c r="A777" s="61"/>
      <c r="C777" t="s">
        <v>793</v>
      </c>
      <c r="E777">
        <f>E765/E776</f>
        <v>9.0702947845804989</v>
      </c>
      <c r="G777" s="18">
        <v>6</v>
      </c>
      <c r="H777" s="18">
        <f>E765/G777</f>
        <v>7.3500000000000005</v>
      </c>
      <c r="I777" s="18">
        <f t="shared" si="68"/>
        <v>324.13500000000005</v>
      </c>
      <c r="J777" s="18">
        <f t="shared" si="69"/>
        <v>162.06750000000002</v>
      </c>
      <c r="K777" s="18">
        <f>E763/G777</f>
        <v>5.9000000000000012</v>
      </c>
      <c r="L777" s="18">
        <f>E763*E763/G777</f>
        <v>208.86000000000004</v>
      </c>
      <c r="M777" s="18">
        <f t="shared" si="70"/>
        <v>104.43000000000002</v>
      </c>
      <c r="N777" t="s">
        <v>802</v>
      </c>
    </row>
    <row r="778" spans="1:15" x14ac:dyDescent="0.25">
      <c r="A778" s="61"/>
      <c r="G778" s="18">
        <v>7</v>
      </c>
      <c r="H778" s="18">
        <f>E765/G778</f>
        <v>6.3</v>
      </c>
      <c r="I778" s="18">
        <f t="shared" si="68"/>
        <v>277.83</v>
      </c>
      <c r="J778" s="18">
        <f t="shared" si="69"/>
        <v>138.91499999999999</v>
      </c>
      <c r="K778" s="18">
        <f>E763/G778</f>
        <v>5.0571428571428578</v>
      </c>
      <c r="L778" s="18">
        <f>E763*E763/G778</f>
        <v>179.02285714285719</v>
      </c>
      <c r="M778" s="18">
        <f t="shared" si="70"/>
        <v>89.511428571428596</v>
      </c>
      <c r="N778" t="s">
        <v>803</v>
      </c>
    </row>
    <row r="779" spans="1:15" x14ac:dyDescent="0.25">
      <c r="G779" s="18">
        <v>8</v>
      </c>
      <c r="H779" s="18">
        <f>E765/G779</f>
        <v>5.5125000000000002</v>
      </c>
      <c r="I779" s="18">
        <f t="shared" si="68"/>
        <v>243.10125000000002</v>
      </c>
      <c r="J779" s="18">
        <f t="shared" si="69"/>
        <v>121.55062500000001</v>
      </c>
      <c r="K779" s="18">
        <f>E763/G779</f>
        <v>4.4250000000000007</v>
      </c>
      <c r="L779" s="18">
        <f>E763*E763/G779</f>
        <v>156.64500000000004</v>
      </c>
      <c r="M779" s="18">
        <f t="shared" si="70"/>
        <v>78.322500000000019</v>
      </c>
      <c r="N779" t="s">
        <v>804</v>
      </c>
    </row>
    <row r="780" spans="1:15" x14ac:dyDescent="0.25">
      <c r="G780" s="18">
        <v>9</v>
      </c>
      <c r="H780" s="18">
        <f>E765/G780</f>
        <v>4.9000000000000004</v>
      </c>
      <c r="I780" s="18">
        <f t="shared" si="68"/>
        <v>216.09000000000003</v>
      </c>
      <c r="J780" s="18">
        <f t="shared" si="69"/>
        <v>108.04500000000002</v>
      </c>
      <c r="K780" s="18">
        <f>E763/G780</f>
        <v>3.933333333333334</v>
      </c>
      <c r="L780" s="18">
        <f>E763*E763/G780</f>
        <v>139.24000000000004</v>
      </c>
      <c r="M780" s="18">
        <f t="shared" si="70"/>
        <v>69.620000000000019</v>
      </c>
      <c r="N780" t="s">
        <v>805</v>
      </c>
    </row>
    <row r="781" spans="1:15" x14ac:dyDescent="0.25">
      <c r="G781" s="18">
        <v>10</v>
      </c>
      <c r="H781" s="18">
        <f>E765/G781</f>
        <v>4.41</v>
      </c>
      <c r="I781" s="18">
        <f t="shared" si="68"/>
        <v>194.48099999999999</v>
      </c>
      <c r="J781" s="18">
        <f t="shared" si="69"/>
        <v>97.240499999999997</v>
      </c>
      <c r="K781" s="18">
        <f>E763/G781</f>
        <v>3.5400000000000005</v>
      </c>
      <c r="L781" s="18">
        <f>E763*E763/G781</f>
        <v>125.31600000000003</v>
      </c>
      <c r="M781" s="18">
        <f t="shared" si="70"/>
        <v>62.658000000000015</v>
      </c>
      <c r="N781" t="s">
        <v>806</v>
      </c>
    </row>
    <row r="782" spans="1:15" x14ac:dyDescent="0.25">
      <c r="A782" s="61" t="s">
        <v>890</v>
      </c>
      <c r="B782" t="s">
        <v>876</v>
      </c>
      <c r="C782" t="s">
        <v>875</v>
      </c>
      <c r="E782">
        <v>5</v>
      </c>
      <c r="F782" s="9" t="s">
        <v>21</v>
      </c>
      <c r="G782" s="18">
        <v>11</v>
      </c>
      <c r="H782" s="18">
        <f>E765/G782</f>
        <v>4.0090909090909088</v>
      </c>
      <c r="I782" s="18">
        <f t="shared" si="68"/>
        <v>176.80090909090904</v>
      </c>
      <c r="J782" s="18">
        <f t="shared" si="69"/>
        <v>88.400454545454522</v>
      </c>
      <c r="K782" s="18">
        <f>E763/G782</f>
        <v>3.2181818181818187</v>
      </c>
      <c r="L782" s="18">
        <f>E763*E763/G782</f>
        <v>113.92363636363639</v>
      </c>
      <c r="M782" s="18">
        <f t="shared" si="70"/>
        <v>56.961818181818195</v>
      </c>
      <c r="N782" t="s">
        <v>807</v>
      </c>
    </row>
    <row r="783" spans="1:15" x14ac:dyDescent="0.25">
      <c r="A783" s="61"/>
      <c r="B783" t="s">
        <v>878</v>
      </c>
      <c r="C783" t="s">
        <v>879</v>
      </c>
      <c r="E783">
        <f>2000</f>
        <v>2000</v>
      </c>
      <c r="F783" s="9" t="s">
        <v>24</v>
      </c>
      <c r="G783" s="18">
        <v>12</v>
      </c>
      <c r="H783" s="18">
        <f>E765/G783</f>
        <v>3.6750000000000003</v>
      </c>
      <c r="I783" s="18">
        <f t="shared" si="68"/>
        <v>162.06750000000002</v>
      </c>
      <c r="J783" s="18">
        <f t="shared" si="69"/>
        <v>81.033750000000012</v>
      </c>
      <c r="K783" s="18">
        <f>E763/G783</f>
        <v>2.9500000000000006</v>
      </c>
      <c r="L783" s="18">
        <f>E763*E763/G783</f>
        <v>104.43000000000002</v>
      </c>
      <c r="M783" s="18">
        <f t="shared" si="70"/>
        <v>52.215000000000011</v>
      </c>
      <c r="N783" t="s">
        <v>809</v>
      </c>
    </row>
    <row r="784" spans="1:15" x14ac:dyDescent="0.25">
      <c r="A784" s="61"/>
      <c r="B784" t="s">
        <v>877</v>
      </c>
      <c r="C784" t="s">
        <v>880</v>
      </c>
      <c r="E784">
        <f>((E782/1.23)-1)*E783</f>
        <v>6130.081300813009</v>
      </c>
      <c r="F784" s="9" t="s">
        <v>24</v>
      </c>
      <c r="G784" s="18">
        <v>13</v>
      </c>
      <c r="H784" s="18">
        <f>E765/G784</f>
        <v>3.3923076923076922</v>
      </c>
      <c r="I784" s="18">
        <f t="shared" si="68"/>
        <v>149.60076923076923</v>
      </c>
      <c r="J784" s="18">
        <f t="shared" si="69"/>
        <v>74.800384615384615</v>
      </c>
      <c r="K784" s="18">
        <f>E763/G784</f>
        <v>2.7230769230769236</v>
      </c>
      <c r="L784" s="18">
        <f>E763*E763/G784</f>
        <v>96.396923076923102</v>
      </c>
      <c r="M784" s="18">
        <f t="shared" si="70"/>
        <v>48.198461538461551</v>
      </c>
      <c r="N784" t="s">
        <v>808</v>
      </c>
    </row>
    <row r="785" spans="1:14" x14ac:dyDescent="0.25">
      <c r="A785" s="52"/>
      <c r="B785" t="s">
        <v>889</v>
      </c>
      <c r="C785" t="s">
        <v>895</v>
      </c>
      <c r="E785">
        <f>1/(31000*E784)</f>
        <v>5.26225720886455E-9</v>
      </c>
      <c r="F785" s="9" t="s">
        <v>23</v>
      </c>
      <c r="G785" s="18"/>
      <c r="H785" s="18"/>
      <c r="I785" s="18"/>
      <c r="J785" s="18"/>
      <c r="K785" s="18"/>
      <c r="L785" s="18"/>
      <c r="M785" s="18"/>
    </row>
    <row r="786" spans="1:14" x14ac:dyDescent="0.25">
      <c r="G786" s="18">
        <v>14</v>
      </c>
      <c r="H786" s="18">
        <f>E765/G786</f>
        <v>3.15</v>
      </c>
      <c r="I786" s="18">
        <f t="shared" si="68"/>
        <v>138.91499999999999</v>
      </c>
      <c r="J786" s="18">
        <f t="shared" si="69"/>
        <v>69.457499999999996</v>
      </c>
      <c r="K786" s="18">
        <f>E763/G786</f>
        <v>2.5285714285714289</v>
      </c>
      <c r="L786" s="18">
        <f>E763*E763/G786</f>
        <v>89.511428571428596</v>
      </c>
      <c r="M786" s="18">
        <f t="shared" si="70"/>
        <v>44.755714285714298</v>
      </c>
      <c r="N786" t="s">
        <v>810</v>
      </c>
    </row>
    <row r="787" spans="1:14" x14ac:dyDescent="0.25">
      <c r="A787" s="61" t="s">
        <v>891</v>
      </c>
      <c r="B787" t="s">
        <v>876</v>
      </c>
      <c r="C787" t="s">
        <v>875</v>
      </c>
      <c r="E787">
        <v>3.3</v>
      </c>
      <c r="F787" s="9" t="s">
        <v>21</v>
      </c>
    </row>
    <row r="788" spans="1:14" x14ac:dyDescent="0.25">
      <c r="A788" s="61"/>
      <c r="B788" t="s">
        <v>878</v>
      </c>
      <c r="C788" t="s">
        <v>879</v>
      </c>
      <c r="E788">
        <f>2000</f>
        <v>2000</v>
      </c>
      <c r="F788" s="9" t="s">
        <v>24</v>
      </c>
    </row>
    <row r="789" spans="1:14" x14ac:dyDescent="0.25">
      <c r="A789" s="61"/>
      <c r="B789" t="s">
        <v>877</v>
      </c>
      <c r="C789" t="s">
        <v>880</v>
      </c>
      <c r="E789">
        <f>((E787/1.23)-1)*E788</f>
        <v>3365.8536585365846</v>
      </c>
      <c r="F789" s="9" t="s">
        <v>24</v>
      </c>
    </row>
    <row r="790" spans="1:14" x14ac:dyDescent="0.25">
      <c r="B790" t="s">
        <v>889</v>
      </c>
      <c r="C790" t="s">
        <v>895</v>
      </c>
      <c r="E790">
        <f>1/(31000*E789)</f>
        <v>9.583917718560077E-9</v>
      </c>
      <c r="F790" s="9" t="s">
        <v>23</v>
      </c>
    </row>
    <row r="792" spans="1:14" x14ac:dyDescent="0.25">
      <c r="A792" s="61" t="s">
        <v>894</v>
      </c>
      <c r="B792" t="s">
        <v>876</v>
      </c>
      <c r="C792" t="s">
        <v>875</v>
      </c>
      <c r="E792">
        <v>10</v>
      </c>
      <c r="F792" s="9" t="s">
        <v>21</v>
      </c>
    </row>
    <row r="793" spans="1:14" x14ac:dyDescent="0.25">
      <c r="A793" s="61"/>
      <c r="B793" t="s">
        <v>878</v>
      </c>
      <c r="C793" t="s">
        <v>879</v>
      </c>
      <c r="E793">
        <f>2000</f>
        <v>2000</v>
      </c>
      <c r="F793" s="9" t="s">
        <v>24</v>
      </c>
    </row>
    <row r="794" spans="1:14" x14ac:dyDescent="0.25">
      <c r="A794" s="61"/>
      <c r="B794" t="s">
        <v>877</v>
      </c>
      <c r="C794" t="s">
        <v>880</v>
      </c>
      <c r="E794">
        <f>((E792/1.23)-1)*E793</f>
        <v>14260.162601626018</v>
      </c>
      <c r="F794" s="9" t="s">
        <v>24</v>
      </c>
    </row>
    <row r="795" spans="1:14" x14ac:dyDescent="0.25">
      <c r="B795" t="s">
        <v>889</v>
      </c>
      <c r="C795" t="s">
        <v>895</v>
      </c>
      <c r="E795">
        <f>1/(31000*E794)</f>
        <v>2.2621105675506673E-9</v>
      </c>
      <c r="F795" s="9" t="s">
        <v>23</v>
      </c>
    </row>
    <row r="797" spans="1:14" x14ac:dyDescent="0.25">
      <c r="A797" s="61" t="s">
        <v>892</v>
      </c>
      <c r="B797" t="s">
        <v>882</v>
      </c>
      <c r="C797" t="s">
        <v>881</v>
      </c>
      <c r="E797">
        <v>2</v>
      </c>
      <c r="F797" s="9" t="s">
        <v>21</v>
      </c>
    </row>
    <row r="798" spans="1:14" x14ac:dyDescent="0.25">
      <c r="A798" s="61"/>
      <c r="B798" t="s">
        <v>883</v>
      </c>
      <c r="C798" t="s">
        <v>884</v>
      </c>
      <c r="E798">
        <v>30</v>
      </c>
      <c r="F798" s="9" t="s">
        <v>21</v>
      </c>
    </row>
    <row r="799" spans="1:14" x14ac:dyDescent="0.25">
      <c r="A799" s="61"/>
      <c r="B799" t="s">
        <v>878</v>
      </c>
      <c r="C799" t="s">
        <v>879</v>
      </c>
      <c r="E799">
        <f>2000</f>
        <v>2000</v>
      </c>
      <c r="F799" s="9" t="s">
        <v>24</v>
      </c>
    </row>
    <row r="800" spans="1:14" x14ac:dyDescent="0.25">
      <c r="A800" s="61"/>
      <c r="B800" t="s">
        <v>888</v>
      </c>
      <c r="C800" t="s">
        <v>885</v>
      </c>
      <c r="E800">
        <f>((E797/1.23)-1)*E799</f>
        <v>1252.0325203252032</v>
      </c>
      <c r="F800" s="9" t="s">
        <v>24</v>
      </c>
    </row>
    <row r="801" spans="1:6" x14ac:dyDescent="0.25">
      <c r="A801" s="61"/>
      <c r="B801" t="s">
        <v>887</v>
      </c>
      <c r="C801" t="s">
        <v>886</v>
      </c>
      <c r="E801">
        <f>((E798/1.23)-1)*E799</f>
        <v>46780.487804878052</v>
      </c>
      <c r="F801" s="9" t="s">
        <v>24</v>
      </c>
    </row>
    <row r="802" spans="1:6" x14ac:dyDescent="0.25">
      <c r="A802" s="61"/>
      <c r="B802" t="s">
        <v>889</v>
      </c>
      <c r="C802" t="s">
        <v>895</v>
      </c>
      <c r="E802">
        <f>1/(31000*E800)</f>
        <v>2.5764558022622537E-8</v>
      </c>
      <c r="F802" s="9" t="s">
        <v>23</v>
      </c>
    </row>
    <row r="804" spans="1:6" x14ac:dyDescent="0.25">
      <c r="A804" s="61" t="s">
        <v>893</v>
      </c>
      <c r="B804" t="s">
        <v>882</v>
      </c>
      <c r="C804" t="s">
        <v>881</v>
      </c>
      <c r="E804">
        <v>9</v>
      </c>
      <c r="F804" s="9" t="s">
        <v>21</v>
      </c>
    </row>
    <row r="805" spans="1:6" x14ac:dyDescent="0.25">
      <c r="A805" s="61"/>
      <c r="B805" t="s">
        <v>883</v>
      </c>
      <c r="C805" t="s">
        <v>884</v>
      </c>
      <c r="E805">
        <v>20</v>
      </c>
      <c r="F805" s="9" t="s">
        <v>21</v>
      </c>
    </row>
    <row r="806" spans="1:6" x14ac:dyDescent="0.25">
      <c r="A806" s="61"/>
      <c r="B806" t="s">
        <v>878</v>
      </c>
      <c r="C806" t="s">
        <v>879</v>
      </c>
      <c r="E806">
        <f>2000</f>
        <v>2000</v>
      </c>
      <c r="F806" s="9" t="s">
        <v>24</v>
      </c>
    </row>
    <row r="807" spans="1:6" x14ac:dyDescent="0.25">
      <c r="A807" s="61"/>
      <c r="B807" t="s">
        <v>888</v>
      </c>
      <c r="C807" t="s">
        <v>885</v>
      </c>
      <c r="E807">
        <f>((E804/1.23)-1)*E806</f>
        <v>12634.146341463415</v>
      </c>
      <c r="F807" s="9" t="s">
        <v>24</v>
      </c>
    </row>
    <row r="808" spans="1:6" x14ac:dyDescent="0.25">
      <c r="A808" s="61"/>
      <c r="B808" t="s">
        <v>887</v>
      </c>
      <c r="C808" t="s">
        <v>886</v>
      </c>
      <c r="E808">
        <f>((E805/1.23)-1)*E806</f>
        <v>30520.325203252036</v>
      </c>
      <c r="F808" s="9" t="s">
        <v>24</v>
      </c>
    </row>
    <row r="809" spans="1:6" x14ac:dyDescent="0.25">
      <c r="A809" s="61"/>
      <c r="B809" t="s">
        <v>889</v>
      </c>
      <c r="C809" t="s">
        <v>895</v>
      </c>
      <c r="E809">
        <f>1/(31000*E807)</f>
        <v>2.5532444887283596E-9</v>
      </c>
      <c r="F809" s="9" t="s">
        <v>23</v>
      </c>
    </row>
  </sheetData>
  <mergeCells count="29">
    <mergeCell ref="A782:A784"/>
    <mergeCell ref="A787:A789"/>
    <mergeCell ref="A792:A794"/>
    <mergeCell ref="A797:A802"/>
    <mergeCell ref="A804:A809"/>
    <mergeCell ref="A31:A59"/>
    <mergeCell ref="A730:A755"/>
    <mergeCell ref="A228:A279"/>
    <mergeCell ref="G19:J22"/>
    <mergeCell ref="G29:K34"/>
    <mergeCell ref="A475:A541"/>
    <mergeCell ref="A20:A29"/>
    <mergeCell ref="A61:A69"/>
    <mergeCell ref="A71:A95"/>
    <mergeCell ref="A281:A302"/>
    <mergeCell ref="A316:A325"/>
    <mergeCell ref="A98:A169"/>
    <mergeCell ref="A171:A226"/>
    <mergeCell ref="A303:A315"/>
    <mergeCell ref="A716:A728"/>
    <mergeCell ref="A327:A367"/>
    <mergeCell ref="A369:A456"/>
    <mergeCell ref="A764:A778"/>
    <mergeCell ref="A458:A470"/>
    <mergeCell ref="A471:A474"/>
    <mergeCell ref="A690:A701"/>
    <mergeCell ref="A704:A713"/>
    <mergeCell ref="A671:A683"/>
    <mergeCell ref="A585:A656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760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487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392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64" t="s">
        <v>155</v>
      </c>
      <c r="B1" s="64"/>
    </row>
    <row r="18" spans="3:5" x14ac:dyDescent="0.25">
      <c r="C18" s="65" t="s">
        <v>167</v>
      </c>
      <c r="D18" s="66"/>
      <c r="E18" s="67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64" t="s">
        <v>166</v>
      </c>
      <c r="B1" s="64"/>
    </row>
    <row r="17" spans="1:4" x14ac:dyDescent="0.25">
      <c r="B17" s="65" t="s">
        <v>167</v>
      </c>
      <c r="C17" s="66"/>
      <c r="D17" s="67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64" t="s">
        <v>173</v>
      </c>
      <c r="B1" s="64"/>
    </row>
    <row r="17" spans="1:4" x14ac:dyDescent="0.25">
      <c r="B17" s="65" t="s">
        <v>167</v>
      </c>
      <c r="C17" s="66"/>
      <c r="D17" s="67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535</v>
      </c>
      <c r="T2">
        <v>399</v>
      </c>
    </row>
    <row r="3" spans="19:20" x14ac:dyDescent="0.25">
      <c r="S3" t="s">
        <v>548</v>
      </c>
      <c r="T3">
        <v>14000</v>
      </c>
    </row>
    <row r="4" spans="19:20" x14ac:dyDescent="0.25">
      <c r="S4" t="s">
        <v>569</v>
      </c>
      <c r="T4" s="1">
        <v>5.4399999999999996E-6</v>
      </c>
    </row>
    <row r="5" spans="19:20" x14ac:dyDescent="0.25">
      <c r="S5" t="s">
        <v>537</v>
      </c>
      <c r="T5">
        <v>40</v>
      </c>
    </row>
    <row r="6" spans="19:20" x14ac:dyDescent="0.25">
      <c r="S6" t="s">
        <v>538</v>
      </c>
      <c r="T6">
        <v>20</v>
      </c>
    </row>
    <row r="7" spans="19:20" x14ac:dyDescent="0.25">
      <c r="S7" t="s">
        <v>540</v>
      </c>
      <c r="T7">
        <v>1E-4</v>
      </c>
    </row>
    <row r="8" spans="19:20" x14ac:dyDescent="0.25">
      <c r="S8" t="s">
        <v>542</v>
      </c>
      <c r="T8">
        <f>POWER(T4/T7, 0.5)</f>
        <v>0.23323807579381201</v>
      </c>
    </row>
    <row r="9" spans="19:20" x14ac:dyDescent="0.25">
      <c r="S9" t="s">
        <v>541</v>
      </c>
      <c r="T9">
        <v>0.1</v>
      </c>
    </row>
    <row r="10" spans="19:20" x14ac:dyDescent="0.25">
      <c r="S10" t="s">
        <v>571</v>
      </c>
      <c r="T10">
        <f>T9/T12</f>
        <v>2.2471910112359553E-3</v>
      </c>
    </row>
    <row r="11" spans="19:20" x14ac:dyDescent="0.25">
      <c r="S11" t="s">
        <v>536</v>
      </c>
      <c r="T11">
        <f>T9/T12</f>
        <v>2.2471910112359553E-3</v>
      </c>
    </row>
    <row r="12" spans="19:20" x14ac:dyDescent="0.25">
      <c r="S12" t="s">
        <v>539</v>
      </c>
      <c r="T12">
        <v>44.5</v>
      </c>
    </row>
    <row r="13" spans="19:20" x14ac:dyDescent="0.25">
      <c r="S13" t="s">
        <v>565</v>
      </c>
      <c r="T13">
        <f>T6-POWER(POWER((T9-(T11*T12))/T8, 2)+POWER(T6, 2), 0.5)</f>
        <v>0</v>
      </c>
    </row>
    <row r="14" spans="19:20" x14ac:dyDescent="0.25">
      <c r="S14" t="s">
        <v>566</v>
      </c>
      <c r="T14">
        <f>(1/T11)*(T13-T6)</f>
        <v>-8899.9999999999982</v>
      </c>
    </row>
    <row r="15" spans="19:20" x14ac:dyDescent="0.25">
      <c r="S15" t="s">
        <v>567</v>
      </c>
      <c r="T15">
        <f>T13-T14</f>
        <v>8899.9999999999982</v>
      </c>
    </row>
    <row r="16" spans="19:20" x14ac:dyDescent="0.25">
      <c r="S16" t="s">
        <v>568</v>
      </c>
      <c r="T16">
        <f>T5</f>
        <v>40</v>
      </c>
    </row>
    <row r="17" spans="19:21" x14ac:dyDescent="0.25">
      <c r="S17" t="s">
        <v>540</v>
      </c>
      <c r="T17">
        <f>T4*POWER(T5, 2)/POWER(T9-(T3/T2), 2)</f>
        <v>7.1102949277174389E-6</v>
      </c>
    </row>
    <row r="18" spans="19:21" x14ac:dyDescent="0.25">
      <c r="S18" t="s">
        <v>570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680</v>
      </c>
      <c r="B3" t="s">
        <v>679</v>
      </c>
      <c r="C3" t="s">
        <v>129</v>
      </c>
      <c r="D3" t="s">
        <v>681</v>
      </c>
    </row>
    <row r="4" spans="1:5" x14ac:dyDescent="0.25">
      <c r="A4" t="s">
        <v>678</v>
      </c>
      <c r="B4" t="s">
        <v>683</v>
      </c>
      <c r="D4">
        <v>12</v>
      </c>
      <c r="E4" t="s">
        <v>690</v>
      </c>
    </row>
    <row r="5" spans="1:5" x14ac:dyDescent="0.25">
      <c r="A5" t="s">
        <v>682</v>
      </c>
      <c r="B5" t="s">
        <v>687</v>
      </c>
      <c r="D5">
        <v>5</v>
      </c>
      <c r="E5" t="s">
        <v>689</v>
      </c>
    </row>
    <row r="6" spans="1:5" x14ac:dyDescent="0.25">
      <c r="A6" t="s">
        <v>684</v>
      </c>
      <c r="B6" t="s">
        <v>686</v>
      </c>
      <c r="D6">
        <v>8</v>
      </c>
      <c r="E6" t="s">
        <v>691</v>
      </c>
    </row>
    <row r="7" spans="1:5" x14ac:dyDescent="0.25">
      <c r="A7" t="s">
        <v>685</v>
      </c>
      <c r="B7" t="s">
        <v>683</v>
      </c>
      <c r="D7">
        <v>4</v>
      </c>
      <c r="E7" t="s">
        <v>688</v>
      </c>
    </row>
    <row r="8" spans="1:5" x14ac:dyDescent="0.25">
      <c r="A8" t="s">
        <v>678</v>
      </c>
      <c r="B8" t="s">
        <v>686</v>
      </c>
      <c r="D8">
        <v>4</v>
      </c>
      <c r="E8" t="s">
        <v>690</v>
      </c>
    </row>
    <row r="9" spans="1:5" x14ac:dyDescent="0.25">
      <c r="A9" t="s">
        <v>684</v>
      </c>
      <c r="B9" t="s">
        <v>693</v>
      </c>
      <c r="D9">
        <v>4</v>
      </c>
      <c r="E9" t="s">
        <v>692</v>
      </c>
    </row>
    <row r="10" spans="1:5" x14ac:dyDescent="0.25">
      <c r="A10" t="s">
        <v>695</v>
      </c>
      <c r="E10" t="s">
        <v>694</v>
      </c>
    </row>
    <row r="11" spans="1:5" x14ac:dyDescent="0.25">
      <c r="A11" t="s">
        <v>682</v>
      </c>
      <c r="B11" t="s">
        <v>696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2026-01-24T09:14:50Z</dcterms:modified>
</cp:coreProperties>
</file>