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3395" windowHeight="3930" tabRatio="615"/>
  </bookViews>
  <sheets>
    <sheet name="Driver And Controller" sheetId="1" r:id="rId1"/>
    <sheet name="Villard Diode PCB Calcs" sheetId="2" r:id="rId2"/>
    <sheet name="Villard Capacitor PCB Calcs" sheetId="3" r:id="rId3"/>
    <sheet name="Villard Capacitor Bleeder Calcs" sheetId="4" r:id="rId4"/>
    <sheet name="Output Series Compsite Resistor" sheetId="5" r:id="rId5"/>
    <sheet name="Regenerative snubber design" sheetId="6" r:id="rId6"/>
    <sheet name="Active Cooling" sheetId="8" r:id="rId7"/>
    <sheet name="Sheet3" sheetId="9" r:id="rId8"/>
  </sheets>
  <calcPr calcId="144525"/>
</workbook>
</file>

<file path=xl/calcChain.xml><?xml version="1.0" encoding="utf-8"?>
<calcChain xmlns="http://schemas.openxmlformats.org/spreadsheetml/2006/main">
  <c r="D116" i="1" l="1"/>
  <c r="D392" i="1" l="1"/>
  <c r="D98" i="1"/>
  <c r="M639" i="1"/>
  <c r="M640" i="1"/>
  <c r="M641" i="1"/>
  <c r="M642" i="1"/>
  <c r="M643" i="1"/>
  <c r="M644" i="1"/>
  <c r="M645" i="1"/>
  <c r="M646" i="1"/>
  <c r="M647" i="1"/>
  <c r="M648" i="1"/>
  <c r="M649" i="1"/>
  <c r="M638" i="1"/>
  <c r="M637" i="1"/>
  <c r="M636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J639" i="1"/>
  <c r="J640" i="1"/>
  <c r="J641" i="1"/>
  <c r="J642" i="1"/>
  <c r="J643" i="1"/>
  <c r="J644" i="1"/>
  <c r="J645" i="1"/>
  <c r="J646" i="1"/>
  <c r="J647" i="1"/>
  <c r="J648" i="1"/>
  <c r="J649" i="1"/>
  <c r="J638" i="1"/>
  <c r="J637" i="1"/>
  <c r="J636" i="1"/>
  <c r="H649" i="1"/>
  <c r="I649" i="1" s="1"/>
  <c r="H648" i="1"/>
  <c r="H647" i="1"/>
  <c r="I647" i="1" s="1"/>
  <c r="H646" i="1"/>
  <c r="I646" i="1" s="1"/>
  <c r="H645" i="1"/>
  <c r="I645" i="1" s="1"/>
  <c r="H644" i="1"/>
  <c r="I644" i="1" s="1"/>
  <c r="H643" i="1"/>
  <c r="I643" i="1" s="1"/>
  <c r="H642" i="1"/>
  <c r="H641" i="1"/>
  <c r="I641" i="1" s="1"/>
  <c r="H640" i="1"/>
  <c r="I640" i="1" s="1"/>
  <c r="H639" i="1"/>
  <c r="I639" i="1" s="1"/>
  <c r="I648" i="1"/>
  <c r="H638" i="1"/>
  <c r="I638" i="1" s="1"/>
  <c r="I642" i="1"/>
  <c r="H637" i="1"/>
  <c r="I637" i="1" s="1"/>
  <c r="I636" i="1"/>
  <c r="H636" i="1"/>
  <c r="E641" i="1"/>
  <c r="E640" i="1"/>
  <c r="E638" i="1"/>
  <c r="E636" i="1"/>
  <c r="E635" i="1"/>
  <c r="E634" i="1"/>
  <c r="E633" i="1"/>
  <c r="E632" i="1"/>
  <c r="E631" i="1"/>
  <c r="E628" i="1"/>
  <c r="E629" i="1"/>
  <c r="E627" i="1"/>
  <c r="D52" i="1" l="1"/>
  <c r="D54" i="1" s="1"/>
  <c r="D57" i="1" s="1"/>
  <c r="D59" i="1" s="1"/>
  <c r="D58" i="1"/>
  <c r="D49" i="1"/>
  <c r="D53" i="1" l="1"/>
  <c r="D47" i="1"/>
  <c r="E602" i="1" l="1"/>
  <c r="E607" i="1" s="1"/>
  <c r="E608" i="1" s="1"/>
  <c r="E619" i="1"/>
  <c r="E620" i="1"/>
  <c r="E621" i="1"/>
  <c r="E623" i="1"/>
  <c r="E624" i="1" s="1"/>
  <c r="D528" i="1" l="1"/>
  <c r="D527" i="1"/>
  <c r="D521" i="1"/>
  <c r="D526" i="1" s="1"/>
  <c r="D531" i="1" l="1"/>
  <c r="D530" i="1"/>
  <c r="D581" i="1"/>
  <c r="D582" i="1" s="1"/>
  <c r="D583" i="1" s="1"/>
  <c r="D571" i="1"/>
  <c r="D569" i="1"/>
  <c r="D557" i="1"/>
  <c r="D558" i="1" s="1"/>
  <c r="D556" i="1"/>
  <c r="D561" i="1" s="1"/>
  <c r="D564" i="1" s="1"/>
  <c r="D369" i="1"/>
  <c r="D368" i="1"/>
  <c r="D559" i="1" l="1"/>
  <c r="D371" i="1"/>
  <c r="D572" i="1"/>
  <c r="D574" i="1"/>
  <c r="D575" i="1" s="1"/>
  <c r="D576" i="1" s="1"/>
  <c r="D562" i="1"/>
  <c r="D563" i="1" s="1"/>
  <c r="D577" i="1"/>
  <c r="F541" i="1" l="1"/>
  <c r="G541" i="1"/>
  <c r="H541" i="1"/>
  <c r="F542" i="1"/>
  <c r="G542" i="1"/>
  <c r="H542" i="1"/>
  <c r="E544" i="1"/>
  <c r="F544" i="1"/>
  <c r="F546" i="1" s="1"/>
  <c r="G544" i="1"/>
  <c r="G546" i="1" s="1"/>
  <c r="H544" i="1"/>
  <c r="H545" i="1" s="1"/>
  <c r="F545" i="1"/>
  <c r="D544" i="1"/>
  <c r="E535" i="1"/>
  <c r="E538" i="1" s="1"/>
  <c r="J538" i="1"/>
  <c r="F539" i="1"/>
  <c r="G539" i="1"/>
  <c r="H539" i="1"/>
  <c r="I539" i="1"/>
  <c r="H538" i="1"/>
  <c r="I538" i="1"/>
  <c r="F538" i="1"/>
  <c r="G538" i="1"/>
  <c r="G545" i="1" l="1"/>
  <c r="E542" i="1"/>
  <c r="E545" i="1"/>
  <c r="E539" i="1"/>
  <c r="H546" i="1"/>
  <c r="E541" i="1"/>
  <c r="E546" i="1"/>
  <c r="D266" i="1" l="1"/>
  <c r="D306" i="1" l="1"/>
  <c r="D313" i="1" l="1"/>
  <c r="E247" i="1"/>
  <c r="F247" i="1" s="1"/>
  <c r="G247" i="1" s="1"/>
  <c r="D244" i="1" l="1"/>
  <c r="E244" i="1" s="1"/>
  <c r="G244" i="1" s="1"/>
  <c r="I244" i="1" s="1"/>
  <c r="K244" i="1" s="1"/>
  <c r="J253" i="1"/>
  <c r="M253" i="1"/>
  <c r="L253" i="1"/>
  <c r="H247" i="1"/>
  <c r="I247" i="1" s="1"/>
  <c r="J247" i="1" s="1"/>
  <c r="K247" i="1" s="1"/>
  <c r="H242" i="1"/>
  <c r="I242" i="1" s="1"/>
  <c r="J242" i="1" s="1"/>
  <c r="K242" i="1" s="1"/>
  <c r="K237" i="1"/>
  <c r="J237" i="1"/>
  <c r="I237" i="1"/>
  <c r="D104" i="1"/>
  <c r="D235" i="1"/>
  <c r="D350" i="1" s="1"/>
  <c r="F244" i="1" l="1"/>
  <c r="H244" i="1" s="1"/>
  <c r="J244" i="1" s="1"/>
  <c r="T11" i="6" l="1"/>
  <c r="U18" i="6" s="1"/>
  <c r="T10" i="6"/>
  <c r="T8" i="6"/>
  <c r="T16" i="6"/>
  <c r="E235" i="1"/>
  <c r="F235" i="1" s="1"/>
  <c r="G235" i="1" s="1"/>
  <c r="H235" i="1" s="1"/>
  <c r="I235" i="1" s="1"/>
  <c r="J235" i="1" s="1"/>
  <c r="K235" i="1" s="1"/>
  <c r="D236" i="1"/>
  <c r="D239" i="1"/>
  <c r="E239" i="1" s="1"/>
  <c r="F239" i="1" s="1"/>
  <c r="G239" i="1" s="1"/>
  <c r="H239" i="1" s="1"/>
  <c r="D240" i="1"/>
  <c r="E240" i="1" s="1"/>
  <c r="F240" i="1" s="1"/>
  <c r="G240" i="1" s="1"/>
  <c r="H240" i="1" s="1"/>
  <c r="I240" i="1" s="1"/>
  <c r="D171" i="1"/>
  <c r="D181" i="1"/>
  <c r="J240" i="1" l="1"/>
  <c r="H245" i="1"/>
  <c r="I239" i="1"/>
  <c r="J239" i="1" s="1"/>
  <c r="K239" i="1" s="1"/>
  <c r="T18" i="6"/>
  <c r="E236" i="1"/>
  <c r="D197" i="1"/>
  <c r="K205" i="1"/>
  <c r="N205" i="1"/>
  <c r="M202" i="1"/>
  <c r="D196" i="1"/>
  <c r="N200" i="1"/>
  <c r="N201" i="1"/>
  <c r="N202" i="1"/>
  <c r="N203" i="1"/>
  <c r="N204" i="1"/>
  <c r="N199" i="1"/>
  <c r="M201" i="1"/>
  <c r="K201" i="1"/>
  <c r="K200" i="1"/>
  <c r="M200" i="1"/>
  <c r="K202" i="1"/>
  <c r="K203" i="1"/>
  <c r="K204" i="1"/>
  <c r="M199" i="1"/>
  <c r="K199" i="1"/>
  <c r="D507" i="1"/>
  <c r="D506" i="1"/>
  <c r="D501" i="1"/>
  <c r="D500" i="1"/>
  <c r="D495" i="1"/>
  <c r="D6" i="1"/>
  <c r="D5" i="1"/>
  <c r="D535" i="1" s="1"/>
  <c r="D499" i="1"/>
  <c r="D496" i="1"/>
  <c r="D539" i="1" l="1"/>
  <c r="D546" i="1"/>
  <c r="D538" i="1"/>
  <c r="D542" i="1"/>
  <c r="D541" i="1"/>
  <c r="D545" i="1"/>
  <c r="D508" i="1"/>
  <c r="D514" i="1" s="1"/>
  <c r="D518" i="1"/>
  <c r="D517" i="1"/>
  <c r="D516" i="1" s="1"/>
  <c r="D107" i="1"/>
  <c r="D105" i="1" s="1"/>
  <c r="D106" i="1" s="1"/>
  <c r="H236" i="1"/>
  <c r="I245" i="1"/>
  <c r="K240" i="1"/>
  <c r="K245" i="1" s="1"/>
  <c r="J245" i="1"/>
  <c r="D473" i="1"/>
  <c r="D474" i="1" s="1"/>
  <c r="F236" i="1"/>
  <c r="D245" i="1"/>
  <c r="D510" i="1"/>
  <c r="D513" i="1" s="1"/>
  <c r="D509" i="1"/>
  <c r="D515" i="1" s="1"/>
  <c r="D502" i="1"/>
  <c r="D503" i="1"/>
  <c r="I236" i="1" l="1"/>
  <c r="G236" i="1"/>
  <c r="D511" i="1"/>
  <c r="D461" i="1"/>
  <c r="D463" i="1"/>
  <c r="D462" i="1"/>
  <c r="D488" i="1"/>
  <c r="D520" i="1" l="1"/>
  <c r="D524" i="1" s="1"/>
  <c r="D532" i="1" s="1"/>
  <c r="D533" i="1" s="1"/>
  <c r="D519" i="1"/>
  <c r="J236" i="1"/>
  <c r="D464" i="1"/>
  <c r="D487" i="1"/>
  <c r="D491" i="1" s="1"/>
  <c r="D489" i="1"/>
  <c r="D482" i="1"/>
  <c r="D481" i="1"/>
  <c r="D479" i="1"/>
  <c r="D457" i="1" s="1"/>
  <c r="D477" i="1"/>
  <c r="D475" i="1"/>
  <c r="D451" i="1"/>
  <c r="D449" i="1"/>
  <c r="D410" i="1"/>
  <c r="D409" i="1"/>
  <c r="D411" i="1"/>
  <c r="D408" i="1"/>
  <c r="D429" i="1"/>
  <c r="D430" i="1"/>
  <c r="D382" i="1"/>
  <c r="D419" i="1"/>
  <c r="D398" i="1"/>
  <c r="D381" i="1"/>
  <c r="D362" i="1"/>
  <c r="D357" i="1"/>
  <c r="D327" i="1"/>
  <c r="D349" i="1" s="1"/>
  <c r="D347" i="1"/>
  <c r="D345" i="1"/>
  <c r="D342" i="1"/>
  <c r="D343" i="1" s="1"/>
  <c r="D339" i="1"/>
  <c r="D212" i="1"/>
  <c r="D413" i="1" l="1"/>
  <c r="K236" i="1"/>
  <c r="D412" i="1"/>
  <c r="D433" i="1"/>
  <c r="D476" i="1"/>
  <c r="D490" i="1"/>
  <c r="D492" i="1"/>
  <c r="D483" i="1"/>
  <c r="D484" i="1" s="1"/>
  <c r="D485" i="1" s="1"/>
  <c r="D486" i="1" s="1"/>
  <c r="D426" i="1"/>
  <c r="D427" i="1" s="1"/>
  <c r="D406" i="1"/>
  <c r="D417" i="1" s="1"/>
  <c r="D344" i="1"/>
  <c r="D348" i="1"/>
  <c r="D324" i="1"/>
  <c r="D317" i="1"/>
  <c r="D295" i="1"/>
  <c r="D298" i="1"/>
  <c r="D300" i="1" s="1"/>
  <c r="D301" i="1" s="1"/>
  <c r="D293" i="1"/>
  <c r="D291" i="1"/>
  <c r="D290" i="1"/>
  <c r="D285" i="1"/>
  <c r="D224" i="1"/>
  <c r="D225" i="1" s="1"/>
  <c r="D223" i="1"/>
  <c r="D218" i="1"/>
  <c r="D219" i="1" s="1"/>
  <c r="D221" i="1" s="1"/>
  <c r="D216" i="1"/>
  <c r="D173" i="1"/>
  <c r="D126" i="1"/>
  <c r="D139" i="1" s="1"/>
  <c r="D282" i="1" l="1"/>
  <c r="D281" i="1"/>
  <c r="D294" i="1"/>
  <c r="D436" i="1"/>
  <c r="D434" i="1"/>
  <c r="D435" i="1" s="1"/>
  <c r="D414" i="1"/>
  <c r="D415" i="1" s="1"/>
  <c r="D428" i="1"/>
  <c r="D423" i="1"/>
  <c r="D422" i="1"/>
  <c r="D424" i="1" s="1"/>
  <c r="D416" i="1"/>
  <c r="D418" i="1" s="1"/>
  <c r="D319" i="1"/>
  <c r="D320" i="1" s="1"/>
  <c r="D325" i="1"/>
  <c r="D286" i="1"/>
  <c r="D287" i="1" s="1"/>
  <c r="D226" i="1"/>
  <c r="D283" i="1"/>
  <c r="D220" i="1"/>
  <c r="D222" i="1" s="1"/>
  <c r="D146" i="1"/>
  <c r="D152" i="1"/>
  <c r="D153" i="1" s="1"/>
  <c r="D150" i="1"/>
  <c r="D135" i="1"/>
  <c r="D127" i="1"/>
  <c r="D128" i="1" s="1"/>
  <c r="C36" i="5"/>
  <c r="C37" i="5" s="1"/>
  <c r="C35" i="5"/>
  <c r="C31" i="5"/>
  <c r="C30" i="5"/>
  <c r="C29" i="5"/>
  <c r="C25" i="5"/>
  <c r="C27" i="5" s="1"/>
  <c r="C23" i="5"/>
  <c r="C21" i="5"/>
  <c r="C34" i="5" s="1"/>
  <c r="C19" i="5"/>
  <c r="D284" i="1" l="1"/>
  <c r="D441" i="1"/>
  <c r="D437" i="1"/>
  <c r="D288" i="1"/>
  <c r="D155" i="1"/>
  <c r="D123" i="1"/>
  <c r="D124" i="1" s="1"/>
  <c r="D130" i="1" s="1"/>
  <c r="D154" i="1"/>
  <c r="C26" i="5"/>
  <c r="D438" i="1" l="1"/>
  <c r="D156" i="1"/>
  <c r="D161" i="1" s="1"/>
  <c r="C37" i="4"/>
  <c r="C36" i="4"/>
  <c r="C25" i="4"/>
  <c r="C19" i="4"/>
  <c r="C23" i="4"/>
  <c r="C21" i="4"/>
  <c r="C34" i="4" s="1"/>
  <c r="C35" i="4"/>
  <c r="C31" i="4"/>
  <c r="C30" i="4"/>
  <c r="C29" i="4"/>
  <c r="C27" i="4"/>
  <c r="C26" i="4"/>
  <c r="D33" i="3"/>
  <c r="D32" i="3"/>
  <c r="D20" i="3"/>
  <c r="D25" i="3"/>
  <c r="D24" i="3"/>
  <c r="D29" i="3"/>
  <c r="D28" i="3"/>
  <c r="D27" i="3"/>
  <c r="C19" i="2"/>
  <c r="C18" i="2"/>
  <c r="C17" i="2"/>
  <c r="C9" i="2"/>
  <c r="C10" i="2" s="1"/>
  <c r="C7" i="2"/>
  <c r="C14" i="2" s="1"/>
  <c r="C5" i="2"/>
  <c r="C6" i="2" s="1"/>
  <c r="C13" i="2" s="1"/>
  <c r="D11" i="1"/>
  <c r="D73" i="1"/>
  <c r="D65" i="1"/>
  <c r="D72" i="1"/>
  <c r="R63" i="1"/>
  <c r="R62" i="1"/>
  <c r="R61" i="1"/>
  <c r="D10" i="1"/>
  <c r="D75" i="1" l="1"/>
  <c r="D76" i="1" s="1"/>
  <c r="C8" i="2"/>
  <c r="C15" i="2" s="1"/>
  <c r="R64" i="1"/>
  <c r="R66" i="1" s="1"/>
  <c r="R65" i="1"/>
  <c r="R67" i="1" s="1"/>
  <c r="D77" i="1" l="1"/>
  <c r="D78" i="1" s="1"/>
  <c r="D79" i="1" s="1"/>
  <c r="D91" i="1" s="1"/>
  <c r="D88" i="1" l="1"/>
  <c r="D89" i="1"/>
  <c r="D90" i="1"/>
  <c r="D23" i="1" l="1"/>
  <c r="D13" i="1"/>
  <c r="D32" i="1" l="1"/>
  <c r="D35" i="1" s="1"/>
  <c r="D38" i="1" s="1"/>
  <c r="D39" i="1" s="1"/>
  <c r="D113" i="1"/>
  <c r="D176" i="1"/>
  <c r="D450" i="1"/>
  <c r="D174" i="1"/>
  <c r="D237" i="1" s="1"/>
  <c r="H237" i="1" s="1"/>
  <c r="D164" i="1"/>
  <c r="D37" i="1" l="1"/>
  <c r="D383" i="1"/>
  <c r="D439" i="1" s="1"/>
  <c r="D234" i="1"/>
  <c r="D251" i="1" s="1"/>
  <c r="D114" i="1"/>
  <c r="D111" i="1"/>
  <c r="D112" i="1" s="1"/>
  <c r="D206" i="1"/>
  <c r="D328" i="1"/>
  <c r="D332" i="1" s="1"/>
  <c r="D108" i="1"/>
  <c r="D149" i="1" s="1"/>
  <c r="D158" i="1" s="1"/>
  <c r="D172" i="1"/>
  <c r="D238" i="1" s="1"/>
  <c r="D452" i="1"/>
  <c r="D466" i="1" s="1"/>
  <c r="D465" i="1"/>
  <c r="D199" i="1"/>
  <c r="D201" i="1" s="1"/>
  <c r="D202" i="1" s="1"/>
  <c r="D109" i="1"/>
  <c r="D110" i="1" s="1"/>
  <c r="D443" i="1"/>
  <c r="D446" i="1" s="1"/>
  <c r="D442" i="1"/>
  <c r="D445" i="1" s="1"/>
  <c r="D468" i="1"/>
  <c r="D469" i="1" s="1"/>
  <c r="D40" i="1"/>
  <c r="D41" i="1" s="1"/>
  <c r="D46" i="1" s="1"/>
  <c r="D43" i="1"/>
  <c r="D42" i="1"/>
  <c r="D115" i="1"/>
  <c r="D387" i="1" l="1"/>
  <c r="D388" i="1"/>
  <c r="D385" i="1"/>
  <c r="D440" i="1" s="1"/>
  <c r="D444" i="1" s="1"/>
  <c r="D447" i="1" s="1"/>
  <c r="D390" i="1"/>
  <c r="D151" i="1"/>
  <c r="D117" i="1"/>
  <c r="D129" i="1" s="1"/>
  <c r="D131" i="1" s="1"/>
  <c r="D132" i="1" s="1"/>
  <c r="D133" i="1" s="1"/>
  <c r="D134" i="1" s="1"/>
  <c r="D141" i="1" s="1"/>
  <c r="D142" i="1" s="1"/>
  <c r="D159" i="1"/>
  <c r="D420" i="1"/>
  <c r="D421" i="1" s="1"/>
  <c r="D160" i="1"/>
  <c r="D162" i="1" s="1"/>
  <c r="D358" i="1"/>
  <c r="D361" i="1" s="1"/>
  <c r="D351" i="1"/>
  <c r="D352" i="1" s="1"/>
  <c r="D331" i="1"/>
  <c r="D454" i="1"/>
  <c r="D456" i="1" s="1"/>
  <c r="D471" i="1" s="1"/>
  <c r="E234" i="1"/>
  <c r="F234" i="1" s="1"/>
  <c r="G234" i="1" s="1"/>
  <c r="H234" i="1" s="1"/>
  <c r="I234" i="1" s="1"/>
  <c r="J234" i="1" s="1"/>
  <c r="K234" i="1" s="1"/>
  <c r="D178" i="1"/>
  <c r="D180" i="1" s="1"/>
  <c r="E238" i="1"/>
  <c r="F238" i="1" s="1"/>
  <c r="G238" i="1" s="1"/>
  <c r="H238" i="1" s="1"/>
  <c r="I238" i="1" s="1"/>
  <c r="J238" i="1" s="1"/>
  <c r="K238" i="1" s="1"/>
  <c r="D467" i="1"/>
  <c r="D168" i="1"/>
  <c r="D169" i="1" s="1"/>
  <c r="G10" i="1"/>
  <c r="D21" i="1"/>
  <c r="D26" i="1"/>
  <c r="D233" i="1" l="1"/>
  <c r="D232" i="1"/>
  <c r="D353" i="1"/>
  <c r="D364" i="1" s="1"/>
  <c r="D372" i="1" s="1"/>
  <c r="D374" i="1" s="1"/>
  <c r="D376" i="1" s="1"/>
  <c r="D119" i="1"/>
  <c r="D389" i="1"/>
  <c r="D391" i="1"/>
  <c r="D400" i="1" s="1"/>
  <c r="D163" i="1"/>
  <c r="E595" i="1" s="1"/>
  <c r="D360" i="1"/>
  <c r="D177" i="1"/>
  <c r="D182" i="1" s="1"/>
  <c r="D209" i="1" s="1"/>
  <c r="D136" i="1"/>
  <c r="D138" i="1" s="1"/>
  <c r="D166" i="1"/>
  <c r="D165" i="1"/>
  <c r="D15" i="1"/>
  <c r="D74" i="1"/>
  <c r="D44" i="1" s="1"/>
  <c r="D95" i="1"/>
  <c r="D94" i="1"/>
  <c r="D93" i="1"/>
  <c r="D92" i="1"/>
  <c r="D66" i="1"/>
  <c r="D67" i="1" s="1"/>
  <c r="E593" i="1" s="1"/>
  <c r="D27" i="1"/>
  <c r="E594" i="1" s="1"/>
  <c r="D63" i="1"/>
  <c r="D64" i="1" s="1"/>
  <c r="D401" i="1" l="1"/>
  <c r="D404" i="1" s="1"/>
  <c r="E596" i="1"/>
  <c r="E603" i="1" s="1"/>
  <c r="E609" i="1" s="1"/>
  <c r="E610" i="1" s="1"/>
  <c r="E611" i="1" s="1"/>
  <c r="E612" i="1" s="1"/>
  <c r="D250" i="1"/>
  <c r="D256" i="1" s="1"/>
  <c r="D252" i="1"/>
  <c r="D253" i="1" s="1"/>
  <c r="D183" i="1"/>
  <c r="D184" i="1" s="1"/>
  <c r="E233" i="1"/>
  <c r="F233" i="1" s="1"/>
  <c r="G233" i="1" s="1"/>
  <c r="H233" i="1" s="1"/>
  <c r="D246" i="1"/>
  <c r="D248" i="1" s="1"/>
  <c r="E232" i="1"/>
  <c r="D243" i="1"/>
  <c r="D207" i="1"/>
  <c r="D185" i="1"/>
  <c r="D29" i="1"/>
  <c r="D68" i="1"/>
  <c r="D69" i="1" s="1"/>
  <c r="D97" i="1"/>
  <c r="D402" i="1" l="1"/>
  <c r="E614" i="1"/>
  <c r="E615" i="1" s="1"/>
  <c r="E616" i="1" s="1"/>
  <c r="E617" i="1" s="1"/>
  <c r="D264" i="1"/>
  <c r="D333" i="1"/>
  <c r="D303" i="1" s="1"/>
  <c r="D270" i="1"/>
  <c r="D267" i="1"/>
  <c r="D268" i="1" s="1"/>
  <c r="D254" i="1"/>
  <c r="D255" i="1" s="1"/>
  <c r="D259" i="1" s="1"/>
  <c r="D258" i="1"/>
  <c r="D263" i="1" s="1"/>
  <c r="D257" i="1"/>
  <c r="D262" i="1" s="1"/>
  <c r="I233" i="1"/>
  <c r="F232" i="1"/>
  <c r="D186" i="1"/>
  <c r="D188" i="1" s="1"/>
  <c r="D190" i="1"/>
  <c r="D261" i="1" l="1"/>
  <c r="D260" i="1"/>
  <c r="D312" i="1"/>
  <c r="D314" i="1" s="1"/>
  <c r="D307" i="1"/>
  <c r="J233" i="1"/>
  <c r="E245" i="1"/>
  <c r="E246" i="1"/>
  <c r="E248" i="1" s="1"/>
  <c r="G232" i="1"/>
  <c r="H232" i="1" s="1"/>
  <c r="D335" i="1"/>
  <c r="D189" i="1"/>
  <c r="D192" i="1"/>
  <c r="D198" i="1"/>
  <c r="D309" i="1" l="1"/>
  <c r="D308" i="1"/>
  <c r="D310" i="1" s="1"/>
  <c r="I232" i="1"/>
  <c r="H246" i="1"/>
  <c r="H248" i="1" s="1"/>
  <c r="K233" i="1"/>
  <c r="F245" i="1"/>
  <c r="F246" i="1"/>
  <c r="G245" i="1"/>
  <c r="G246" i="1"/>
  <c r="D203" i="1"/>
  <c r="D204" i="1" s="1"/>
  <c r="D205" i="1" s="1"/>
  <c r="D200" i="1"/>
  <c r="T17" i="6"/>
  <c r="F248" i="1" l="1"/>
  <c r="J232" i="1"/>
  <c r="I246" i="1"/>
  <c r="I248" i="1" s="1"/>
  <c r="G248" i="1"/>
  <c r="T13" i="6"/>
  <c r="K232" i="1" l="1"/>
  <c r="K246" i="1" s="1"/>
  <c r="K248" i="1" s="1"/>
  <c r="J246" i="1"/>
  <c r="J248" i="1" s="1"/>
  <c r="T14" i="6"/>
  <c r="T15" i="6" s="1"/>
</calcChain>
</file>

<file path=xl/sharedStrings.xml><?xml version="1.0" encoding="utf-8"?>
<sst xmlns="http://schemas.openxmlformats.org/spreadsheetml/2006/main" count="1113" uniqueCount="817">
  <si>
    <t>N stages required</t>
  </si>
  <si>
    <t>Maximum steady state output current</t>
  </si>
  <si>
    <t>Maximum diode current pulse</t>
  </si>
  <si>
    <t>Maximum diode current pulse with safety factor</t>
  </si>
  <si>
    <t>Safety factor</t>
  </si>
  <si>
    <t>Capacitance per stage</t>
  </si>
  <si>
    <t>Energy stored in single fully charged capacitor</t>
  </si>
  <si>
    <t>Diode steady state forward voltage</t>
  </si>
  <si>
    <t>Approximate forward voltage drop during sudden discharge (overestimate)</t>
  </si>
  <si>
    <t>Maximum sudden short circuit current through each side</t>
  </si>
  <si>
    <t>Energy into diode during sudden discharge (gross overestimate assuming all energy from capacitors)</t>
  </si>
  <si>
    <t>Maximum total diode steady state power loss</t>
  </si>
  <si>
    <t>Maximum diode steady state power loss (assuming conducting all the time)</t>
  </si>
  <si>
    <t>Maximum discharged capacitor voltage</t>
  </si>
  <si>
    <t>Maximum resistance required for desired discharge time or less</t>
  </si>
  <si>
    <t>Total power loss through discharge resistors</t>
  </si>
  <si>
    <t>Actual distcharge resistance</t>
  </si>
  <si>
    <t>Maximum voltage per stage</t>
  </si>
  <si>
    <t>Total steady state power losses</t>
  </si>
  <si>
    <t>Units</t>
  </si>
  <si>
    <t>A</t>
  </si>
  <si>
    <t>V</t>
  </si>
  <si>
    <t>W</t>
  </si>
  <si>
    <t>F</t>
  </si>
  <si>
    <t>Ω</t>
  </si>
  <si>
    <t>J</t>
  </si>
  <si>
    <t>Maximum full mltiplier voltage after discharge</t>
  </si>
  <si>
    <t>Maximum energy into each resistor from sudden short circuit (ignoring diode voltage drop)</t>
  </si>
  <si>
    <t>Diode power losses</t>
  </si>
  <si>
    <t>Maximum allowed capacitor discharge time</t>
  </si>
  <si>
    <t>Capacitor discharge resistor</t>
  </si>
  <si>
    <t>Possible component</t>
  </si>
  <si>
    <t>Actual discharge time</t>
  </si>
  <si>
    <t>https://www.mouser.co.uk/datasheet/2/281/MHR0422SA_series_data_sheet-1594297.pdf</t>
  </si>
  <si>
    <t>This certainly seems to be the best part. Use two in series</t>
  </si>
  <si>
    <t>Peak current DCM</t>
  </si>
  <si>
    <t>Efficiency</t>
  </si>
  <si>
    <t>V_in_min</t>
  </si>
  <si>
    <t>V_in_max</t>
  </si>
  <si>
    <t>D_max</t>
  </si>
  <si>
    <t>Peak current DCM theoretical efficient</t>
  </si>
  <si>
    <t>I_p_peak</t>
  </si>
  <si>
    <t>Maximum duty cycle</t>
  </si>
  <si>
    <t>Maximum voltage to drive primary of transformer</t>
  </si>
  <si>
    <t>Minimum voltage to drive primary of transformer</t>
  </si>
  <si>
    <t>L_p</t>
  </si>
  <si>
    <t>Primary inductance required</t>
  </si>
  <si>
    <t>Switching frequency</t>
  </si>
  <si>
    <t>f_sw</t>
  </si>
  <si>
    <t>Secondary inductance required</t>
  </si>
  <si>
    <t>n</t>
  </si>
  <si>
    <t>A_l</t>
  </si>
  <si>
    <t>nano henries per turn squared</t>
  </si>
  <si>
    <t>N_p</t>
  </si>
  <si>
    <t>Number of primary turns required</t>
  </si>
  <si>
    <t>B_max</t>
  </si>
  <si>
    <t>Maximum flux density</t>
  </si>
  <si>
    <t>A_e</t>
  </si>
  <si>
    <t>B_sat</t>
  </si>
  <si>
    <t>Saturation flux density</t>
  </si>
  <si>
    <t>Will saturate</t>
  </si>
  <si>
    <t>V_out_min</t>
  </si>
  <si>
    <t>V_out_d_max</t>
  </si>
  <si>
    <t>Output voltage desired at maximum duty cycle</t>
  </si>
  <si>
    <t>I_s_peak</t>
  </si>
  <si>
    <t>Peak secondary current DCM</t>
  </si>
  <si>
    <t>Peak secondary current safe for diodes</t>
  </si>
  <si>
    <t>I_o</t>
  </si>
  <si>
    <t>L_s_required</t>
  </si>
  <si>
    <t>Secondary inductance</t>
  </si>
  <si>
    <t>Value</t>
  </si>
  <si>
    <t>Enough stages</t>
  </si>
  <si>
    <t>Diode output current with safety factor</t>
  </si>
  <si>
    <t>Hz</t>
  </si>
  <si>
    <t>Minimum desired output voltage at full power</t>
  </si>
  <si>
    <t>Maximum desired output voltage at full power</t>
  </si>
  <si>
    <t>V_out_max</t>
  </si>
  <si>
    <t>Maximum power output desired</t>
  </si>
  <si>
    <t>Iopmax</t>
  </si>
  <si>
    <t>maximum output current</t>
  </si>
  <si>
    <t>Rout</t>
  </si>
  <si>
    <t xml:space="preserve">output resistance required </t>
  </si>
  <si>
    <t>I_vomaxpmax</t>
  </si>
  <si>
    <t>continuous output current for desired output power at maximum voltage</t>
  </si>
  <si>
    <t>I_vominpmax</t>
  </si>
  <si>
    <t>continuous output current for desired output power at minimum voltage</t>
  </si>
  <si>
    <t>voltage drop at max output voltage</t>
  </si>
  <si>
    <t>voltage drop at minimum output voltage</t>
  </si>
  <si>
    <t>resistor power at max output voltage</t>
  </si>
  <si>
    <t>resistor power at minimum output voltage</t>
  </si>
  <si>
    <t>capacitor energy change per cycle</t>
  </si>
  <si>
    <t>capacitor discharge to per cycle</t>
  </si>
  <si>
    <t>lower voltage per cycle</t>
  </si>
  <si>
    <t>Voltage ripple</t>
  </si>
  <si>
    <t>Y5T tanδ best case</t>
  </si>
  <si>
    <t>Y5T tanδ worst case</t>
  </si>
  <si>
    <t>N4700 best case</t>
  </si>
  <si>
    <t>N4700 worst case</t>
  </si>
  <si>
    <t>Y6P best case</t>
  </si>
  <si>
    <t>Y6P worst case</t>
  </si>
  <si>
    <t>Y5P best case</t>
  </si>
  <si>
    <t>I_FSM</t>
  </si>
  <si>
    <t>Diode Average output current</t>
  </si>
  <si>
    <t>Villard Diode</t>
  </si>
  <si>
    <t>N Stages Actual</t>
  </si>
  <si>
    <t>N_v</t>
  </si>
  <si>
    <t>N_v_r</t>
  </si>
  <si>
    <t>Power wasted per stage while running from discharge resistor</t>
  </si>
  <si>
    <t>Discharges quickly enough</t>
  </si>
  <si>
    <t>Villard capacitor</t>
  </si>
  <si>
    <t>Y5T worst case power loss per capacitor</t>
  </si>
  <si>
    <t>N4700 worst case loss per capacitor</t>
  </si>
  <si>
    <t>Y6P worst case power loss per capacitor</t>
  </si>
  <si>
    <t>Y5P worst case</t>
  </si>
  <si>
    <t>Y5P worst case power loss per capacitor</t>
  </si>
  <si>
    <t>Y5T worst case power loss total</t>
  </si>
  <si>
    <t>N4700 worst case loss total</t>
  </si>
  <si>
    <t>Y6P worst case power loss total</t>
  </si>
  <si>
    <t>Y5P worst case power loss total</t>
  </si>
  <si>
    <t>V_c_rms</t>
  </si>
  <si>
    <t>Capacitor RMS voltage ripple</t>
  </si>
  <si>
    <t>Capacitor reactive power</t>
  </si>
  <si>
    <t xml:space="preserve">P_c_rms </t>
  </si>
  <si>
    <t>dV_c</t>
  </si>
  <si>
    <t>E_c_max</t>
  </si>
  <si>
    <t>Flyback transformer</t>
  </si>
  <si>
    <t>Minimum total series resistance required</t>
  </si>
  <si>
    <t>Actual individual series resistor value</t>
  </si>
  <si>
    <t>N series resistors</t>
  </si>
  <si>
    <t>Description</t>
  </si>
  <si>
    <t>Variable</t>
  </si>
  <si>
    <t>Subsystem/Component</t>
  </si>
  <si>
    <t>Output current limiting composite series resistor</t>
  </si>
  <si>
    <t>Actual series resistance</t>
  </si>
  <si>
    <t>Minimum steady state output current at maximum voltage</t>
  </si>
  <si>
    <t>Total energy stored in all fully charged capacitors at maximum voltage</t>
  </si>
  <si>
    <t>Tolerance</t>
  </si>
  <si>
    <t>Inches to mm</t>
  </si>
  <si>
    <t>L</t>
  </si>
  <si>
    <t>mm</t>
  </si>
  <si>
    <t>L_max</t>
  </si>
  <si>
    <t>d</t>
  </si>
  <si>
    <t>d_max</t>
  </si>
  <si>
    <t>D</t>
  </si>
  <si>
    <t>Space between case and pcb</t>
  </si>
  <si>
    <t>Bend radius</t>
  </si>
  <si>
    <t>Pad spacing distance</t>
  </si>
  <si>
    <t>Minimum hole size</t>
  </si>
  <si>
    <t>Maximum hole size</t>
  </si>
  <si>
    <t>Pad Size Smallest Pad (Standard)</t>
  </si>
  <si>
    <t>More Reliable Pad (Recommended)</t>
  </si>
  <si>
    <t>Extra Strong (Power Applications)</t>
  </si>
  <si>
    <t>Actual hole size using</t>
  </si>
  <si>
    <t>Actual pad size using</t>
  </si>
  <si>
    <t>T_max</t>
  </si>
  <si>
    <t>AXCT81D20KV102K</t>
  </si>
  <si>
    <t>F_max</t>
  </si>
  <si>
    <t>Silkscreen clearance</t>
  </si>
  <si>
    <t>Silkscreen ractangle Width</t>
  </si>
  <si>
    <t>Siklscreen rectangle Height</t>
  </si>
  <si>
    <t>H</t>
  </si>
  <si>
    <t>H_max</t>
  </si>
  <si>
    <t>P</t>
  </si>
  <si>
    <t>P_max</t>
  </si>
  <si>
    <t>Pad spacing</t>
  </si>
  <si>
    <t>Space between pads</t>
  </si>
  <si>
    <t>HVR82MZ1005</t>
  </si>
  <si>
    <t>PCB Footprint Calculations</t>
  </si>
  <si>
    <t>%</t>
  </si>
  <si>
    <t>Maximum series resistance</t>
  </si>
  <si>
    <t>Minimum series resistance</t>
  </si>
  <si>
    <t>Power per resistor at lowest rated output voltage</t>
  </si>
  <si>
    <t>Maximum possible power loss with maximum flyback secondary current (limited to protect diodes)</t>
  </si>
  <si>
    <t>HVR82MY5010</t>
  </si>
  <si>
    <t>N_s</t>
  </si>
  <si>
    <t>Number of secondary turns required</t>
  </si>
  <si>
    <t>N bobbin segments</t>
  </si>
  <si>
    <t>Turns per bobbin segment</t>
  </si>
  <si>
    <t>Actual length for windings</t>
  </si>
  <si>
    <t>Segment length</t>
  </si>
  <si>
    <t>Wire thickness</t>
  </si>
  <si>
    <t>Winding space tolerance</t>
  </si>
  <si>
    <t>Winding thickness with tolerance</t>
  </si>
  <si>
    <t>N turns along segment length</t>
  </si>
  <si>
    <t>N 2mm dividers required not counting air gap one</t>
  </si>
  <si>
    <t>Bobin length for windings not counting air gap</t>
  </si>
  <si>
    <t>Average turn radius</t>
  </si>
  <si>
    <t>inner bobbin diameter</t>
  </si>
  <si>
    <t>Wire length meters</t>
  </si>
  <si>
    <t>Wire radius meters</t>
  </si>
  <si>
    <t>Wire volume</t>
  </si>
  <si>
    <t>Density of wire</t>
  </si>
  <si>
    <t>kg/m^3</t>
  </si>
  <si>
    <t>Mass of wire required</t>
  </si>
  <si>
    <t>Winding height</t>
  </si>
  <si>
    <t>N windings high</t>
  </si>
  <si>
    <t>132.2 longest dimension both cores</t>
  </si>
  <si>
    <t>~ 84.1 internal both sides together longest dimension for bobin lengths</t>
  </si>
  <si>
    <t>Average turn radius primary</t>
  </si>
  <si>
    <t>Wire conductive core thickness</t>
  </si>
  <si>
    <t>Resistance</t>
  </si>
  <si>
    <t>Resistivity</t>
  </si>
  <si>
    <t>Power loss</t>
  </si>
  <si>
    <t>Primary wire connections total length</t>
  </si>
  <si>
    <t>Primary winding wire length meters</t>
  </si>
  <si>
    <t>mm (included skin effect from 2mm, take this out put in proper equations)</t>
  </si>
  <si>
    <t>skin depth</t>
  </si>
  <si>
    <t>skin depth mm</t>
  </si>
  <si>
    <t>wire cross sectional area</t>
  </si>
  <si>
    <t>Wire conductive radius</t>
  </si>
  <si>
    <t>non conducting area due to skin effect</t>
  </si>
  <si>
    <t>conducting cross sectional area</t>
  </si>
  <si>
    <t>m</t>
  </si>
  <si>
    <t>m^2</t>
  </si>
  <si>
    <t>ohms</t>
  </si>
  <si>
    <t>Total length</t>
  </si>
  <si>
    <t>Total surface area windng excluding ends</t>
  </si>
  <si>
    <t>Resistance winding</t>
  </si>
  <si>
    <t>Resistance connection wire length</t>
  </si>
  <si>
    <t>Total resistance</t>
  </si>
  <si>
    <t>Power loss winding</t>
  </si>
  <si>
    <t>Power loss connecton wire</t>
  </si>
  <si>
    <t>Total Power loss</t>
  </si>
  <si>
    <t>Heat flux winding</t>
  </si>
  <si>
    <t>watts/m^2</t>
  </si>
  <si>
    <t>Wire cross sectonal area</t>
  </si>
  <si>
    <t>watts</t>
  </si>
  <si>
    <t xml:space="preserve">Turns per segment. </t>
  </si>
  <si>
    <t>Vsn</t>
  </si>
  <si>
    <t>t_s</t>
  </si>
  <si>
    <t>t_s valid</t>
  </si>
  <si>
    <t>Leakage inductance seen from primary</t>
  </si>
  <si>
    <t>desired_dV_sn</t>
  </si>
  <si>
    <t>R_sn_actual</t>
  </si>
  <si>
    <t>C_sn_desired</t>
  </si>
  <si>
    <t>R_sn_desired</t>
  </si>
  <si>
    <t>C_sn_actual</t>
  </si>
  <si>
    <t>Clamp voltage</t>
  </si>
  <si>
    <t>V_reflected</t>
  </si>
  <si>
    <t>n_p/n_s turns ratio</t>
  </si>
  <si>
    <t>I_peak</t>
  </si>
  <si>
    <t>L_lk1</t>
  </si>
  <si>
    <t>P_sn_nominal</t>
  </si>
  <si>
    <t>P_sn_rated</t>
  </si>
  <si>
    <t>Power resistor must be rated for</t>
  </si>
  <si>
    <t>Acceptable voltage ripple across C in volts</t>
  </si>
  <si>
    <t>Actual voltage ripple</t>
  </si>
  <si>
    <r>
      <t xml:space="preserve">Times reflected voltage 2-2.5 is typical. Too low (&lt; 1.5×) - Snubber absorbs too much energy unnecessarily. | Too high (&gt; 3×) | - Voltage spike may exceed MOSFET drain rating - Core reset might be incomplete - Clamping may not happen at all. | Just right (2.0–2.5×) | - Leaves room for normal operation + leakage spike - Allows full transfer to secondary - Captures only the excess energy </t>
    </r>
    <r>
      <rPr>
        <b/>
        <sz val="11"/>
        <color theme="1"/>
        <rFont val="Calibri"/>
        <family val="2"/>
        <scheme val="minor"/>
      </rPr>
      <t>- Keeps losses manageable</t>
    </r>
  </si>
  <si>
    <t>Maximum feedback voltage</t>
  </si>
  <si>
    <t>Safe maximum voltage from MOSFET</t>
  </si>
  <si>
    <t>Snubber voltage feedback divider ratio</t>
  </si>
  <si>
    <t>Clamp zener diode leakage current</t>
  </si>
  <si>
    <t>Total power at maximum voltage</t>
  </si>
  <si>
    <t>R_snfb_H</t>
  </si>
  <si>
    <t>R_snfb_L</t>
  </si>
  <si>
    <t>R_snfb_total</t>
  </si>
  <si>
    <t>I_snfb_ max</t>
  </si>
  <si>
    <t>P_snfb_H</t>
  </si>
  <si>
    <t>P_snfb_L</t>
  </si>
  <si>
    <t>P_snfb_total</t>
  </si>
  <si>
    <t>V_snfb_min</t>
  </si>
  <si>
    <t>Esp32 adc n values</t>
  </si>
  <si>
    <t>Input voltage resolution</t>
  </si>
  <si>
    <t>Snubber feedback resolution</t>
  </si>
  <si>
    <t>Current at lowest feedback voltage</t>
  </si>
  <si>
    <t>V_tap at lowest input voltage</t>
  </si>
  <si>
    <t>V_tap at lowest input voltage with no zener diode</t>
  </si>
  <si>
    <t>proportion drift at lowest input voltage</t>
  </si>
  <si>
    <t>V_tap at minimum drive voltage</t>
  </si>
  <si>
    <t>V_tap at minimum drive voltage no tap</t>
  </si>
  <si>
    <t>proportion drift at minimum drive voltage</t>
  </si>
  <si>
    <t>as proportion of adc step</t>
  </si>
  <si>
    <t>Chosen zener diode</t>
  </si>
  <si>
    <t>1N4619</t>
  </si>
  <si>
    <t>Req</t>
  </si>
  <si>
    <t>Maximum capacitance adc pin</t>
  </si>
  <si>
    <t>Rzen_max</t>
  </si>
  <si>
    <t>R_snfb_L_suggested</t>
  </si>
  <si>
    <t>Bulk Capacitor (Electrolytic): Low-Frequency Energy Storage minimum capacitance</t>
  </si>
  <si>
    <t>Acceptible input voltage ripple</t>
  </si>
  <si>
    <t>∆V_in</t>
  </si>
  <si>
    <t>I_in</t>
  </si>
  <si>
    <t>Bulk Capacitor energy at Vin_max</t>
  </si>
  <si>
    <t>R_sfb_i</t>
  </si>
  <si>
    <t>R_sfb_i_required</t>
  </si>
  <si>
    <t>Multiple V_in_max should tollerate</t>
  </si>
  <si>
    <t>R_pfb_L</t>
  </si>
  <si>
    <t>R_pfb_H</t>
  </si>
  <si>
    <t>Maximum input voltage for range</t>
  </si>
  <si>
    <t>Divider multiple</t>
  </si>
  <si>
    <t>R_pfb_H_required</t>
  </si>
  <si>
    <t>C_pfb</t>
  </si>
  <si>
    <t>R_pfb_eq</t>
  </si>
  <si>
    <t>C_sn_n</t>
  </si>
  <si>
    <t>N paralle capacitors</t>
  </si>
  <si>
    <t>Proportion inductance is leakage</t>
  </si>
  <si>
    <t>I_sn_leak</t>
  </si>
  <si>
    <t>I_sn_rated_min</t>
  </si>
  <si>
    <t>I_sn_individual_rated_min</t>
  </si>
  <si>
    <t>I_sn_fsm_requried</t>
  </si>
  <si>
    <t>E_leak</t>
  </si>
  <si>
    <t>Q</t>
  </si>
  <si>
    <t>I_f(av)</t>
  </si>
  <si>
    <t>Driver MOSFET</t>
  </si>
  <si>
    <t>P_on</t>
  </si>
  <si>
    <t>R_DS(on)</t>
  </si>
  <si>
    <t>Continuous Drain Current</t>
  </si>
  <si>
    <t>I_d_required</t>
  </si>
  <si>
    <t>V_ds_required</t>
  </si>
  <si>
    <t>Q_gs</t>
  </si>
  <si>
    <t>Q_gd</t>
  </si>
  <si>
    <t>Q_g</t>
  </si>
  <si>
    <t>Total gate charge</t>
  </si>
  <si>
    <t>I_g</t>
  </si>
  <si>
    <t>switching time</t>
  </si>
  <si>
    <t>V_drive</t>
  </si>
  <si>
    <t>R_drive</t>
  </si>
  <si>
    <t>Maximum drive current</t>
  </si>
  <si>
    <t>Maximum drive current allowed</t>
  </si>
  <si>
    <t>Maximum drive current rating of gate driver</t>
  </si>
  <si>
    <t>Maximum drive current can safely use</t>
  </si>
  <si>
    <t>P_sw</t>
  </si>
  <si>
    <t>t_s_on</t>
  </si>
  <si>
    <t>t_s_off</t>
  </si>
  <si>
    <t>Time to switch off</t>
  </si>
  <si>
    <t>Tiome to switch on</t>
  </si>
  <si>
    <t>V_ds_actual</t>
  </si>
  <si>
    <t>V_DS</t>
  </si>
  <si>
    <t>I_DS</t>
  </si>
  <si>
    <t>Vgs which Q_g is for</t>
  </si>
  <si>
    <t>R_pulldown</t>
  </si>
  <si>
    <t>t_off_pulldown</t>
  </si>
  <si>
    <t>Passive off time without gate driver from pulldown resistor. For example on loss of power</t>
  </si>
  <si>
    <t>V_gs(th)</t>
  </si>
  <si>
    <t>I_DM</t>
  </si>
  <si>
    <t>Maximum pulsed drain current</t>
  </si>
  <si>
    <t>I_D25</t>
  </si>
  <si>
    <t>Pulldown great (less or equal to I_D25)</t>
  </si>
  <si>
    <t>Pulldown acceptible (less or equal to I_DM)</t>
  </si>
  <si>
    <t>P_Rpd</t>
  </si>
  <si>
    <t>Pulldown resistor power</t>
  </si>
  <si>
    <t>P_TOTAL</t>
  </si>
  <si>
    <t>s</t>
  </si>
  <si>
    <t>C</t>
  </si>
  <si>
    <t>V_ds high enough</t>
  </si>
  <si>
    <t>Max current reached in passive gate-off scenario (at peak current)</t>
  </si>
  <si>
    <t>P_gate</t>
  </si>
  <si>
    <t>Power for switching (power required to drive gate on and off)</t>
  </si>
  <si>
    <t>τ_sfb_cadc</t>
  </si>
  <si>
    <t>P_pfb_max</t>
  </si>
  <si>
    <t>Primary Current Feedback</t>
  </si>
  <si>
    <t>R_pcfb_sense</t>
  </si>
  <si>
    <t>Sense resistance</t>
  </si>
  <si>
    <t>V_pcfb_sense</t>
  </si>
  <si>
    <t>Multiple of peak current desired for top of range</t>
  </si>
  <si>
    <t>Voltage across sense resistor at peak primary current</t>
  </si>
  <si>
    <t>Peak current should be designed  for</t>
  </si>
  <si>
    <t>Resistor power at maximum current rated for</t>
  </si>
  <si>
    <t>P_pcfb_sense_max</t>
  </si>
  <si>
    <t>V_R_pcfb_sense_peak</t>
  </si>
  <si>
    <t>V_R_pcfb_sense_max</t>
  </si>
  <si>
    <t>Voltage across sense resistor at peak max current</t>
  </si>
  <si>
    <t>ADC input voltage desired at maximum current</t>
  </si>
  <si>
    <t>R_pcfb_f</t>
  </si>
  <si>
    <t>R_pcfb_i</t>
  </si>
  <si>
    <t>R_pcfb_i_required</t>
  </si>
  <si>
    <t>Operational amplifier Input offset voltage</t>
  </si>
  <si>
    <t>V_os</t>
  </si>
  <si>
    <t>I_b</t>
  </si>
  <si>
    <t>Operational amplifier input bias current</t>
  </si>
  <si>
    <t>Gain Bandwidth Product (GBWP)</t>
  </si>
  <si>
    <t>GBWP</t>
  </si>
  <si>
    <t>SR</t>
  </si>
  <si>
    <t>Slew Rate</t>
  </si>
  <si>
    <t>SR_normalized</t>
  </si>
  <si>
    <t>Slew Rate Normalized</t>
  </si>
  <si>
    <t>V/s</t>
  </si>
  <si>
    <t>mV/us</t>
  </si>
  <si>
    <t>CMRR</t>
  </si>
  <si>
    <t>Common Mode Input Range</t>
  </si>
  <si>
    <t>dB</t>
  </si>
  <si>
    <t>Gain required</t>
  </si>
  <si>
    <t>Actual value</t>
  </si>
  <si>
    <t>Actual gain</t>
  </si>
  <si>
    <t>R_pcfb_f/R_pcfb_i required</t>
  </si>
  <si>
    <t>Minimum measureable current from input offset voltage</t>
  </si>
  <si>
    <t>I_pcfb_sense_min</t>
  </si>
  <si>
    <t>BW</t>
  </si>
  <si>
    <t>Gain acceptible</t>
  </si>
  <si>
    <t>GBWP Acceptible (BW&gt;=f_sw)</t>
  </si>
  <si>
    <t>Minimum slew rate required</t>
  </si>
  <si>
    <t>Slew rate high enough</t>
  </si>
  <si>
    <t>Minimum GBWP required</t>
  </si>
  <si>
    <t>Operational amplifier</t>
  </si>
  <si>
    <t>Operational amplifier part</t>
  </si>
  <si>
    <t>MCP6021-E/P</t>
  </si>
  <si>
    <t>A_v_required</t>
  </si>
  <si>
    <t>Gain_db_required</t>
  </si>
  <si>
    <t>A_v</t>
  </si>
  <si>
    <t>Gain_db</t>
  </si>
  <si>
    <t>CMRR acceptible (larger than Gain_db)</t>
  </si>
  <si>
    <t>Minimum measurable current required</t>
  </si>
  <si>
    <t>Input offset voltage acceptible</t>
  </si>
  <si>
    <t>P_pcfb_sense_peak</t>
  </si>
  <si>
    <t>Resistor power under normal conditions reaching peak primary current</t>
  </si>
  <si>
    <t>R_eq-</t>
  </si>
  <si>
    <t>R_eq+</t>
  </si>
  <si>
    <r>
      <t>Differential input-referred voltage offset</t>
    </r>
    <r>
      <rPr>
        <sz val="11"/>
        <color theme="1"/>
        <rFont val="Calibri"/>
        <family val="2"/>
        <scheme val="minor"/>
      </rPr>
      <t xml:space="preserve"> due to bias currents.</t>
    </r>
  </si>
  <si>
    <t>V_os_input</t>
  </si>
  <si>
    <t>V_os_amp</t>
  </si>
  <si>
    <t>Input Offset Voltage</t>
  </si>
  <si>
    <t>V_os_total</t>
  </si>
  <si>
    <t>A_v_max</t>
  </si>
  <si>
    <t>Maximum gain for resistor tollerances</t>
  </si>
  <si>
    <t>R_pcfb_f and R_pcfb_i tolerance</t>
  </si>
  <si>
    <t>R_pcfb_f_max</t>
  </si>
  <si>
    <t>R_pcfb_f_min</t>
  </si>
  <si>
    <t>R_pcfb_i_max</t>
  </si>
  <si>
    <t>R_pcfb_i_min</t>
  </si>
  <si>
    <t>A_v_min</t>
  </si>
  <si>
    <t>Maximum proportion variation in A_v</t>
  </si>
  <si>
    <t>Maximum % variation in A_v</t>
  </si>
  <si>
    <t>V_nominal</t>
  </si>
  <si>
    <t>Voltage on ADC input for 1A input</t>
  </si>
  <si>
    <t>V_gain_error</t>
  </si>
  <si>
    <t>V_error_total_1A</t>
  </si>
  <si>
    <t>V_error_total_I_peak</t>
  </si>
  <si>
    <t>V_error_total_I_max</t>
  </si>
  <si>
    <t>V_adc to current multiplier</t>
  </si>
  <si>
    <t>I_error_total_1A</t>
  </si>
  <si>
    <t>I_error_total_I_peak</t>
  </si>
  <si>
    <t>I_error_total_I_max</t>
  </si>
  <si>
    <t>Q_c</t>
  </si>
  <si>
    <t>Charge per cycle</t>
  </si>
  <si>
    <t>Peak primary current at end of t_on</t>
  </si>
  <si>
    <t>Duty cycle at peak primary current</t>
  </si>
  <si>
    <t>ΔV_max</t>
  </si>
  <si>
    <t>Scaling factor for burst handling and ripple smoothing</t>
  </si>
  <si>
    <t>f_c</t>
  </si>
  <si>
    <t>cutoff frequency for good attenuation</t>
  </si>
  <si>
    <t>L_lp</t>
  </si>
  <si>
    <t>C_lp_tank_desired</t>
  </si>
  <si>
    <t>C_lp_tank_min</t>
  </si>
  <si>
    <t>L_lp_min</t>
  </si>
  <si>
    <t>Minimum desired low-pass filter inductance</t>
  </si>
  <si>
    <t>f_c_desired</t>
  </si>
  <si>
    <t>Actual cutoff frequency</t>
  </si>
  <si>
    <t>C_lp</t>
  </si>
  <si>
    <t>Actual tank capacitance</t>
  </si>
  <si>
    <t>Attenuation(dB)</t>
  </si>
  <si>
    <t>E_C_lp_max</t>
  </si>
  <si>
    <t>Power Conditioning</t>
  </si>
  <si>
    <t>R_ir</t>
  </si>
  <si>
    <t>Inrush current limiting resistance</t>
  </si>
  <si>
    <t>Minimum power rating for inrush current limiting resistor</t>
  </si>
  <si>
    <t>s1</t>
  </si>
  <si>
    <t>s2</t>
  </si>
  <si>
    <t>t_peak</t>
  </si>
  <si>
    <t>P_R_ir_max</t>
  </si>
  <si>
    <t>Circuit is underdamped</t>
  </si>
  <si>
    <t>Underdamped</t>
  </si>
  <si>
    <t>α</t>
  </si>
  <si>
    <t>ω0</t>
  </si>
  <si>
    <t>ωd​</t>
  </si>
  <si>
    <t>Percent overshoot</t>
  </si>
  <si>
    <t>t_99%</t>
  </si>
  <si>
    <t>V_c_rating_min</t>
  </si>
  <si>
    <t>Minimum voltage rating of capacitor(s)</t>
  </si>
  <si>
    <t>C_lp_individual</t>
  </si>
  <si>
    <t>N_C_lp</t>
  </si>
  <si>
    <t>C_lp tolerance</t>
  </si>
  <si>
    <t>C_lp_min</t>
  </si>
  <si>
    <t>ESR_C_lp_individual</t>
  </si>
  <si>
    <t>ESR of individual capacitor</t>
  </si>
  <si>
    <t>ESR_C_lp_total</t>
  </si>
  <si>
    <t>P_C_lp_loss</t>
  </si>
  <si>
    <t>P_C_lp_loss_individual</t>
  </si>
  <si>
    <t>Actual low-pass filter  inductance</t>
  </si>
  <si>
    <t>I_avg_max</t>
  </si>
  <si>
    <t>I_L_lp_min</t>
  </si>
  <si>
    <t>Relay coil resistance</t>
  </si>
  <si>
    <t>Relay coil resistance tolerance</t>
  </si>
  <si>
    <t>R_re_coil_min</t>
  </si>
  <si>
    <t>R_re_coil</t>
  </si>
  <si>
    <t>R_re_coil_max</t>
  </si>
  <si>
    <t>V_re_nom</t>
  </si>
  <si>
    <t>I_re_nom</t>
  </si>
  <si>
    <t>Relay R,V and I nominal match up</t>
  </si>
  <si>
    <t>V_re_max</t>
  </si>
  <si>
    <t>Maximum relay voltage</t>
  </si>
  <si>
    <t>V_re_min</t>
  </si>
  <si>
    <t>Minimum relay voltage</t>
  </si>
  <si>
    <t>I_re_min_required</t>
  </si>
  <si>
    <t>I_re_max_required</t>
  </si>
  <si>
    <t>V_in_nom</t>
  </si>
  <si>
    <t>Nominal input voltage</t>
  </si>
  <si>
    <t>Typical current using suggested resistor value with nominal input voltage</t>
  </si>
  <si>
    <t>Minimum current (with minimum input voltage and  R_re_coil_max)</t>
  </si>
  <si>
    <t>Maximum current (with maximum input voltage and  R_re_coil_min)</t>
  </si>
  <si>
    <t>R_re_ext</t>
  </si>
  <si>
    <t>Suitable R_ext value</t>
  </si>
  <si>
    <t>P_R_re_ext_max</t>
  </si>
  <si>
    <t>P_R_re_ext_min</t>
  </si>
  <si>
    <t>R_re_ext tolerance</t>
  </si>
  <si>
    <t>R_re_ext_min</t>
  </si>
  <si>
    <t>R_re_ext_max</t>
  </si>
  <si>
    <t>P_R_re_EXT_nom</t>
  </si>
  <si>
    <t>ΔV_ESR</t>
  </si>
  <si>
    <t>ΔV_C</t>
  </si>
  <si>
    <t>ΔV_total</t>
  </si>
  <si>
    <t>R_ESR_individual</t>
  </si>
  <si>
    <t>R_ESR_actual</t>
  </si>
  <si>
    <t>P_C_sn_total</t>
  </si>
  <si>
    <t>P_C_sn_individual</t>
  </si>
  <si>
    <t>ΔV_sn_actual_total</t>
  </si>
  <si>
    <t>ΔV_sn_C</t>
  </si>
  <si>
    <t>ΔV_sn_ESR</t>
  </si>
  <si>
    <t>https://www.mouser.co.uk/ProductDetail/KEMET/R75IW5270AA40J?qs=aP1CjGhiNiEaI%2F7WsvzojQ%3D%3D</t>
  </si>
  <si>
    <t>N in parallel</t>
  </si>
  <si>
    <t>https://www.mouser.co.uk/ProductDetail/EPCOS-TDK/B32678G3476K?qs=IQR8xM2KsGh1aOrglafROA%3D%3D</t>
  </si>
  <si>
    <t>https://www.mouser.co.uk/ProductDetail/EPCOS-TDK/B32674D3805K000?qs=mz7Iz7JhaAV5lafkGXiYeg%3D%3D</t>
  </si>
  <si>
    <t>https://www.mouser.co.uk/ProductDetail/EPCOS-TDK/B32676G6126K000?qs=mz7Iz7JhaAVrrHmvpKbQ8A%3D%3D</t>
  </si>
  <si>
    <t>https://www.mouser.co.uk/ProductDetail/EPCOS-TDK/B32674D4605K000?qs=mz7Iz7JhaAUE8TovPOC19w%3D%3D</t>
  </si>
  <si>
    <t>https://www.mouser.co.uk/ProductDetail/EPCOS-TDK/B32674D4565K000?qs=mz7Iz7JhaAVSf1KPVrH8mQ%3D%3D</t>
  </si>
  <si>
    <t>Total ESR</t>
  </si>
  <si>
    <t>Price</t>
  </si>
  <si>
    <t>ESR</t>
  </si>
  <si>
    <t>Total Price</t>
  </si>
  <si>
    <t>Total Capacitance</t>
  </si>
  <si>
    <t>Capacitance</t>
  </si>
  <si>
    <t xml:space="preserve"> </t>
  </si>
  <si>
    <t>k</t>
  </si>
  <si>
    <t>safety factor</t>
  </si>
  <si>
    <t>V_sn_actual</t>
  </si>
  <si>
    <t>C_sn_actual_individual</t>
  </si>
  <si>
    <t>k_actual</t>
  </si>
  <si>
    <t>V_reflected_max</t>
  </si>
  <si>
    <t>RCD Snubber</t>
  </si>
  <si>
    <t>n_s</t>
  </si>
  <si>
    <t>n_r</t>
  </si>
  <si>
    <t>I_max</t>
  </si>
  <si>
    <t>I_min</t>
  </si>
  <si>
    <t>V_g</t>
  </si>
  <si>
    <t>C_2</t>
  </si>
  <si>
    <t>V_max</t>
  </si>
  <si>
    <t>Z_os</t>
  </si>
  <si>
    <t>C_s</t>
  </si>
  <si>
    <t>L_k</t>
  </si>
  <si>
    <t>I_pp</t>
  </si>
  <si>
    <t>V_i</t>
  </si>
  <si>
    <t>Input voltage</t>
  </si>
  <si>
    <t>V_o</t>
  </si>
  <si>
    <t>Output voltage</t>
  </si>
  <si>
    <t>Np/Ns</t>
  </si>
  <si>
    <t>L_s_max</t>
  </si>
  <si>
    <t>Maximum upper limit of L_s</t>
  </si>
  <si>
    <t>L_s_min</t>
  </si>
  <si>
    <t>Minimum L_s</t>
  </si>
  <si>
    <t>I_sw</t>
  </si>
  <si>
    <t>Maximum peak current allowed by the switch</t>
  </si>
  <si>
    <t>L_s</t>
  </si>
  <si>
    <t>L_m</t>
  </si>
  <si>
    <t>Desired max switch drain-source voltage</t>
  </si>
  <si>
    <t>L_s_valid</t>
  </si>
  <si>
    <t>L_s valid</t>
  </si>
  <si>
    <t>Actual chosen L_s</t>
  </si>
  <si>
    <t>Calculated C_s</t>
  </si>
  <si>
    <t>C_s_suggested</t>
  </si>
  <si>
    <t>I_lk_min</t>
  </si>
  <si>
    <t>I_c2_pkR</t>
  </si>
  <si>
    <t>Ids_pk</t>
  </si>
  <si>
    <t>I_c2_pkS</t>
  </si>
  <si>
    <t>L_lk</t>
  </si>
  <si>
    <t>Change Vmax</t>
  </si>
  <si>
    <t>v_ max/V_g</t>
  </si>
  <si>
    <t>Actual C_s</t>
  </si>
  <si>
    <t>Design based on</t>
  </si>
  <si>
    <t>C:\repos\snippets\CircuitAnalysis\VoltageMultiplier\Sources\Snubber\07948040.pdf</t>
  </si>
  <si>
    <t>E_pulse_max_desired</t>
  </si>
  <si>
    <t>Desired energy into flyback on each cycle with D=D_max</t>
  </si>
  <si>
    <t>n_s_over_p</t>
  </si>
  <si>
    <t>n_p_over_s</t>
  </si>
  <si>
    <t>n_p/n_s</t>
  </si>
  <si>
    <t>n_s/n_p</t>
  </si>
  <si>
    <t>Power Supply Voltage Feedback</t>
  </si>
  <si>
    <t>P_ESR</t>
  </si>
  <si>
    <t>R_C_ESR</t>
  </si>
  <si>
    <t>Conservative estimate</t>
  </si>
  <si>
    <t>https://www.mouser.co.uk/ProductDetail/KEMET/R75RR322050L4J?qs=zW32dvEIR3sfSLCevL5nlQ%3D%3D</t>
  </si>
  <si>
    <t>So only way to get more power out is to increase input voltage or increase peak current, but this is limited by the villard diodes.</t>
  </si>
  <si>
    <t>So what this means is the natural frequency the system operates at with limited peak primary current and discharging to 0 before next cycle. Is that the frequency increases in proportion to the drive voltage being placed across the flyback transformer.</t>
  </si>
  <si>
    <t>ω_r</t>
  </si>
  <si>
    <t>L_eq</t>
  </si>
  <si>
    <t>V_C,max</t>
  </si>
  <si>
    <t>I_D_s1,max</t>
  </si>
  <si>
    <t>I_D_s2,max</t>
  </si>
  <si>
    <t>V_D_s1,max</t>
  </si>
  <si>
    <t>V_D_s2,max</t>
  </si>
  <si>
    <t>I_Ds1,rating_min</t>
  </si>
  <si>
    <t>V_C,rating_min</t>
  </si>
  <si>
    <t>I_Ls,rating_min</t>
  </si>
  <si>
    <t>V_Ds2,rating_min</t>
  </si>
  <si>
    <t>V_Ds1,rating_min</t>
  </si>
  <si>
    <t>ΔV</t>
  </si>
  <si>
    <t>Maximum ripple across polypropylene capacitor allowed</t>
  </si>
  <si>
    <t>C_snp_required</t>
  </si>
  <si>
    <t>Snubber polypropylene capacitance required</t>
  </si>
  <si>
    <t>Regenerative Snubber Voltage Feedback</t>
  </si>
  <si>
    <t>RCD Snubber Voltage Feedback</t>
  </si>
  <si>
    <t>R_sfb_H</t>
  </si>
  <si>
    <t>R_sfb_L</t>
  </si>
  <si>
    <t>R_sfb_total</t>
  </si>
  <si>
    <t>V_drive_max</t>
  </si>
  <si>
    <t>P_R_sfb_H,max</t>
  </si>
  <si>
    <t>P_R_sfb_L,max</t>
  </si>
  <si>
    <t>I_sfb_max</t>
  </si>
  <si>
    <t>P_sfb</t>
  </si>
  <si>
    <t>Maximum divided voltage for maximum drive voltage</t>
  </si>
  <si>
    <t>Divide ratio required</t>
  </si>
  <si>
    <t>Actual divide ratio</t>
  </si>
  <si>
    <t>Divide ratio valid</t>
  </si>
  <si>
    <t>P_Ds1</t>
  </si>
  <si>
    <t>P_Ds2</t>
  </si>
  <si>
    <t>V_d_s1,forward</t>
  </si>
  <si>
    <t>V_d_s2,forward</t>
  </si>
  <si>
    <t>OVER ESTIMATE</t>
  </si>
  <si>
    <t>Inductor energy</t>
  </si>
  <si>
    <t>I_in_typical</t>
  </si>
  <si>
    <t>V_in_typical</t>
  </si>
  <si>
    <t>Capacitor voltage change from nominal for inductor energy</t>
  </si>
  <si>
    <t>PCB Track Thickness  IPC-2221</t>
  </si>
  <si>
    <t>Current (I)</t>
  </si>
  <si>
    <t>Thickness oz/ft</t>
  </si>
  <si>
    <t>T_rise</t>
  </si>
  <si>
    <t>Track</t>
  </si>
  <si>
    <t>Inputs from batteries</t>
  </si>
  <si>
    <t>Connection to both external 3A max PSU's</t>
  </si>
  <si>
    <t>To fiber optics</t>
  </si>
  <si>
    <t>22 amp peak circuit</t>
  </si>
  <si>
    <t>Length of track</t>
  </si>
  <si>
    <t>Actual Width Chosen</t>
  </si>
  <si>
    <t>External Layer Width Required (mm)</t>
  </si>
  <si>
    <t>Internal Layer Width Required (mm)</t>
  </si>
  <si>
    <t>Power</t>
  </si>
  <si>
    <t>Actual Expected Trise Internal</t>
  </si>
  <si>
    <t>Actual Expected Trise External</t>
  </si>
  <si>
    <t>Voltage Drop</t>
  </si>
  <si>
    <t>Mineral oil volume</t>
  </si>
  <si>
    <t>m^3</t>
  </si>
  <si>
    <t>Vessel ID</t>
  </si>
  <si>
    <t>Height</t>
  </si>
  <si>
    <t>Maximum heat power</t>
  </si>
  <si>
    <t>kJ/kg·K</t>
  </si>
  <si>
    <t>Allowed temperture rise above ambient</t>
  </si>
  <si>
    <t>K</t>
  </si>
  <si>
    <t>Mineral oil density</t>
  </si>
  <si>
    <t>Mineral oil Specific heat capacity oil</t>
  </si>
  <si>
    <t>kg/m³</t>
  </si>
  <si>
    <t>m³</t>
  </si>
  <si>
    <t>Total mass of mineral oil in vessel</t>
  </si>
  <si>
    <t>kg</t>
  </si>
  <si>
    <t>Total energy capacity for specified temperture rise</t>
  </si>
  <si>
    <t>KJ</t>
  </si>
  <si>
    <t>Maximum time for single turnover</t>
  </si>
  <si>
    <t>Desired maximum time for single turnover including safety factor</t>
  </si>
  <si>
    <t>Flow rate required</t>
  </si>
  <si>
    <t>m³/s</t>
  </si>
  <si>
    <t>ml/s</t>
  </si>
  <si>
    <t>Safe flow speed portal</t>
  </si>
  <si>
    <t>m/s</t>
  </si>
  <si>
    <t>Portal area required</t>
  </si>
  <si>
    <t>Portal sizing (diameter)</t>
  </si>
  <si>
    <t>Portal diameter minimum (mm)</t>
  </si>
  <si>
    <t>Minimum portal diameter</t>
  </si>
  <si>
    <t>Desired reynalds number</t>
  </si>
  <si>
    <t>Kinemetic viscosity</t>
  </si>
  <si>
    <t>Dyanmic viscosity</t>
  </si>
  <si>
    <t>Actual reynolds number</t>
  </si>
  <si>
    <t>Actual Portal diameter</t>
  </si>
  <si>
    <t>Actual portal diameter (m)</t>
  </si>
  <si>
    <t>Reynolds number acceptible</t>
  </si>
  <si>
    <t>M4</t>
  </si>
  <si>
    <t>Length</t>
  </si>
  <si>
    <t>Diameter</t>
  </si>
  <si>
    <t>Number</t>
  </si>
  <si>
    <t>M3</t>
  </si>
  <si>
    <t>30mm</t>
  </si>
  <si>
    <t>M2.5</t>
  </si>
  <si>
    <t>M8</t>
  </si>
  <si>
    <t>20mm</t>
  </si>
  <si>
    <t>30mm 40 more desirable</t>
  </si>
  <si>
    <t>https://www.aliexpress.com/item/1005005480826442.html?spm=a2g0o.cart.0.0.10e238dawUu18S&amp;mp=1&amp;pdp_npi=5%40dis%21GBP%21GBP%201.52%21GBP%201.26%21%21GBP%201.26%21%21%21%4021038da617489300338885085ef51d%2112000033254538100%21ct%21UK%214911257576%21%211%210</t>
  </si>
  <si>
    <t>https://www.aliexpress.com/item/1005005489704779.html?spm=a2g0o.cart.0.0.3af938daqF893N&amp;mp=1&amp;pdp_npi=5%40dis%21GBP%21GBP%202.11%21GBP%201.84%21%21GBP%201.84%21%21%21%4021038da617489300680525622ef51d%2112000033284825011%21ct%21UK%214911257576%21%211%210</t>
  </si>
  <si>
    <t>https://www.aliexpress.com/item/1005005480826442.html?spm=a2g0o.cart.0.0.560938daHEcyqE&amp;mp=1&amp;pdp_npi=5%40dis%21GBP%21GBP%200.82%21GBP%200.68%21%21GBP%200.68%21%21%21%4021038da617489300775685831ef51d%2112000033254379950%21ct%21UK%214911257576%21%211%210</t>
  </si>
  <si>
    <t>https://www.aliexpress.com/item/32979035684.html?spm=a2g0o.productlist.main.1.43315cf9lFXo4v&amp;algo_pvid=1ae9e8c1-7a0f-4aec-b376-9270d2db3078&amp;algo_exp_id=1ae9e8c1-7a0f-4aec-b376-9270d2db3078-0&amp;pdp_ext_f=%7B%22order%22%3A%2249%22%2C%22eval%22%3A%221%22%7D&amp;pdp_npi=4%40dis%21GBP%211.02%210.96%21%21%211.34%211.26%21%402103956b17489301282611606e8cf3%2112000037695417645%21sea%21UK%214911257576%21X&amp;curPageLogUid=ecdD7wgyjiJL&amp;utparam-url=scene%3Asearch%7Cquery_from%3A</t>
  </si>
  <si>
    <t>https://www.aliexpress.com/item/1005005489704779.html?spm=a2g0o.cart.0.0.184338dahPk8Kk&amp;mp=1&amp;pdp_npi=5%40dis%21GBP%21GBP%202.11%21GBP%201.84%21%21GBP%201.84%21%21%21%40211b807017489305761224505eeaf6%2112000033284825011%21ct%21UK%214911257576%21%211%210</t>
  </si>
  <si>
    <t>25mm (20mm just enough I think)</t>
  </si>
  <si>
    <t>https://www.aliexpress.com/item/1005005747262698.html?spm=a2g0o.cart.0.0.4cc038daQAAcCh&amp;mp=1&amp;pdp_npi=5%40dis%21GBP%21GBP%205.88%21GBP%202.94%21%21GBP%202.94%21%21%21%40211b807017489305983274816eeaf6%2112000034202358244%21ct%21UK%214911257576%21%211%210</t>
  </si>
  <si>
    <t xml:space="preserve">Washer kit varying sizes m2.5 + </t>
  </si>
  <si>
    <t xml:space="preserve">25mm </t>
  </si>
  <si>
    <t>Driver MOSFET Heat sinking</t>
  </si>
  <si>
    <t>Thermal conductivity of insulator layer</t>
  </si>
  <si>
    <t>W/m-K</t>
  </si>
  <si>
    <t>Thickness of insulator layer (mm)</t>
  </si>
  <si>
    <t>Contact Area</t>
  </si>
  <si>
    <t>Total thermal resistance</t>
  </si>
  <si>
    <t>RθCS</t>
  </si>
  <si>
    <t>Case-to-Sink Thermal resistance of insulator layer</t>
  </si>
  <si>
    <t>RθJC</t>
  </si>
  <si>
    <t>Junction-to-Case</t>
  </si>
  <si>
    <t>RθSA​</t>
  </si>
  <si>
    <t>Sink-to-Ambient Thermal resistance of heatsink max</t>
  </si>
  <si>
    <t>Delta T</t>
  </si>
  <si>
    <t>ΔT</t>
  </si>
  <si>
    <t>Maximum ambient temperature</t>
  </si>
  <si>
    <t>Maximum junction temperature</t>
  </si>
  <si>
    <t>Maximum allowed junction temperature</t>
  </si>
  <si>
    <t>Acceptible</t>
  </si>
  <si>
    <t>Dirver MOSFET Screw Washer choice</t>
  </si>
  <si>
    <t>High Voltage Output Feedback</t>
  </si>
  <si>
    <t>Individual composite resistor value</t>
  </si>
  <si>
    <t>N individual resistors in composite high voltage resistor</t>
  </si>
  <si>
    <t>Desired low voltage into ADC at full output voltage</t>
  </si>
  <si>
    <t>Ratio required</t>
  </si>
  <si>
    <t>Low leg resistance required</t>
  </si>
  <si>
    <t>Current at maximum output voltage</t>
  </si>
  <si>
    <t>Power per individual composite resistor</t>
  </si>
  <si>
    <t>Total power</t>
  </si>
  <si>
    <t>Power in lower leg resistor</t>
  </si>
  <si>
    <t>First stage voltage feedback</t>
  </si>
  <si>
    <t>Cooling fan</t>
  </si>
  <si>
    <t>Number of heatsinks (identicle in this case)</t>
  </si>
  <si>
    <t>Desired flow rate for each heatsink</t>
  </si>
  <si>
    <t>cross sectional area</t>
  </si>
  <si>
    <t>LFM</t>
  </si>
  <si>
    <t>Cubic meters per minute per heatsink</t>
  </si>
  <si>
    <t>Cubic meters per hour</t>
  </si>
  <si>
    <t>Inrush resistor temperature change</t>
  </si>
  <si>
    <t>Total energy into inrush current limiting resistor</t>
  </si>
  <si>
    <t>E_R_ir</t>
  </si>
  <si>
    <t>V_R_ir</t>
  </si>
  <si>
    <t>Volume of inrush resistor metal</t>
  </si>
  <si>
    <t>c_p</t>
  </si>
  <si>
    <t>Inrush resistor metal specific heat capacity (probably aluminium alloy)</t>
  </si>
  <si>
    <t>ρ</t>
  </si>
  <si>
    <t>Inrush resistor metal density</t>
  </si>
  <si>
    <t>kPETG</t>
  </si>
  <si>
    <t>heff​</t>
  </si>
  <si>
    <t>Effective thermal dissipation rate</t>
  </si>
  <si>
    <t>Thermal time constant</t>
  </si>
  <si>
    <t>Thermal capacitance</t>
  </si>
  <si>
    <t>Cth​</t>
  </si>
  <si>
    <t>t99%​</t>
  </si>
  <si>
    <t>Thermal conductivity petg</t>
  </si>
  <si>
    <t>RPETG​</t>
  </si>
  <si>
    <t>Thermal resistance PETG</t>
  </si>
  <si>
    <t>Area PETG insulator</t>
  </si>
  <si>
    <t>A_insulator</t>
  </si>
  <si>
    <t>L_insulator</t>
  </si>
  <si>
    <t>Length insulator</t>
  </si>
  <si>
    <t>Q(t)</t>
  </si>
  <si>
    <t>ΔTfar side</t>
  </si>
  <si>
    <t>Actual low leg resistance</t>
  </si>
  <si>
    <t>Actual low leg resistance required</t>
  </si>
  <si>
    <t>Active cooling by oil circulation</t>
  </si>
  <si>
    <t>Power loss discharge resistors</t>
  </si>
  <si>
    <t>Steady state power loss diodes</t>
  </si>
  <si>
    <t>Flyback power loss</t>
  </si>
  <si>
    <t>Total power loss into mineral oil</t>
  </si>
  <si>
    <t>?? I think I used two approaches this needs to go above is correct</t>
  </si>
  <si>
    <t>Individual current limiting resistor power rating</t>
  </si>
  <si>
    <t>Minimum output voltage acceptible (doesn’t cause too high loss)</t>
  </si>
  <si>
    <t>Maximum steady state power loss at lowest rated output voltage</t>
  </si>
  <si>
    <t>Maximum steady state power loss at highest rated output voltage</t>
  </si>
  <si>
    <t>Maximum composite output current limiting resistor average power</t>
  </si>
  <si>
    <t>Regenerative Snubber</t>
  </si>
  <si>
    <t>Liquid resistor resistivity</t>
  </si>
  <si>
    <t>Area</t>
  </si>
  <si>
    <t>Thermal capacity</t>
  </si>
  <si>
    <t>Volume</t>
  </si>
  <si>
    <t>Specitic heat capacity</t>
  </si>
  <si>
    <t>J/kg°C </t>
  </si>
  <si>
    <t>Density</t>
  </si>
  <si>
    <t>Maximum allowed temperature rise</t>
  </si>
  <si>
    <t>Maximum energy capacity</t>
  </si>
  <si>
    <t>Dummy Loads For Testing Primary</t>
  </si>
  <si>
    <t>Minimum current required to test above lower bound of ADC</t>
  </si>
  <si>
    <t>Max resistance required</t>
  </si>
  <si>
    <t>Min resistance required</t>
  </si>
  <si>
    <t>Nominal resistance required</t>
  </si>
  <si>
    <t>Actual resistance for minimum current test</t>
  </si>
  <si>
    <t>Maximum output power</t>
  </si>
  <si>
    <t>Actual individual resistor value</t>
  </si>
  <si>
    <t>N in series</t>
  </si>
  <si>
    <t>Series resistance</t>
  </si>
  <si>
    <t>Minimum resistance for 200w test required</t>
  </si>
  <si>
    <t>Maximum current reached</t>
  </si>
  <si>
    <t>Maximum peak current</t>
  </si>
  <si>
    <t>Minimum peak current</t>
  </si>
  <si>
    <t>Maximum average power</t>
  </si>
  <si>
    <t>Maximum Peak power</t>
  </si>
  <si>
    <t>Minimum Peak Power</t>
  </si>
  <si>
    <t>Minimum average power</t>
  </si>
  <si>
    <t>1, 1, 1, 1, 1</t>
  </si>
  <si>
    <t>Resistor combination for maximum supply voltage</t>
  </si>
  <si>
    <t>1, 1, 1, 1, 1, 1</t>
  </si>
  <si>
    <t>1, 1, 1, 2, 2</t>
  </si>
  <si>
    <t>1, 1, 1, 1, 2, 2</t>
  </si>
  <si>
    <t>1, 1, 1, 1, 1, 2, 2</t>
  </si>
  <si>
    <t>1, 1, 1, 1, 1, 1, 2, 2</t>
  </si>
  <si>
    <t>1, 1, 1, 2, 2, 4</t>
  </si>
  <si>
    <t>1, 2, 2, 4, 4</t>
  </si>
  <si>
    <t>1, 1, 1, 1, 2, 2, 4 OR 2, 4, 4</t>
  </si>
  <si>
    <t>1, 1, 2, 2, 4, 4</t>
  </si>
  <si>
    <t>Secondary Leakage inductance</t>
  </si>
  <si>
    <t>L_s_actual</t>
  </si>
  <si>
    <t>Use this number to begin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</si>
</sst>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£&quot;#,##0;[Red]\-&quot;£&quot;#,##0"/>
    <numFmt numFmtId="8" formatCode="&quot;£&quot;#,##0.00;[Red]\-&quot;£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rgb="FF333333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11" fontId="0" fillId="2" borderId="0" xfId="0" applyNumberFormat="1" applyFill="1"/>
    <xf numFmtId="0" fontId="3" fillId="0" borderId="0" xfId="1"/>
    <xf numFmtId="0" fontId="0" fillId="4" borderId="0" xfId="0" applyFill="1"/>
    <xf numFmtId="0" fontId="2" fillId="4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11" fontId="0" fillId="4" borderId="0" xfId="0" applyNumberFormat="1" applyFill="1"/>
    <xf numFmtId="0" fontId="1" fillId="4" borderId="0" xfId="0" applyFont="1" applyFill="1"/>
    <xf numFmtId="11" fontId="0" fillId="0" borderId="0" xfId="0" applyNumberFormat="1" applyFill="1"/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0" borderId="1" xfId="0" applyFill="1" applyBorder="1"/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11" fontId="4" fillId="0" borderId="0" xfId="0" applyNumberFormat="1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11" fontId="5" fillId="0" borderId="0" xfId="0" applyNumberFormat="1" applyFont="1"/>
    <xf numFmtId="8" fontId="5" fillId="0" borderId="0" xfId="0" applyNumberFormat="1" applyFont="1"/>
    <xf numFmtId="8" fontId="5" fillId="6" borderId="5" xfId="0" applyNumberFormat="1" applyFont="1" applyFill="1" applyBorder="1" applyAlignment="1">
      <alignment horizontal="right" vertical="top" wrapText="1" indent="1"/>
    </xf>
    <xf numFmtId="6" fontId="0" fillId="0" borderId="0" xfId="0" applyNumberFormat="1"/>
    <xf numFmtId="0" fontId="0" fillId="0" borderId="0" xfId="0" applyAlignment="1">
      <alignment vertical="center" wrapText="1"/>
    </xf>
    <xf numFmtId="0" fontId="0" fillId="7" borderId="0" xfId="0" applyFill="1"/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0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0" fillId="4" borderId="0" xfId="0" applyFont="1" applyFill="1"/>
    <xf numFmtId="11" fontId="0" fillId="4" borderId="0" xfId="0" applyNumberFormat="1" applyFont="1" applyFill="1"/>
    <xf numFmtId="0" fontId="7" fillId="4" borderId="0" xfId="1" applyFont="1" applyFill="1"/>
    <xf numFmtId="0" fontId="0" fillId="0" borderId="0" xfId="0" applyAlignment="1">
      <alignment textRotation="45"/>
    </xf>
    <xf numFmtId="0" fontId="0" fillId="0" borderId="1" xfId="0" applyBorder="1" applyAlignment="1">
      <alignment textRotation="45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</xdr:colOff>
      <xdr:row>124</xdr:row>
      <xdr:rowOff>47625</xdr:rowOff>
    </xdr:from>
    <xdr:to>
      <xdr:col>16</xdr:col>
      <xdr:colOff>3648942</xdr:colOff>
      <xdr:row>133</xdr:row>
      <xdr:rowOff>105022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" y="11287125"/>
          <a:ext cx="6211167" cy="1771897"/>
        </a:xfrm>
        <a:prstGeom prst="rect">
          <a:avLst/>
        </a:prstGeom>
      </xdr:spPr>
    </xdr:pic>
    <xdr:clientData/>
  </xdr:twoCellAnchor>
  <xdr:twoCellAnchor editAs="oneCell">
    <xdr:from>
      <xdr:col>4</xdr:col>
      <xdr:colOff>789215</xdr:colOff>
      <xdr:row>224</xdr:row>
      <xdr:rowOff>13607</xdr:rowOff>
    </xdr:from>
    <xdr:to>
      <xdr:col>6</xdr:col>
      <xdr:colOff>709268</xdr:colOff>
      <xdr:row>227</xdr:row>
      <xdr:rowOff>23213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2536" y="36018107"/>
          <a:ext cx="2410161" cy="581106"/>
        </a:xfrm>
        <a:prstGeom prst="rect">
          <a:avLst/>
        </a:prstGeom>
      </xdr:spPr>
    </xdr:pic>
    <xdr:clientData/>
  </xdr:twoCellAnchor>
  <xdr:twoCellAnchor editAs="oneCell">
    <xdr:from>
      <xdr:col>4</xdr:col>
      <xdr:colOff>521071</xdr:colOff>
      <xdr:row>317</xdr:row>
      <xdr:rowOff>161685</xdr:rowOff>
    </xdr:from>
    <xdr:to>
      <xdr:col>12</xdr:col>
      <xdr:colOff>36016</xdr:colOff>
      <xdr:row>324</xdr:row>
      <xdr:rowOff>73342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7483" y="58275391"/>
          <a:ext cx="7247004" cy="1245157"/>
        </a:xfrm>
        <a:prstGeom prst="rect">
          <a:avLst/>
        </a:prstGeom>
      </xdr:spPr>
    </xdr:pic>
    <xdr:clientData/>
  </xdr:twoCellAnchor>
  <xdr:twoCellAnchor editAs="oneCell">
    <xdr:from>
      <xdr:col>6</xdr:col>
      <xdr:colOff>13609</xdr:colOff>
      <xdr:row>2</xdr:row>
      <xdr:rowOff>83786</xdr:rowOff>
    </xdr:from>
    <xdr:to>
      <xdr:col>11</xdr:col>
      <xdr:colOff>554182</xdr:colOff>
      <xdr:row>17</xdr:row>
      <xdr:rowOff>121227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78245" y="464786"/>
          <a:ext cx="5181846" cy="2894941"/>
        </a:xfrm>
        <a:prstGeom prst="rect">
          <a:avLst/>
        </a:prstGeom>
      </xdr:spPr>
    </xdr:pic>
    <xdr:clientData/>
  </xdr:twoCellAnchor>
  <xdr:twoCellAnchor editAs="oneCell">
    <xdr:from>
      <xdr:col>5</xdr:col>
      <xdr:colOff>883228</xdr:colOff>
      <xdr:row>21</xdr:row>
      <xdr:rowOff>69273</xdr:rowOff>
    </xdr:from>
    <xdr:to>
      <xdr:col>12</xdr:col>
      <xdr:colOff>34637</xdr:colOff>
      <xdr:row>27</xdr:row>
      <xdr:rowOff>177458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12683" y="4069773"/>
          <a:ext cx="5334000" cy="12511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304800</xdr:colOff>
      <xdr:row>255</xdr:row>
      <xdr:rowOff>114300</xdr:rowOff>
    </xdr:to>
    <xdr:sp macro="" textlink="">
      <xdr:nvSpPr>
        <xdr:cNvPr id="1066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1781175" y="451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249</xdr:row>
      <xdr:rowOff>0</xdr:rowOff>
    </xdr:from>
    <xdr:to>
      <xdr:col>4</xdr:col>
      <xdr:colOff>304800</xdr:colOff>
      <xdr:row>250</xdr:row>
      <xdr:rowOff>114300</xdr:rowOff>
    </xdr:to>
    <xdr:sp macro="" textlink="">
      <xdr:nvSpPr>
        <xdr:cNvPr id="1067" name="AutoShape 43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8972550" y="4477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304800</xdr:colOff>
      <xdr:row>254</xdr:row>
      <xdr:rowOff>114300</xdr:rowOff>
    </xdr:to>
    <xdr:sp macro="" textlink="">
      <xdr:nvSpPr>
        <xdr:cNvPr id="18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1781175" y="457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40821</xdr:colOff>
      <xdr:row>248</xdr:row>
      <xdr:rowOff>122464</xdr:rowOff>
    </xdr:from>
    <xdr:to>
      <xdr:col>5</xdr:col>
      <xdr:colOff>13820</xdr:colOff>
      <xdr:row>264</xdr:row>
      <xdr:rowOff>65731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21535" y="44713071"/>
          <a:ext cx="1524213" cy="2991267"/>
        </a:xfrm>
        <a:prstGeom prst="rect">
          <a:avLst/>
        </a:prstGeom>
      </xdr:spPr>
    </xdr:pic>
    <xdr:clientData/>
  </xdr:twoCellAnchor>
  <xdr:twoCellAnchor editAs="oneCell">
    <xdr:from>
      <xdr:col>5</xdr:col>
      <xdr:colOff>394607</xdr:colOff>
      <xdr:row>556</xdr:row>
      <xdr:rowOff>81643</xdr:rowOff>
    </xdr:from>
    <xdr:to>
      <xdr:col>7</xdr:col>
      <xdr:colOff>1282199</xdr:colOff>
      <xdr:row>578</xdr:row>
      <xdr:rowOff>101281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58500" y="97821750"/>
          <a:ext cx="2915057" cy="4210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504825</xdr:colOff>
      <xdr:row>0</xdr:row>
      <xdr:rowOff>0</xdr:rowOff>
    </xdr:from>
    <xdr:to>
      <xdr:col>16</xdr:col>
      <xdr:colOff>96214</xdr:colOff>
      <xdr:row>19</xdr:row>
      <xdr:rowOff>67189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5" y="0"/>
          <a:ext cx="6906589" cy="36866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1</xdr:row>
      <xdr:rowOff>9525</xdr:rowOff>
    </xdr:from>
    <xdr:to>
      <xdr:col>10</xdr:col>
      <xdr:colOff>267710</xdr:colOff>
      <xdr:row>15</xdr:row>
      <xdr:rowOff>67055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200025"/>
          <a:ext cx="7240010" cy="2724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180975</xdr:rowOff>
    </xdr:from>
    <xdr:to>
      <xdr:col>8</xdr:col>
      <xdr:colOff>105611</xdr:colOff>
      <xdr:row>14</xdr:row>
      <xdr:rowOff>143215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71475"/>
          <a:ext cx="5992061" cy="2438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0</xdr:rowOff>
    </xdr:from>
    <xdr:to>
      <xdr:col>6</xdr:col>
      <xdr:colOff>324803</xdr:colOff>
      <xdr:row>15</xdr:row>
      <xdr:rowOff>155164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90500"/>
          <a:ext cx="5058728" cy="28221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74543</xdr:colOff>
      <xdr:row>0</xdr:row>
      <xdr:rowOff>74543</xdr:rowOff>
    </xdr:from>
    <xdr:to>
      <xdr:col>25</xdr:col>
      <xdr:colOff>64859</xdr:colOff>
      <xdr:row>2</xdr:row>
      <xdr:rowOff>160333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108" y="74543"/>
          <a:ext cx="1829055" cy="466790"/>
        </a:xfrm>
        <a:prstGeom prst="rect">
          <a:avLst/>
        </a:prstGeom>
      </xdr:spPr>
    </xdr:pic>
    <xdr:clientData/>
  </xdr:twoCellAnchor>
  <xdr:twoCellAnchor editAs="oneCell">
    <xdr:from>
      <xdr:col>22</xdr:col>
      <xdr:colOff>91109</xdr:colOff>
      <xdr:row>3</xdr:row>
      <xdr:rowOff>16565</xdr:rowOff>
    </xdr:from>
    <xdr:to>
      <xdr:col>23</xdr:col>
      <xdr:colOff>316513</xdr:colOff>
      <xdr:row>5</xdr:row>
      <xdr:rowOff>121408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5674" y="588065"/>
          <a:ext cx="838317" cy="485843"/>
        </a:xfrm>
        <a:prstGeom prst="rect">
          <a:avLst/>
        </a:prstGeom>
      </xdr:spPr>
    </xdr:pic>
    <xdr:clientData/>
  </xdr:twoCellAnchor>
  <xdr:twoCellAnchor>
    <xdr:from>
      <xdr:col>24</xdr:col>
      <xdr:colOff>165651</xdr:colOff>
      <xdr:row>5</xdr:row>
      <xdr:rowOff>140804</xdr:rowOff>
    </xdr:from>
    <xdr:to>
      <xdr:col>28</xdr:col>
      <xdr:colOff>331304</xdr:colOff>
      <xdr:row>16</xdr:row>
      <xdr:rowOff>190499</xdr:rowOff>
    </xdr:to>
    <xdr:sp macro="" textlink="">
      <xdr:nvSpPr>
        <xdr:cNvPr id="4" name="TextBox 3"/>
        <xdr:cNvSpPr txBox="1"/>
      </xdr:nvSpPr>
      <xdr:spPr>
        <a:xfrm>
          <a:off x="4456042" y="1093304"/>
          <a:ext cx="2617305" cy="2145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Deriving equation for V_max so n_r = V_max/V_g </a:t>
          </a:r>
        </a:p>
        <a:p>
          <a:r>
            <a:rPr lang="en-GB" sz="1100"/>
            <a:t>ns = V_g/V_max for no vmin</a:t>
          </a:r>
        </a:p>
        <a:p>
          <a:r>
            <a:rPr lang="en-GB" sz="1100"/>
            <a:t>V_max  = (V_o*V_max/V_g)+(Zos*Imax)</a:t>
          </a:r>
        </a:p>
        <a:p>
          <a:r>
            <a:rPr lang="en-GB" sz="1100"/>
            <a:t>1 = (V_o/V_g)+(Z_ox*I_max/V_max)</a:t>
          </a:r>
        </a:p>
        <a:p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1 - (V_o/V_g)=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(Z_ox*I_max/V_max)</a:t>
          </a:r>
        </a:p>
        <a:p>
          <a:endParaRPr lang="en-GB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V_max</a:t>
          </a:r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=(Z_ox*I_max)/(1 - (V_o/V_g))</a:t>
          </a:r>
          <a:endParaRPr lang="en-GB">
            <a:effectLst/>
          </a:endParaRPr>
        </a:p>
        <a:p>
          <a:endParaRPr lang="en-GB" sz="1100"/>
        </a:p>
        <a:p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17</xdr:row>
      <xdr:rowOff>66675</xdr:rowOff>
    </xdr:from>
    <xdr:to>
      <xdr:col>5</xdr:col>
      <xdr:colOff>257273</xdr:colOff>
      <xdr:row>19</xdr:row>
      <xdr:rowOff>133412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5425" y="3305175"/>
          <a:ext cx="704948" cy="44773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20</xdr:row>
      <xdr:rowOff>95250</xdr:rowOff>
    </xdr:from>
    <xdr:to>
      <xdr:col>10</xdr:col>
      <xdr:colOff>48102</xdr:colOff>
      <xdr:row>31</xdr:row>
      <xdr:rowOff>57437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3905250"/>
          <a:ext cx="3419952" cy="2057687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31</xdr:row>
      <xdr:rowOff>114300</xdr:rowOff>
    </xdr:from>
    <xdr:to>
      <xdr:col>10</xdr:col>
      <xdr:colOff>57630</xdr:colOff>
      <xdr:row>41</xdr:row>
      <xdr:rowOff>171724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9725" y="6019800"/>
          <a:ext cx="3439005" cy="19624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18</xdr:col>
      <xdr:colOff>591652</xdr:colOff>
      <xdr:row>24</xdr:row>
      <xdr:rowOff>86375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0"/>
          <a:ext cx="7897327" cy="465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mouser.co.uk/ProductDetail/KEMET/R75IW5270AA40J?qs=aP1CjGhiNiEaI%2F7WsvzojQ%3D%3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mouser.co.uk/ProductDetail/Microchip-Technology/MCP6021-E-P?qs=W2ndVjZwIIKVhoK39SuWRw%3D%3D" TargetMode="External"/><Relationship Id="rId1" Type="http://schemas.openxmlformats.org/officeDocument/2006/relationships/hyperlink" Target="https://www.mouser.co.uk/datasheet/2/281/MHR0422SA_series_data_sheet-1594297.pdf" TargetMode="External"/><Relationship Id="rId6" Type="http://schemas.openxmlformats.org/officeDocument/2006/relationships/hyperlink" Target="https://www.google.com/search?rlz=1C1OPNX_en-GBGB1133GB1133&amp;cs=1&amp;sca_esv=4f5104ed2b7290e9&amp;sxsrf=AE3TifMBc50EgN_UZeP2TYUaGrAgspuFug%3A1759801360140&amp;q=J%2Fkg%C2%B0C&amp;sa=X&amp;ved=2ahUKEwiAhqn3-pCQAxXbdUEAHcW_ATkQxccNegQIAhAB&amp;mstk=AUtExfBlWf-iKv0tU0x2ALq09kWMnBQLhxnNYa2XTpG6pPdO5k7aHSqqJ135od3xa3OduL5zCUbpNSJRrXFFi2dw0HVU1mc6M78ooul2ZfxT_QB8nPXg0tyJUQMbzMQIRGbDYMG4s69ONoPYyNMGJ4ikkBBv3C0ilHQb5nWaLEDP5a92kXZ-0-li7ATNT1MVYS4_Hl4CpA3jXt8GPmH5rd3Mpb8t8CJPQawnurIf3-5RlejN0Nh5c9e0jym_MrH_UTrMSq60HuFVQ1y4epwqdklQhthXgIM3ozc3jSicaYsJOPIstg&amp;csui=3" TargetMode="External"/><Relationship Id="rId5" Type="http://schemas.openxmlformats.org/officeDocument/2006/relationships/hyperlink" Target="https://www.mouser.co.uk/ProductDetail/KEMET/R75RR322050L4J?qs=zW32dvEIR3sfSLCevL5nlQ%3D%3D" TargetMode="External"/><Relationship Id="rId4" Type="http://schemas.openxmlformats.org/officeDocument/2006/relationships/hyperlink" Target="https://www.mouser.co.uk/ProductDetail/EPCOS-TDK/B32674D4605K000?qs=mz7Iz7JhaAUE8TovPOC19w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9"/>
  <sheetViews>
    <sheetView tabSelected="1" topLeftCell="A103" zoomScale="85" zoomScaleNormal="85" workbookViewId="0">
      <selection activeCell="D245" sqref="D245"/>
    </sheetView>
  </sheetViews>
  <sheetFormatPr defaultRowHeight="15" x14ac:dyDescent="0.25"/>
  <cols>
    <col min="1" max="1" width="30.42578125" customWidth="1"/>
    <col min="2" max="2" width="18.42578125" customWidth="1"/>
    <col min="3" max="3" width="65.28515625" customWidth="1"/>
    <col min="4" max="5" width="23.28515625" customWidth="1"/>
    <col min="6" max="6" width="14" customWidth="1"/>
    <col min="7" max="7" width="16.28515625" customWidth="1"/>
    <col min="8" max="8" width="20.140625" customWidth="1"/>
    <col min="9" max="9" width="11.42578125" customWidth="1"/>
    <col min="10" max="10" width="10.7109375" customWidth="1"/>
    <col min="11" max="11" width="11" customWidth="1"/>
    <col min="17" max="17" width="55.85546875" customWidth="1"/>
    <col min="18" max="18" width="27.28515625" customWidth="1"/>
  </cols>
  <sheetData>
    <row r="1" spans="1:7" x14ac:dyDescent="0.25">
      <c r="A1" t="s">
        <v>131</v>
      </c>
      <c r="B1" t="s">
        <v>130</v>
      </c>
      <c r="C1" t="s">
        <v>129</v>
      </c>
      <c r="D1" t="s">
        <v>70</v>
      </c>
      <c r="E1" t="s">
        <v>19</v>
      </c>
    </row>
    <row r="2" spans="1:7" x14ac:dyDescent="0.25">
      <c r="C2" s="6" t="s">
        <v>77</v>
      </c>
      <c r="D2" s="6">
        <v>200</v>
      </c>
      <c r="E2" t="s">
        <v>22</v>
      </c>
    </row>
    <row r="3" spans="1:7" x14ac:dyDescent="0.25">
      <c r="B3" s="6" t="s">
        <v>48</v>
      </c>
      <c r="C3" s="6" t="s">
        <v>47</v>
      </c>
      <c r="D3" s="6">
        <v>16000</v>
      </c>
      <c r="E3" t="s">
        <v>73</v>
      </c>
    </row>
    <row r="4" spans="1:7" x14ac:dyDescent="0.25">
      <c r="C4" t="s">
        <v>4</v>
      </c>
      <c r="D4">
        <v>1.2</v>
      </c>
    </row>
    <row r="5" spans="1:7" x14ac:dyDescent="0.25">
      <c r="B5" t="s">
        <v>37</v>
      </c>
      <c r="C5" t="s">
        <v>44</v>
      </c>
      <c r="D5">
        <f>11.8*3</f>
        <v>35.400000000000006</v>
      </c>
      <c r="E5" t="s">
        <v>21</v>
      </c>
    </row>
    <row r="6" spans="1:7" x14ac:dyDescent="0.25">
      <c r="B6" t="s">
        <v>494</v>
      </c>
      <c r="C6" t="s">
        <v>495</v>
      </c>
      <c r="D6">
        <f>12.7*3</f>
        <v>38.099999999999994</v>
      </c>
      <c r="E6" t="s">
        <v>21</v>
      </c>
    </row>
    <row r="7" spans="1:7" x14ac:dyDescent="0.25">
      <c r="B7" t="s">
        <v>38</v>
      </c>
      <c r="C7" t="s">
        <v>43</v>
      </c>
      <c r="D7">
        <v>44.1</v>
      </c>
      <c r="E7" t="s">
        <v>21</v>
      </c>
    </row>
    <row r="8" spans="1:7" x14ac:dyDescent="0.25">
      <c r="B8" t="s">
        <v>76</v>
      </c>
      <c r="C8" t="s">
        <v>75</v>
      </c>
      <c r="D8">
        <v>80000</v>
      </c>
      <c r="E8" t="s">
        <v>21</v>
      </c>
    </row>
    <row r="9" spans="1:7" x14ac:dyDescent="0.25">
      <c r="B9" t="s">
        <v>61</v>
      </c>
      <c r="C9" t="s">
        <v>74</v>
      </c>
      <c r="D9">
        <v>60000</v>
      </c>
      <c r="E9" t="s">
        <v>21</v>
      </c>
    </row>
    <row r="10" spans="1:7" x14ac:dyDescent="0.25">
      <c r="B10" s="6"/>
      <c r="C10" s="6" t="s">
        <v>1</v>
      </c>
      <c r="D10" s="6">
        <f>D2/D9</f>
        <v>3.3333333333333335E-3</v>
      </c>
      <c r="E10" s="6" t="s">
        <v>20</v>
      </c>
      <c r="G10">
        <f>0.002*0.002*8000000</f>
        <v>32</v>
      </c>
    </row>
    <row r="11" spans="1:7" x14ac:dyDescent="0.25">
      <c r="B11" s="6"/>
      <c r="C11" s="6" t="s">
        <v>134</v>
      </c>
      <c r="D11" s="6">
        <f>D2/D8</f>
        <v>2.5000000000000001E-3</v>
      </c>
      <c r="E11" s="6" t="s">
        <v>20</v>
      </c>
    </row>
    <row r="12" spans="1:7" x14ac:dyDescent="0.25">
      <c r="C12" t="s">
        <v>17</v>
      </c>
      <c r="D12" s="23">
        <v>14000</v>
      </c>
      <c r="E12" t="s">
        <v>21</v>
      </c>
    </row>
    <row r="13" spans="1:7" x14ac:dyDescent="0.25">
      <c r="B13" s="6" t="s">
        <v>106</v>
      </c>
      <c r="C13" s="6" t="s">
        <v>0</v>
      </c>
      <c r="D13" s="6">
        <f>ROUND(D8/D12, 0)</f>
        <v>6</v>
      </c>
      <c r="E13" s="6"/>
    </row>
    <row r="14" spans="1:7" x14ac:dyDescent="0.25">
      <c r="B14" s="8" t="s">
        <v>105</v>
      </c>
      <c r="C14" s="8" t="s">
        <v>104</v>
      </c>
      <c r="D14" s="8">
        <v>6</v>
      </c>
      <c r="E14" s="8"/>
    </row>
    <row r="15" spans="1:7" x14ac:dyDescent="0.25">
      <c r="B15" s="6"/>
      <c r="C15" s="6" t="s">
        <v>71</v>
      </c>
      <c r="D15" s="6" t="b">
        <f>D14&gt;=D13</f>
        <v>1</v>
      </c>
      <c r="E15" s="6"/>
    </row>
    <row r="16" spans="1:7" x14ac:dyDescent="0.25">
      <c r="C16" t="s">
        <v>5</v>
      </c>
      <c r="D16" s="1">
        <v>1.0000000000000001E-9</v>
      </c>
      <c r="E16" t="s">
        <v>23</v>
      </c>
    </row>
    <row r="17" spans="1:11" x14ac:dyDescent="0.25">
      <c r="A17" s="8"/>
      <c r="B17" s="8"/>
      <c r="C17" s="8"/>
      <c r="D17" s="8"/>
      <c r="E17" s="8"/>
    </row>
    <row r="18" spans="1:11" x14ac:dyDescent="0.25">
      <c r="A18" s="8"/>
      <c r="B18" s="8"/>
      <c r="C18" s="8"/>
      <c r="D18" s="8"/>
      <c r="E18" s="8"/>
    </row>
    <row r="19" spans="1:11" x14ac:dyDescent="0.25">
      <c r="A19" s="8"/>
      <c r="B19" s="8"/>
      <c r="C19" s="8"/>
      <c r="D19" s="13"/>
      <c r="E19" s="8"/>
      <c r="G19" s="51" t="s">
        <v>589</v>
      </c>
      <c r="H19" s="51"/>
      <c r="I19" s="51"/>
      <c r="J19" s="51"/>
    </row>
    <row r="20" spans="1:11" x14ac:dyDescent="0.25">
      <c r="A20" s="50" t="s">
        <v>103</v>
      </c>
      <c r="B20" t="s">
        <v>101</v>
      </c>
      <c r="C20" t="s">
        <v>2</v>
      </c>
      <c r="D20">
        <v>0.3</v>
      </c>
      <c r="E20" t="s">
        <v>20</v>
      </c>
      <c r="G20" s="51"/>
      <c r="H20" s="51"/>
      <c r="I20" s="51"/>
      <c r="J20" s="51"/>
    </row>
    <row r="21" spans="1:11" x14ac:dyDescent="0.25">
      <c r="A21" s="50"/>
      <c r="B21" s="6"/>
      <c r="C21" s="6" t="s">
        <v>3</v>
      </c>
      <c r="D21" s="6">
        <f>D20/D4</f>
        <v>0.25</v>
      </c>
      <c r="E21" s="6" t="s">
        <v>20</v>
      </c>
      <c r="G21" s="51"/>
      <c r="H21" s="51"/>
      <c r="I21" s="51"/>
      <c r="J21" s="51"/>
    </row>
    <row r="22" spans="1:11" x14ac:dyDescent="0.25">
      <c r="A22" s="50"/>
      <c r="B22" t="s">
        <v>67</v>
      </c>
      <c r="C22" t="s">
        <v>102</v>
      </c>
      <c r="D22">
        <v>0.1</v>
      </c>
      <c r="G22" s="51"/>
      <c r="H22" s="51"/>
      <c r="I22" s="51"/>
      <c r="J22" s="51"/>
    </row>
    <row r="23" spans="1:11" x14ac:dyDescent="0.25">
      <c r="A23" s="50"/>
      <c r="B23" s="6"/>
      <c r="C23" s="12" t="s">
        <v>72</v>
      </c>
      <c r="D23" s="6">
        <f>D22/D4</f>
        <v>8.3333333333333343E-2</v>
      </c>
      <c r="E23" s="6"/>
    </row>
    <row r="24" spans="1:11" x14ac:dyDescent="0.25">
      <c r="A24" s="50"/>
      <c r="C24" t="s">
        <v>7</v>
      </c>
      <c r="D24">
        <v>35</v>
      </c>
    </row>
    <row r="25" spans="1:11" x14ac:dyDescent="0.25">
      <c r="A25" s="50"/>
      <c r="B25" s="6"/>
      <c r="C25" s="6" t="s">
        <v>28</v>
      </c>
      <c r="D25" s="6"/>
      <c r="E25" s="6"/>
    </row>
    <row r="26" spans="1:11" x14ac:dyDescent="0.25">
      <c r="A26" s="50"/>
      <c r="B26" s="6"/>
      <c r="C26" s="6" t="s">
        <v>12</v>
      </c>
      <c r="D26" s="6">
        <f>D24*D10</f>
        <v>0.11666666666666667</v>
      </c>
      <c r="E26" s="6" t="s">
        <v>22</v>
      </c>
    </row>
    <row r="27" spans="1:11" x14ac:dyDescent="0.25">
      <c r="A27" s="50"/>
      <c r="B27" s="6"/>
      <c r="C27" s="6" t="s">
        <v>11</v>
      </c>
      <c r="D27" s="6">
        <f>D26*D14</f>
        <v>0.7</v>
      </c>
      <c r="E27" s="6" t="s">
        <v>22</v>
      </c>
    </row>
    <row r="28" spans="1:11" x14ac:dyDescent="0.25">
      <c r="A28" s="50"/>
      <c r="C28" t="s">
        <v>8</v>
      </c>
      <c r="D28">
        <v>100</v>
      </c>
      <c r="E28" t="s">
        <v>21</v>
      </c>
    </row>
    <row r="29" spans="1:11" x14ac:dyDescent="0.25">
      <c r="A29" s="50"/>
      <c r="C29" t="s">
        <v>10</v>
      </c>
      <c r="D29" s="1">
        <f>D71/D14</f>
        <v>0</v>
      </c>
      <c r="E29" t="s">
        <v>25</v>
      </c>
      <c r="G29" s="51" t="s">
        <v>590</v>
      </c>
      <c r="H29" s="52"/>
      <c r="I29" s="52"/>
      <c r="J29" s="52"/>
      <c r="K29" s="52"/>
    </row>
    <row r="30" spans="1:11" x14ac:dyDescent="0.25">
      <c r="B30" s="8"/>
      <c r="C30" s="10"/>
      <c r="D30" s="8"/>
      <c r="E30" s="8"/>
      <c r="G30" s="52"/>
      <c r="H30" s="52"/>
      <c r="I30" s="52"/>
      <c r="J30" s="52"/>
      <c r="K30" s="52"/>
    </row>
    <row r="31" spans="1:11" ht="15" customHeight="1" x14ac:dyDescent="0.25">
      <c r="A31" s="50" t="s">
        <v>132</v>
      </c>
      <c r="B31" s="6"/>
      <c r="C31" s="6"/>
      <c r="D31" s="6"/>
      <c r="E31" s="7"/>
      <c r="G31" s="52"/>
      <c r="H31" s="52"/>
      <c r="I31" s="52"/>
      <c r="J31" s="52"/>
      <c r="K31" s="52"/>
    </row>
    <row r="32" spans="1:11" x14ac:dyDescent="0.25">
      <c r="A32" s="50"/>
      <c r="B32" s="6"/>
      <c r="C32" s="6" t="s">
        <v>126</v>
      </c>
      <c r="D32" s="6">
        <f>D8/D23</f>
        <v>959999.99999999988</v>
      </c>
      <c r="E32" s="7" t="s">
        <v>24</v>
      </c>
      <c r="G32" s="52"/>
      <c r="H32" s="52"/>
      <c r="I32" s="52"/>
      <c r="J32" s="52"/>
      <c r="K32" s="52"/>
    </row>
    <row r="33" spans="1:11" x14ac:dyDescent="0.25">
      <c r="A33" s="50"/>
      <c r="B33" s="8"/>
      <c r="C33" s="8" t="s">
        <v>127</v>
      </c>
      <c r="D33" s="8">
        <v>200000</v>
      </c>
      <c r="E33" s="9" t="s">
        <v>24</v>
      </c>
      <c r="G33" s="52"/>
      <c r="H33" s="52"/>
      <c r="I33" s="52"/>
      <c r="J33" s="52"/>
      <c r="K33" s="52"/>
    </row>
    <row r="34" spans="1:11" x14ac:dyDescent="0.25">
      <c r="A34" s="50"/>
      <c r="B34" s="8"/>
      <c r="C34" s="8" t="s">
        <v>128</v>
      </c>
      <c r="D34" s="8">
        <v>5</v>
      </c>
      <c r="E34" s="9"/>
      <c r="G34" s="52"/>
      <c r="H34" s="52"/>
      <c r="I34" s="52"/>
      <c r="J34" s="52"/>
      <c r="K34" s="52"/>
    </row>
    <row r="35" spans="1:11" x14ac:dyDescent="0.25">
      <c r="A35" s="50"/>
      <c r="C35" t="s">
        <v>133</v>
      </c>
      <c r="D35">
        <f>D33*D34</f>
        <v>1000000</v>
      </c>
    </row>
    <row r="36" spans="1:11" x14ac:dyDescent="0.25">
      <c r="A36" s="50"/>
      <c r="C36" t="s">
        <v>136</v>
      </c>
      <c r="D36">
        <v>5</v>
      </c>
      <c r="E36" t="s">
        <v>168</v>
      </c>
    </row>
    <row r="37" spans="1:11" x14ac:dyDescent="0.25">
      <c r="A37" s="50"/>
      <c r="C37" t="s">
        <v>169</v>
      </c>
      <c r="D37">
        <f>(1+(D36/200))*D35</f>
        <v>1024999.9999999999</v>
      </c>
    </row>
    <row r="38" spans="1:11" x14ac:dyDescent="0.25">
      <c r="A38" s="50"/>
      <c r="C38" t="s">
        <v>170</v>
      </c>
      <c r="D38">
        <f>(1-(D36/200))*D35</f>
        <v>975000</v>
      </c>
    </row>
    <row r="39" spans="1:11" x14ac:dyDescent="0.25">
      <c r="A39" s="50"/>
      <c r="B39" s="6"/>
      <c r="C39" s="6" t="s">
        <v>9</v>
      </c>
      <c r="D39" s="6">
        <f>D8/D38</f>
        <v>8.2051282051282051E-2</v>
      </c>
      <c r="E39" s="6" t="s">
        <v>20</v>
      </c>
    </row>
    <row r="40" spans="1:11" x14ac:dyDescent="0.25">
      <c r="A40" s="50"/>
      <c r="B40" s="6"/>
      <c r="C40" s="6" t="s">
        <v>772</v>
      </c>
      <c r="D40" s="6">
        <f>POWER(D10, 2)*D37</f>
        <v>11.388888888888889</v>
      </c>
      <c r="E40" s="6" t="s">
        <v>22</v>
      </c>
    </row>
    <row r="41" spans="1:11" x14ac:dyDescent="0.25">
      <c r="A41" s="50"/>
      <c r="B41" s="6"/>
      <c r="C41" s="6" t="s">
        <v>171</v>
      </c>
      <c r="D41" s="6">
        <f>D40/D34</f>
        <v>2.2777777777777777</v>
      </c>
      <c r="E41" s="6"/>
    </row>
    <row r="42" spans="1:11" x14ac:dyDescent="0.25">
      <c r="A42" s="50"/>
      <c r="B42" s="6"/>
      <c r="C42" s="6" t="s">
        <v>172</v>
      </c>
      <c r="D42" s="6">
        <f>D33*POWER(D113, 2)/(2*3)</f>
        <v>231.48148148148152</v>
      </c>
      <c r="E42" s="6"/>
    </row>
    <row r="43" spans="1:11" x14ac:dyDescent="0.25">
      <c r="A43" s="50"/>
      <c r="B43" s="6"/>
      <c r="C43" s="6" t="s">
        <v>773</v>
      </c>
      <c r="D43" s="6">
        <f>POWER(D11, 2)*D37</f>
        <v>6.40625</v>
      </c>
      <c r="E43" s="6" t="s">
        <v>22</v>
      </c>
    </row>
    <row r="44" spans="1:11" x14ac:dyDescent="0.25">
      <c r="A44" s="50"/>
      <c r="B44" s="6"/>
      <c r="C44" s="6" t="s">
        <v>27</v>
      </c>
      <c r="D44" s="11">
        <f>D74/D34</f>
        <v>0.23520000000000002</v>
      </c>
      <c r="E44" s="6" t="s">
        <v>25</v>
      </c>
    </row>
    <row r="45" spans="1:11" x14ac:dyDescent="0.25">
      <c r="A45" s="50"/>
      <c r="B45" s="6"/>
      <c r="C45" s="6" t="s">
        <v>770</v>
      </c>
      <c r="D45" s="11">
        <v>3</v>
      </c>
      <c r="E45" s="6" t="s">
        <v>22</v>
      </c>
    </row>
    <row r="46" spans="1:11" x14ac:dyDescent="0.25">
      <c r="A46" s="50"/>
      <c r="B46" s="6"/>
      <c r="C46" s="6" t="s">
        <v>771</v>
      </c>
      <c r="D46" t="b">
        <f>D45/D4&gt;=D41</f>
        <v>1</v>
      </c>
      <c r="E46" s="6"/>
    </row>
    <row r="47" spans="1:11" x14ac:dyDescent="0.25">
      <c r="A47" s="50"/>
      <c r="B47" s="6"/>
      <c r="C47" s="6" t="s">
        <v>774</v>
      </c>
      <c r="D47" s="11">
        <f>D45*D34/D4</f>
        <v>12.5</v>
      </c>
      <c r="E47" s="6"/>
    </row>
    <row r="48" spans="1:11" x14ac:dyDescent="0.25">
      <c r="A48" s="50"/>
      <c r="B48" s="6"/>
      <c r="C48" s="6"/>
      <c r="D48" s="11"/>
      <c r="E48" s="6"/>
    </row>
    <row r="49" spans="1:18" x14ac:dyDescent="0.25">
      <c r="A49" s="50"/>
      <c r="B49" s="8"/>
      <c r="C49" s="8" t="s">
        <v>776</v>
      </c>
      <c r="D49" s="13">
        <f>22000</f>
        <v>22000</v>
      </c>
      <c r="E49" s="8"/>
    </row>
    <row r="50" spans="1:18" x14ac:dyDescent="0.25">
      <c r="A50" s="50"/>
      <c r="B50" s="8"/>
      <c r="C50" s="8" t="s">
        <v>682</v>
      </c>
      <c r="D50" s="13">
        <v>0.1</v>
      </c>
      <c r="E50" s="8"/>
    </row>
    <row r="51" spans="1:18" x14ac:dyDescent="0.25">
      <c r="A51" s="50"/>
      <c r="B51" s="8"/>
      <c r="C51" s="8" t="s">
        <v>683</v>
      </c>
      <c r="D51" s="13">
        <v>0.06</v>
      </c>
      <c r="E51" s="8"/>
    </row>
    <row r="52" spans="1:18" x14ac:dyDescent="0.25">
      <c r="A52" s="50"/>
      <c r="B52" s="8"/>
      <c r="C52" s="8" t="s">
        <v>777</v>
      </c>
      <c r="D52" s="13">
        <f>PI()*D51*D51/4</f>
        <v>2.8274333882308137E-3</v>
      </c>
      <c r="E52" s="8"/>
    </row>
    <row r="53" spans="1:18" x14ac:dyDescent="0.25">
      <c r="A53" s="50"/>
      <c r="B53" s="44"/>
      <c r="C53" s="44" t="s">
        <v>200</v>
      </c>
      <c r="D53" s="45">
        <f>D49*D50/D52</f>
        <v>778090.83289371058</v>
      </c>
      <c r="E53" s="44"/>
    </row>
    <row r="54" spans="1:18" x14ac:dyDescent="0.25">
      <c r="A54" s="50"/>
      <c r="B54" s="6"/>
      <c r="C54" s="6" t="s">
        <v>779</v>
      </c>
      <c r="D54" s="11">
        <f>D51*D52</f>
        <v>1.696460032938488E-4</v>
      </c>
      <c r="E54" s="6"/>
    </row>
    <row r="55" spans="1:18" x14ac:dyDescent="0.25">
      <c r="A55" s="50"/>
      <c r="B55" s="6"/>
      <c r="C55" s="6" t="s">
        <v>780</v>
      </c>
      <c r="D55" s="11">
        <v>3990</v>
      </c>
      <c r="E55" s="46" t="s">
        <v>781</v>
      </c>
    </row>
    <row r="56" spans="1:18" x14ac:dyDescent="0.25">
      <c r="A56" s="50"/>
      <c r="B56" s="6"/>
      <c r="C56" s="6" t="s">
        <v>782</v>
      </c>
      <c r="D56" s="11">
        <v>1020</v>
      </c>
      <c r="E56" s="6"/>
    </row>
    <row r="57" spans="1:18" x14ac:dyDescent="0.25">
      <c r="A57" s="50"/>
      <c r="B57" s="6"/>
      <c r="C57" s="6" t="s">
        <v>778</v>
      </c>
      <c r="D57" s="11">
        <f>D56*D54*D55</f>
        <v>690.42530420530591</v>
      </c>
      <c r="E57" s="6"/>
    </row>
    <row r="58" spans="1:18" x14ac:dyDescent="0.25">
      <c r="A58" s="50"/>
      <c r="B58" s="6"/>
      <c r="C58" s="6" t="s">
        <v>783</v>
      </c>
      <c r="D58" s="11">
        <f>20</f>
        <v>20</v>
      </c>
      <c r="E58" s="6"/>
    </row>
    <row r="59" spans="1:18" x14ac:dyDescent="0.25">
      <c r="A59" s="50"/>
      <c r="B59" s="6"/>
      <c r="C59" s="6" t="s">
        <v>784</v>
      </c>
      <c r="D59" s="11">
        <f>D58*D57</f>
        <v>13808.506084106119</v>
      </c>
      <c r="E59" s="6"/>
    </row>
    <row r="60" spans="1:18" x14ac:dyDescent="0.25">
      <c r="B60" s="8"/>
      <c r="P60" t="s">
        <v>78</v>
      </c>
      <c r="Q60" t="s">
        <v>79</v>
      </c>
      <c r="R60">
        <v>0.1</v>
      </c>
    </row>
    <row r="61" spans="1:18" ht="15" customHeight="1" x14ac:dyDescent="0.25">
      <c r="A61" s="50" t="s">
        <v>30</v>
      </c>
      <c r="C61" s="8" t="s">
        <v>29</v>
      </c>
      <c r="D61" s="8">
        <v>180</v>
      </c>
      <c r="E61" s="8" t="s">
        <v>342</v>
      </c>
      <c r="P61" t="s">
        <v>80</v>
      </c>
      <c r="Q61" t="s">
        <v>81</v>
      </c>
      <c r="R61">
        <f xml:space="preserve"> D8/R60</f>
        <v>800000</v>
      </c>
    </row>
    <row r="62" spans="1:18" x14ac:dyDescent="0.25">
      <c r="A62" s="50"/>
      <c r="C62" s="8" t="s">
        <v>26</v>
      </c>
      <c r="D62" s="8">
        <v>30</v>
      </c>
      <c r="E62" s="8" t="s">
        <v>21</v>
      </c>
      <c r="P62" t="s">
        <v>82</v>
      </c>
      <c r="Q62" t="s">
        <v>83</v>
      </c>
      <c r="R62">
        <f>D2/D8</f>
        <v>2.5000000000000001E-3</v>
      </c>
    </row>
    <row r="63" spans="1:18" x14ac:dyDescent="0.25">
      <c r="A63" s="50"/>
      <c r="B63" s="6"/>
      <c r="C63" s="6" t="s">
        <v>13</v>
      </c>
      <c r="D63" s="6">
        <f>D62/D14</f>
        <v>5</v>
      </c>
      <c r="E63" s="6" t="s">
        <v>342</v>
      </c>
      <c r="P63" t="s">
        <v>84</v>
      </c>
      <c r="Q63" t="s">
        <v>85</v>
      </c>
      <c r="R63">
        <f xml:space="preserve"> D2/D9</f>
        <v>3.3333333333333335E-3</v>
      </c>
    </row>
    <row r="64" spans="1:18" x14ac:dyDescent="0.25">
      <c r="A64" s="50"/>
      <c r="B64" s="6"/>
      <c r="C64" s="6" t="s">
        <v>14</v>
      </c>
      <c r="D64" s="11">
        <f>D61/(D16*LN(D12/D63))</f>
        <v>22677523348.74741</v>
      </c>
      <c r="E64" s="7" t="s">
        <v>24</v>
      </c>
      <c r="Q64" t="s">
        <v>86</v>
      </c>
      <c r="R64">
        <f>R62*R61</f>
        <v>2000</v>
      </c>
    </row>
    <row r="65" spans="1:18" x14ac:dyDescent="0.25">
      <c r="A65" s="50"/>
      <c r="C65" s="8" t="s">
        <v>16</v>
      </c>
      <c r="D65" s="13">
        <f>1000000000*15</f>
        <v>15000000000</v>
      </c>
      <c r="E65" s="9" t="s">
        <v>24</v>
      </c>
      <c r="G65" t="s">
        <v>31</v>
      </c>
      <c r="Q65" t="s">
        <v>87</v>
      </c>
      <c r="R65">
        <f>R63*R61</f>
        <v>2666.666666666667</v>
      </c>
    </row>
    <row r="66" spans="1:18" x14ac:dyDescent="0.25">
      <c r="A66" s="50"/>
      <c r="B66" s="6"/>
      <c r="C66" s="6" t="s">
        <v>107</v>
      </c>
      <c r="D66" s="11">
        <f>D12*D12/D65</f>
        <v>1.3066666666666667E-2</v>
      </c>
      <c r="E66" s="6" t="s">
        <v>22</v>
      </c>
      <c r="Q66" t="s">
        <v>88</v>
      </c>
      <c r="R66">
        <f xml:space="preserve"> POWER(R64, 2)/R61</f>
        <v>5</v>
      </c>
    </row>
    <row r="67" spans="1:18" x14ac:dyDescent="0.25">
      <c r="A67" s="50"/>
      <c r="B67" s="6"/>
      <c r="C67" s="6" t="s">
        <v>15</v>
      </c>
      <c r="D67" s="11">
        <f>2*D66*D14</f>
        <v>0.15679999999999999</v>
      </c>
      <c r="E67" s="6" t="s">
        <v>22</v>
      </c>
      <c r="Q67" t="s">
        <v>89</v>
      </c>
      <c r="R67">
        <f xml:space="preserve"> POWER(R65, 2)/R61</f>
        <v>8.8888888888888911</v>
      </c>
    </row>
    <row r="68" spans="1:18" x14ac:dyDescent="0.25">
      <c r="A68" s="50"/>
      <c r="B68" s="6"/>
      <c r="C68" s="6" t="s">
        <v>32</v>
      </c>
      <c r="D68" s="11">
        <f>D65*D16*LN(D12/D63)</f>
        <v>119.06062044244945</v>
      </c>
      <c r="E68" s="6"/>
    </row>
    <row r="69" spans="1:18" x14ac:dyDescent="0.25">
      <c r="A69" s="50"/>
      <c r="B69" s="6"/>
      <c r="C69" s="6" t="s">
        <v>108</v>
      </c>
      <c r="D69" s="11" t="b">
        <f>D68&lt;=D61</f>
        <v>1</v>
      </c>
      <c r="E69" s="6"/>
    </row>
    <row r="70" spans="1:18" x14ac:dyDescent="0.25">
      <c r="A70" s="14"/>
      <c r="B70" s="8"/>
      <c r="C70" s="8"/>
      <c r="D70" s="13"/>
      <c r="E70" s="8"/>
    </row>
    <row r="71" spans="1:18" x14ac:dyDescent="0.25">
      <c r="A71" s="49" t="s">
        <v>109</v>
      </c>
      <c r="C71" s="6"/>
      <c r="D71" s="11"/>
      <c r="E71" s="6"/>
    </row>
    <row r="72" spans="1:18" x14ac:dyDescent="0.25">
      <c r="A72" s="49"/>
      <c r="B72" s="6"/>
      <c r="C72" s="6" t="s">
        <v>90</v>
      </c>
      <c r="D72" s="6">
        <f>D2/D3</f>
        <v>1.2500000000000001E-2</v>
      </c>
      <c r="E72" s="6"/>
    </row>
    <row r="73" spans="1:18" x14ac:dyDescent="0.25">
      <c r="A73" s="49"/>
      <c r="B73" s="6" t="s">
        <v>124</v>
      </c>
      <c r="C73" s="6" t="s">
        <v>6</v>
      </c>
      <c r="D73" s="11">
        <f>D12*D12*0.5*D16</f>
        <v>9.8000000000000004E-2</v>
      </c>
      <c r="E73" s="6" t="s">
        <v>25</v>
      </c>
    </row>
    <row r="74" spans="1:18" x14ac:dyDescent="0.25">
      <c r="A74" s="49"/>
      <c r="B74" s="6"/>
      <c r="C74" s="6" t="s">
        <v>135</v>
      </c>
      <c r="D74" s="11">
        <f>D73*2*D14</f>
        <v>1.1760000000000002</v>
      </c>
      <c r="E74" s="6"/>
    </row>
    <row r="75" spans="1:18" x14ac:dyDescent="0.25">
      <c r="A75" s="49"/>
      <c r="B75" s="6"/>
      <c r="C75" s="6" t="s">
        <v>91</v>
      </c>
      <c r="D75" s="11">
        <f>D73-D72</f>
        <v>8.5500000000000007E-2</v>
      </c>
      <c r="E75" s="6"/>
      <c r="R75" s="1"/>
    </row>
    <row r="76" spans="1:18" x14ac:dyDescent="0.25">
      <c r="A76" s="49"/>
      <c r="B76" s="6"/>
      <c r="C76" s="6" t="s">
        <v>92</v>
      </c>
      <c r="D76" s="6">
        <f xml:space="preserve"> POWER(D75*2/D16, 0.5)</f>
        <v>13076.696830622021</v>
      </c>
      <c r="E76" s="6"/>
    </row>
    <row r="77" spans="1:18" x14ac:dyDescent="0.25">
      <c r="A77" s="49"/>
      <c r="B77" s="6" t="s">
        <v>123</v>
      </c>
      <c r="C77" s="6" t="s">
        <v>93</v>
      </c>
      <c r="D77" s="6">
        <f>D12-D76</f>
        <v>923.30316937797943</v>
      </c>
      <c r="E77" s="6"/>
    </row>
    <row r="78" spans="1:18" x14ac:dyDescent="0.25">
      <c r="A78" s="49"/>
      <c r="B78" s="6" t="s">
        <v>119</v>
      </c>
      <c r="C78" s="6" t="s">
        <v>120</v>
      </c>
      <c r="D78" s="6">
        <f>D77/POWER(2, 0.5)</f>
        <v>652.87393215820066</v>
      </c>
      <c r="E78" s="6"/>
    </row>
    <row r="79" spans="1:18" x14ac:dyDescent="0.25">
      <c r="A79" s="49"/>
      <c r="B79" s="6" t="s">
        <v>122</v>
      </c>
      <c r="C79" s="6" t="s">
        <v>121</v>
      </c>
      <c r="D79" s="11">
        <f>2 * PI() * D3* D16*POWER(D78, 2)</f>
        <v>42.850757935489241</v>
      </c>
      <c r="E79" s="6"/>
    </row>
    <row r="80" spans="1:18" x14ac:dyDescent="0.25">
      <c r="A80" s="49"/>
      <c r="C80" t="s">
        <v>94</v>
      </c>
      <c r="D80">
        <v>0.01</v>
      </c>
    </row>
    <row r="81" spans="1:8" x14ac:dyDescent="0.25">
      <c r="A81" s="49"/>
      <c r="C81" t="s">
        <v>95</v>
      </c>
      <c r="D81">
        <v>0.03</v>
      </c>
    </row>
    <row r="82" spans="1:8" x14ac:dyDescent="0.25">
      <c r="A82" s="49"/>
      <c r="C82" t="s">
        <v>96</v>
      </c>
      <c r="D82">
        <v>5.0000000000000001E-4</v>
      </c>
      <c r="G82" s="5" t="s">
        <v>33</v>
      </c>
      <c r="H82" t="s">
        <v>34</v>
      </c>
    </row>
    <row r="83" spans="1:8" x14ac:dyDescent="0.25">
      <c r="A83" s="49"/>
      <c r="C83" t="s">
        <v>97</v>
      </c>
      <c r="D83">
        <v>1E-3</v>
      </c>
      <c r="G83" s="5"/>
    </row>
    <row r="84" spans="1:8" x14ac:dyDescent="0.25">
      <c r="A84" s="49"/>
      <c r="C84" t="s">
        <v>98</v>
      </c>
      <c r="D84">
        <v>5.0000000000000001E-3</v>
      </c>
    </row>
    <row r="85" spans="1:8" x14ac:dyDescent="0.25">
      <c r="A85" s="49"/>
      <c r="C85" t="s">
        <v>99</v>
      </c>
      <c r="D85">
        <v>1.4999999999999999E-2</v>
      </c>
    </row>
    <row r="86" spans="1:8" x14ac:dyDescent="0.25">
      <c r="A86" s="49"/>
      <c r="C86" t="s">
        <v>100</v>
      </c>
      <c r="D86">
        <v>0.01</v>
      </c>
    </row>
    <row r="87" spans="1:8" x14ac:dyDescent="0.25">
      <c r="A87" s="49"/>
      <c r="C87" t="s">
        <v>113</v>
      </c>
      <c r="D87">
        <v>0.02</v>
      </c>
    </row>
    <row r="88" spans="1:8" x14ac:dyDescent="0.25">
      <c r="A88" s="49"/>
      <c r="B88" s="6"/>
      <c r="C88" s="6" t="s">
        <v>110</v>
      </c>
      <c r="D88" s="6">
        <f>D79*D81</f>
        <v>1.2855227380646772</v>
      </c>
      <c r="E88" s="6"/>
    </row>
    <row r="89" spans="1:8" x14ac:dyDescent="0.25">
      <c r="A89" s="49"/>
      <c r="B89" s="6"/>
      <c r="C89" s="6" t="s">
        <v>111</v>
      </c>
      <c r="D89" s="6">
        <f>D79*D83</f>
        <v>4.2850757935489245E-2</v>
      </c>
      <c r="E89" s="6"/>
    </row>
    <row r="90" spans="1:8" x14ac:dyDescent="0.25">
      <c r="A90" s="49"/>
      <c r="B90" s="6"/>
      <c r="C90" s="6" t="s">
        <v>112</v>
      </c>
      <c r="D90" s="6">
        <f>D79*D85</f>
        <v>0.6427613690323386</v>
      </c>
      <c r="E90" s="6"/>
    </row>
    <row r="91" spans="1:8" x14ac:dyDescent="0.25">
      <c r="A91" s="49"/>
      <c r="B91" s="6"/>
      <c r="C91" s="6" t="s">
        <v>114</v>
      </c>
      <c r="D91" s="11">
        <f>D79*D87</f>
        <v>0.85701515870978484</v>
      </c>
      <c r="E91" s="6"/>
    </row>
    <row r="92" spans="1:8" x14ac:dyDescent="0.25">
      <c r="A92" s="49"/>
      <c r="B92" s="6"/>
      <c r="C92" s="6" t="s">
        <v>115</v>
      </c>
      <c r="D92" s="6">
        <f>D88*D14*2</f>
        <v>15.426272856776126</v>
      </c>
      <c r="E92" s="6"/>
    </row>
    <row r="93" spans="1:8" x14ac:dyDescent="0.25">
      <c r="A93" s="49"/>
      <c r="B93" s="6"/>
      <c r="C93" s="6" t="s">
        <v>116</v>
      </c>
      <c r="D93" s="6">
        <f>D89*D14*2</f>
        <v>0.51420909522587088</v>
      </c>
      <c r="E93" s="6"/>
    </row>
    <row r="94" spans="1:8" x14ac:dyDescent="0.25">
      <c r="A94" s="49"/>
      <c r="B94" s="6"/>
      <c r="C94" s="6" t="s">
        <v>117</v>
      </c>
      <c r="D94" s="6">
        <f>D90*D14*2</f>
        <v>7.7131364283880632</v>
      </c>
      <c r="E94" s="6"/>
    </row>
    <row r="95" spans="1:8" x14ac:dyDescent="0.25">
      <c r="A95" s="49"/>
      <c r="B95" s="6"/>
      <c r="C95" s="6" t="s">
        <v>118</v>
      </c>
      <c r="D95" s="11">
        <f>D91*D14*2</f>
        <v>10.284181904517418</v>
      </c>
      <c r="E95" s="6"/>
    </row>
    <row r="97" spans="1:5" x14ac:dyDescent="0.25">
      <c r="C97" s="2" t="s">
        <v>18</v>
      </c>
      <c r="D97" s="4">
        <f>D43+D27+D67</f>
        <v>7.2630499999999998</v>
      </c>
    </row>
    <row r="98" spans="1:5" x14ac:dyDescent="0.25">
      <c r="A98" s="50" t="s">
        <v>125</v>
      </c>
      <c r="B98" s="6" t="s">
        <v>62</v>
      </c>
      <c r="C98" s="6" t="s">
        <v>63</v>
      </c>
      <c r="D98" s="6">
        <f>D12/2</f>
        <v>7000</v>
      </c>
      <c r="E98" s="2"/>
    </row>
    <row r="99" spans="1:5" x14ac:dyDescent="0.25">
      <c r="A99" s="50"/>
      <c r="B99" t="s">
        <v>58</v>
      </c>
      <c r="C99" s="3" t="s">
        <v>59</v>
      </c>
      <c r="D99">
        <v>0.38</v>
      </c>
    </row>
    <row r="100" spans="1:5" x14ac:dyDescent="0.25">
      <c r="A100" s="50"/>
      <c r="B100" t="s">
        <v>57</v>
      </c>
      <c r="D100">
        <v>6.9999999999999999E-4</v>
      </c>
    </row>
    <row r="101" spans="1:5" x14ac:dyDescent="0.25">
      <c r="A101" s="50"/>
      <c r="B101" t="s">
        <v>51</v>
      </c>
      <c r="C101" t="s">
        <v>52</v>
      </c>
      <c r="D101">
        <v>120</v>
      </c>
    </row>
    <row r="102" spans="1:5" x14ac:dyDescent="0.25">
      <c r="A102" s="50"/>
      <c r="C102" t="s">
        <v>36</v>
      </c>
      <c r="D102">
        <v>0.9</v>
      </c>
    </row>
    <row r="103" spans="1:5" x14ac:dyDescent="0.25">
      <c r="A103" s="50"/>
      <c r="B103" t="s">
        <v>39</v>
      </c>
      <c r="C103" t="s">
        <v>42</v>
      </c>
      <c r="D103">
        <v>0.5</v>
      </c>
    </row>
    <row r="104" spans="1:5" x14ac:dyDescent="0.25">
      <c r="A104" s="50"/>
      <c r="B104" t="s">
        <v>578</v>
      </c>
      <c r="C104" s="35" t="s">
        <v>579</v>
      </c>
      <c r="D104" s="1">
        <f>D2/D3</f>
        <v>1.2500000000000001E-2</v>
      </c>
    </row>
    <row r="105" spans="1:5" x14ac:dyDescent="0.25">
      <c r="A105" s="50"/>
      <c r="B105" t="s">
        <v>41</v>
      </c>
      <c r="C105" t="s">
        <v>35</v>
      </c>
      <c r="D105">
        <f>POWER(2*D104/D107, 0.5)</f>
        <v>22.598870056497173</v>
      </c>
    </row>
    <row r="106" spans="1:5" x14ac:dyDescent="0.25">
      <c r="A106" s="50"/>
      <c r="C106" t="s">
        <v>40</v>
      </c>
      <c r="D106">
        <f>D105</f>
        <v>22.598870056497173</v>
      </c>
    </row>
    <row r="107" spans="1:5" x14ac:dyDescent="0.25">
      <c r="A107" s="50"/>
      <c r="B107" t="s">
        <v>45</v>
      </c>
      <c r="C107" t="s">
        <v>46</v>
      </c>
      <c r="D107" s="1">
        <f>POWER(D5, 2)*POWER(D103/D3, 2)/(2*D104)</f>
        <v>4.8951562500000008E-5</v>
      </c>
    </row>
    <row r="108" spans="1:5" x14ac:dyDescent="0.25">
      <c r="A108" s="50"/>
      <c r="B108" t="s">
        <v>53</v>
      </c>
      <c r="C108" t="s">
        <v>54</v>
      </c>
      <c r="D108">
        <f>POWER(D107*1000000000/D101, 0.5)</f>
        <v>20.197269308003001</v>
      </c>
    </row>
    <row r="109" spans="1:5" x14ac:dyDescent="0.25">
      <c r="A109" s="50"/>
      <c r="B109" t="s">
        <v>55</v>
      </c>
      <c r="C109" t="s">
        <v>56</v>
      </c>
      <c r="D109">
        <f>(D7 * D103) / (D108 * D100 * D3)</f>
        <v>9.7476048369563459E-2</v>
      </c>
    </row>
    <row r="110" spans="1:5" x14ac:dyDescent="0.25">
      <c r="A110" s="50"/>
      <c r="C110" t="s">
        <v>60</v>
      </c>
      <c r="D110" t="b">
        <f>D109&gt;D99</f>
        <v>0</v>
      </c>
    </row>
    <row r="111" spans="1:5" x14ac:dyDescent="0.25">
      <c r="A111" s="50"/>
      <c r="B111" t="s">
        <v>580</v>
      </c>
      <c r="C111" t="s">
        <v>583</v>
      </c>
      <c r="D111">
        <f>D105/D113</f>
        <v>271.18644067796606</v>
      </c>
    </row>
    <row r="112" spans="1:5" x14ac:dyDescent="0.25">
      <c r="A112" s="50"/>
      <c r="B112" t="s">
        <v>581</v>
      </c>
      <c r="C112" t="s">
        <v>582</v>
      </c>
      <c r="D112">
        <f>1/D111</f>
        <v>3.6875000000000007E-3</v>
      </c>
      <c r="E112">
        <v>3.6874999999999998E-3</v>
      </c>
    </row>
    <row r="113" spans="1:5" x14ac:dyDescent="0.25">
      <c r="A113" s="50"/>
      <c r="B113" t="s">
        <v>64</v>
      </c>
      <c r="C113" t="s">
        <v>65</v>
      </c>
      <c r="D113">
        <f>D23</f>
        <v>8.3333333333333343E-2</v>
      </c>
    </row>
    <row r="114" spans="1:5" x14ac:dyDescent="0.25">
      <c r="A114" s="50"/>
      <c r="C114" t="s">
        <v>66</v>
      </c>
      <c r="D114" t="b">
        <f>D113&lt;=D23</f>
        <v>1</v>
      </c>
    </row>
    <row r="115" spans="1:5" x14ac:dyDescent="0.25">
      <c r="A115" s="50"/>
      <c r="B115" t="s">
        <v>68</v>
      </c>
      <c r="C115" t="s">
        <v>49</v>
      </c>
      <c r="D115">
        <f>2*D2/(POWER(D113, 2)*D102*D3)</f>
        <v>3.9999999999999996</v>
      </c>
      <c r="E115">
        <v>8.5069444444444393</v>
      </c>
    </row>
    <row r="116" spans="1:5" x14ac:dyDescent="0.25">
      <c r="A116" s="50"/>
      <c r="B116" t="s">
        <v>815</v>
      </c>
      <c r="C116" t="s">
        <v>69</v>
      </c>
      <c r="D116">
        <f>D107*POWER(D111,2)</f>
        <v>3.6</v>
      </c>
      <c r="E116" t="s">
        <v>816</v>
      </c>
    </row>
    <row r="117" spans="1:5" x14ac:dyDescent="0.25">
      <c r="A117" s="50"/>
      <c r="B117" t="s">
        <v>174</v>
      </c>
      <c r="C117" t="s">
        <v>175</v>
      </c>
      <c r="D117">
        <f xml:space="preserve"> D111*D108</f>
        <v>5477.2255750516606</v>
      </c>
    </row>
    <row r="118" spans="1:5" x14ac:dyDescent="0.25">
      <c r="A118" s="50"/>
      <c r="C118" t="s">
        <v>176</v>
      </c>
      <c r="D118">
        <v>6</v>
      </c>
    </row>
    <row r="119" spans="1:5" x14ac:dyDescent="0.25">
      <c r="A119" s="50"/>
      <c r="C119" t="s">
        <v>227</v>
      </c>
      <c r="D119">
        <f>D117/D118</f>
        <v>912.87092917527673</v>
      </c>
    </row>
    <row r="120" spans="1:5" x14ac:dyDescent="0.25">
      <c r="A120" s="50"/>
      <c r="C120" t="s">
        <v>187</v>
      </c>
      <c r="D120">
        <v>33</v>
      </c>
      <c r="E120" t="s">
        <v>139</v>
      </c>
    </row>
    <row r="121" spans="1:5" x14ac:dyDescent="0.25">
      <c r="A121" s="50"/>
      <c r="C121" t="s">
        <v>185</v>
      </c>
      <c r="D121">
        <v>74</v>
      </c>
      <c r="E121" t="s">
        <v>139</v>
      </c>
    </row>
    <row r="122" spans="1:5" x14ac:dyDescent="0.25">
      <c r="A122" s="50"/>
      <c r="C122" t="s">
        <v>184</v>
      </c>
      <c r="D122">
        <v>4</v>
      </c>
    </row>
    <row r="123" spans="1:5" x14ac:dyDescent="0.25">
      <c r="A123" s="50"/>
      <c r="C123" t="s">
        <v>178</v>
      </c>
      <c r="D123">
        <f>D121-(D122*2)</f>
        <v>66</v>
      </c>
      <c r="E123" t="s">
        <v>139</v>
      </c>
    </row>
    <row r="124" spans="1:5" x14ac:dyDescent="0.25">
      <c r="A124" s="50"/>
      <c r="C124" t="s">
        <v>179</v>
      </c>
      <c r="D124">
        <f>D123/D118</f>
        <v>11</v>
      </c>
      <c r="E124" t="s">
        <v>139</v>
      </c>
    </row>
    <row r="125" spans="1:5" x14ac:dyDescent="0.25">
      <c r="A125" s="50"/>
      <c r="C125" t="s">
        <v>180</v>
      </c>
      <c r="D125">
        <v>0.25</v>
      </c>
      <c r="E125" t="s">
        <v>139</v>
      </c>
    </row>
    <row r="126" spans="1:5" x14ac:dyDescent="0.25">
      <c r="A126" s="50"/>
      <c r="C126" t="s">
        <v>189</v>
      </c>
      <c r="D126">
        <f>D125/2000</f>
        <v>1.25E-4</v>
      </c>
      <c r="E126" t="s">
        <v>212</v>
      </c>
    </row>
    <row r="127" spans="1:5" x14ac:dyDescent="0.25">
      <c r="A127" s="50"/>
      <c r="C127" t="s">
        <v>181</v>
      </c>
      <c r="D127">
        <f>0.1</f>
        <v>0.1</v>
      </c>
    </row>
    <row r="128" spans="1:5" x14ac:dyDescent="0.25">
      <c r="A128" s="50"/>
      <c r="C128" t="s">
        <v>182</v>
      </c>
      <c r="D128">
        <f>D125*(1+D127)</f>
        <v>0.27500000000000002</v>
      </c>
    </row>
    <row r="129" spans="1:5" x14ac:dyDescent="0.25">
      <c r="A129" s="50"/>
      <c r="C129" t="s">
        <v>177</v>
      </c>
      <c r="D129">
        <f>D117/D118</f>
        <v>912.87092917527673</v>
      </c>
    </row>
    <row r="130" spans="1:5" x14ac:dyDescent="0.25">
      <c r="A130" s="50"/>
      <c r="C130" t="s">
        <v>183</v>
      </c>
      <c r="D130">
        <f>D124/D128</f>
        <v>40</v>
      </c>
    </row>
    <row r="131" spans="1:5" x14ac:dyDescent="0.25">
      <c r="A131" s="50"/>
      <c r="C131" t="s">
        <v>195</v>
      </c>
      <c r="D131">
        <f>D129/D130</f>
        <v>22.821773229381918</v>
      </c>
    </row>
    <row r="132" spans="1:5" x14ac:dyDescent="0.25">
      <c r="A132" s="50"/>
      <c r="C132" t="s">
        <v>194</v>
      </c>
      <c r="D132">
        <f>D131*D125</f>
        <v>5.7054433073454796</v>
      </c>
      <c r="E132" t="s">
        <v>139</v>
      </c>
    </row>
    <row r="133" spans="1:5" x14ac:dyDescent="0.25">
      <c r="A133" s="50"/>
      <c r="C133" t="s">
        <v>186</v>
      </c>
      <c r="D133">
        <f>(D120/2)+(D132/2)</f>
        <v>19.352721653672738</v>
      </c>
    </row>
    <row r="134" spans="1:5" x14ac:dyDescent="0.25">
      <c r="A134" s="50"/>
      <c r="C134" t="s">
        <v>188</v>
      </c>
      <c r="D134">
        <f>(D133/1000)*D117*2*PI()</f>
        <v>666.01275416968303</v>
      </c>
    </row>
    <row r="135" spans="1:5" x14ac:dyDescent="0.25">
      <c r="A135" s="50"/>
      <c r="C135" t="s">
        <v>189</v>
      </c>
      <c r="D135">
        <f>D125/2000</f>
        <v>1.25E-4</v>
      </c>
    </row>
    <row r="136" spans="1:5" x14ac:dyDescent="0.25">
      <c r="A136" s="50"/>
      <c r="C136" t="s">
        <v>190</v>
      </c>
      <c r="D136">
        <f>PI()*POWER(D135, 2)*D134</f>
        <v>3.2692824620259078E-5</v>
      </c>
      <c r="E136" t="s">
        <v>192</v>
      </c>
    </row>
    <row r="137" spans="1:5" x14ac:dyDescent="0.25">
      <c r="A137" s="50"/>
      <c r="C137" t="s">
        <v>191</v>
      </c>
      <c r="D137">
        <v>8960</v>
      </c>
    </row>
    <row r="138" spans="1:5" x14ac:dyDescent="0.25">
      <c r="A138" s="50"/>
      <c r="C138" t="s">
        <v>193</v>
      </c>
      <c r="D138">
        <f>D137*D136</f>
        <v>0.29292770859752132</v>
      </c>
    </row>
    <row r="139" spans="1:5" x14ac:dyDescent="0.25">
      <c r="A139" s="50"/>
      <c r="C139" t="s">
        <v>225</v>
      </c>
      <c r="D139">
        <f>D126^2*PI()</f>
        <v>4.9087385212340514E-8</v>
      </c>
    </row>
    <row r="140" spans="1:5" x14ac:dyDescent="0.25">
      <c r="A140" s="50"/>
      <c r="C140" t="s">
        <v>201</v>
      </c>
      <c r="D140" s="1">
        <v>1.6800000000000002E-8</v>
      </c>
    </row>
    <row r="141" spans="1:5" x14ac:dyDescent="0.25">
      <c r="A141" s="50"/>
      <c r="C141" t="s">
        <v>200</v>
      </c>
      <c r="D141" s="1">
        <f>D140*D134/D139</f>
        <v>227.94072696375301</v>
      </c>
    </row>
    <row r="142" spans="1:5" x14ac:dyDescent="0.25">
      <c r="A142" s="50"/>
      <c r="C142" t="s">
        <v>202</v>
      </c>
      <c r="D142" s="1">
        <f>POWER(D113/POWER(3, 0.5), 2)*D141</f>
        <v>0.52764057167535439</v>
      </c>
      <c r="E142" t="s">
        <v>226</v>
      </c>
    </row>
    <row r="143" spans="1:5" x14ac:dyDescent="0.25">
      <c r="A143" s="50"/>
      <c r="C143" t="s">
        <v>196</v>
      </c>
    </row>
    <row r="144" spans="1:5" x14ac:dyDescent="0.25">
      <c r="A144" s="50"/>
      <c r="C144" t="s">
        <v>197</v>
      </c>
    </row>
    <row r="145" spans="1:5" x14ac:dyDescent="0.25">
      <c r="A145" s="50"/>
      <c r="C145" t="s">
        <v>199</v>
      </c>
      <c r="D145">
        <v>2</v>
      </c>
      <c r="E145" t="s">
        <v>205</v>
      </c>
    </row>
    <row r="146" spans="1:5" x14ac:dyDescent="0.25">
      <c r="A146" s="50"/>
      <c r="C146" t="s">
        <v>209</v>
      </c>
      <c r="D146">
        <f>D145/2000</f>
        <v>1E-3</v>
      </c>
    </row>
    <row r="147" spans="1:5" x14ac:dyDescent="0.25">
      <c r="A147" s="50"/>
      <c r="C147" t="s">
        <v>198</v>
      </c>
      <c r="D147">
        <v>21</v>
      </c>
    </row>
    <row r="148" spans="1:5" x14ac:dyDescent="0.25">
      <c r="A148" s="50"/>
      <c r="C148" t="s">
        <v>203</v>
      </c>
      <c r="D148">
        <v>0.05</v>
      </c>
    </row>
    <row r="149" spans="1:5" x14ac:dyDescent="0.25">
      <c r="A149" s="50"/>
      <c r="C149" t="s">
        <v>204</v>
      </c>
      <c r="D149">
        <f>(D147/1000)*D108*2*PI()</f>
        <v>2.6649669009850672</v>
      </c>
    </row>
    <row r="150" spans="1:5" x14ac:dyDescent="0.25">
      <c r="A150" s="50"/>
      <c r="C150" t="s">
        <v>189</v>
      </c>
      <c r="D150">
        <f>D145/2000</f>
        <v>1E-3</v>
      </c>
    </row>
    <row r="151" spans="1:5" x14ac:dyDescent="0.25">
      <c r="A151" s="50"/>
      <c r="C151" t="s">
        <v>190</v>
      </c>
      <c r="D151">
        <f>PI()*POWER(D150, 2)*D149</f>
        <v>8.3722404381946435E-6</v>
      </c>
    </row>
    <row r="152" spans="1:5" x14ac:dyDescent="0.25">
      <c r="A152" s="50"/>
      <c r="C152" t="s">
        <v>206</v>
      </c>
      <c r="D152">
        <f>POWER(2*D157/(4*PI()*(0.0000001)*2*PI()*D3), 0.5)</f>
        <v>5.157209585242166E-4</v>
      </c>
      <c r="E152" t="s">
        <v>212</v>
      </c>
    </row>
    <row r="153" spans="1:5" x14ac:dyDescent="0.25">
      <c r="A153" s="50"/>
      <c r="C153" t="s">
        <v>207</v>
      </c>
      <c r="D153">
        <f>1000*D152</f>
        <v>0.51572095852421662</v>
      </c>
      <c r="E153" t="s">
        <v>139</v>
      </c>
    </row>
    <row r="154" spans="1:5" x14ac:dyDescent="0.25">
      <c r="A154" s="50"/>
      <c r="C154" t="s">
        <v>208</v>
      </c>
      <c r="D154">
        <f>POWER(D146, 2)*PI()</f>
        <v>3.1415926535897929E-6</v>
      </c>
      <c r="E154" t="s">
        <v>213</v>
      </c>
    </row>
    <row r="155" spans="1:5" x14ac:dyDescent="0.25">
      <c r="A155" s="50"/>
      <c r="C155" t="s">
        <v>210</v>
      </c>
      <c r="D155">
        <f>POWER((D146-D152), 2)*PI()</f>
        <v>7.3678575561831338E-7</v>
      </c>
      <c r="E155" t="s">
        <v>213</v>
      </c>
    </row>
    <row r="156" spans="1:5" x14ac:dyDescent="0.25">
      <c r="A156" s="50"/>
      <c r="C156" t="s">
        <v>211</v>
      </c>
      <c r="D156">
        <f>D154-D155</f>
        <v>2.4048068979714796E-6</v>
      </c>
      <c r="E156" t="s">
        <v>213</v>
      </c>
    </row>
    <row r="157" spans="1:5" x14ac:dyDescent="0.25">
      <c r="A157" s="50"/>
      <c r="C157" t="s">
        <v>201</v>
      </c>
      <c r="D157" s="1">
        <v>1.6800000000000002E-8</v>
      </c>
    </row>
    <row r="158" spans="1:5" x14ac:dyDescent="0.25">
      <c r="A158" s="50"/>
      <c r="C158" t="s">
        <v>215</v>
      </c>
      <c r="D158" s="1">
        <f>D149+D148</f>
        <v>2.714966900985067</v>
      </c>
    </row>
    <row r="159" spans="1:5" x14ac:dyDescent="0.25">
      <c r="A159" s="50"/>
      <c r="C159" t="s">
        <v>216</v>
      </c>
      <c r="D159" s="1">
        <f>2*D146*PI()*D149</f>
        <v>1.674448087638929E-2</v>
      </c>
    </row>
    <row r="160" spans="1:5" x14ac:dyDescent="0.25">
      <c r="A160" s="50"/>
      <c r="C160" t="s">
        <v>217</v>
      </c>
      <c r="D160" s="1">
        <f>D157*D149/D156</f>
        <v>1.8617479837701342E-2</v>
      </c>
      <c r="E160" t="s">
        <v>214</v>
      </c>
    </row>
    <row r="161" spans="1:5" x14ac:dyDescent="0.25">
      <c r="A161" s="50"/>
      <c r="C161" t="s">
        <v>218</v>
      </c>
      <c r="D161" s="1">
        <f>D157*D148/D156</f>
        <v>3.4930039526606611E-4</v>
      </c>
    </row>
    <row r="162" spans="1:5" x14ac:dyDescent="0.25">
      <c r="A162" s="50"/>
      <c r="C162" t="s">
        <v>219</v>
      </c>
      <c r="D162" s="1">
        <f>D160+D161</f>
        <v>1.8966780232967408E-2</v>
      </c>
    </row>
    <row r="163" spans="1:5" x14ac:dyDescent="0.25">
      <c r="A163" s="50"/>
      <c r="C163" t="s">
        <v>220</v>
      </c>
      <c r="D163" s="1">
        <f>POWER(D105/POWER(3, 0.5), 2)*D160</f>
        <v>3.1693710556057906</v>
      </c>
    </row>
    <row r="164" spans="1:5" x14ac:dyDescent="0.25">
      <c r="A164" s="50"/>
      <c r="C164" t="s">
        <v>221</v>
      </c>
      <c r="D164" s="1">
        <f>POWER(D105/POWER(3, 0.5), 2)*D161</f>
        <v>5.9463610119027711E-2</v>
      </c>
    </row>
    <row r="165" spans="1:5" x14ac:dyDescent="0.25">
      <c r="A165" s="50"/>
      <c r="C165" t="s">
        <v>222</v>
      </c>
      <c r="D165" s="1">
        <f>D163+D164</f>
        <v>3.2288346657248184</v>
      </c>
    </row>
    <row r="166" spans="1:5" x14ac:dyDescent="0.25">
      <c r="A166" s="50"/>
      <c r="C166" t="s">
        <v>223</v>
      </c>
      <c r="D166" s="23">
        <f>D163/D159</f>
        <v>189.2785496906501</v>
      </c>
      <c r="E166" t="s">
        <v>224</v>
      </c>
    </row>
    <row r="167" spans="1:5" x14ac:dyDescent="0.25">
      <c r="A167" s="50"/>
      <c r="C167" t="s">
        <v>295</v>
      </c>
      <c r="D167" s="23">
        <v>0.2</v>
      </c>
    </row>
    <row r="168" spans="1:5" x14ac:dyDescent="0.25">
      <c r="A168" s="50"/>
      <c r="C168" t="s">
        <v>814</v>
      </c>
      <c r="D168">
        <f>D167*D116</f>
        <v>0.72000000000000008</v>
      </c>
    </row>
    <row r="169" spans="1:5" x14ac:dyDescent="0.25">
      <c r="A169" s="50"/>
      <c r="C169" t="s">
        <v>231</v>
      </c>
      <c r="D169">
        <f>D168/POWER(D111, 2)</f>
        <v>9.7903125000000027E-6</v>
      </c>
    </row>
    <row r="170" spans="1:5" x14ac:dyDescent="0.25">
      <c r="A170" s="24"/>
    </row>
    <row r="171" spans="1:5" x14ac:dyDescent="0.25">
      <c r="A171" s="49" t="s">
        <v>537</v>
      </c>
      <c r="B171" t="s">
        <v>532</v>
      </c>
      <c r="D171">
        <f>D4</f>
        <v>1.2</v>
      </c>
    </row>
    <row r="172" spans="1:5" x14ac:dyDescent="0.25">
      <c r="A172" s="49"/>
      <c r="B172" t="s">
        <v>50</v>
      </c>
      <c r="C172" t="s">
        <v>239</v>
      </c>
      <c r="D172">
        <f>1/D111</f>
        <v>3.6875000000000007E-3</v>
      </c>
    </row>
    <row r="173" spans="1:5" x14ac:dyDescent="0.25">
      <c r="A173" s="49"/>
      <c r="B173" t="s">
        <v>48</v>
      </c>
      <c r="D173">
        <f>D3</f>
        <v>16000</v>
      </c>
    </row>
    <row r="174" spans="1:5" x14ac:dyDescent="0.25">
      <c r="A174" s="49"/>
      <c r="B174" t="s">
        <v>76</v>
      </c>
      <c r="D174">
        <f>D98</f>
        <v>7000</v>
      </c>
    </row>
    <row r="175" spans="1:5" x14ac:dyDescent="0.25">
      <c r="A175" s="49"/>
      <c r="B175" t="s">
        <v>531</v>
      </c>
      <c r="C175" t="s">
        <v>247</v>
      </c>
      <c r="D175">
        <v>2.5</v>
      </c>
    </row>
    <row r="176" spans="1:5" x14ac:dyDescent="0.25">
      <c r="A176" s="49"/>
      <c r="B176" t="s">
        <v>240</v>
      </c>
      <c r="D176">
        <f>D105</f>
        <v>22.598870056497173</v>
      </c>
    </row>
    <row r="177" spans="1:4" x14ac:dyDescent="0.25">
      <c r="A177" s="49"/>
      <c r="B177" t="s">
        <v>241</v>
      </c>
      <c r="D177">
        <f>D169</f>
        <v>9.7903125000000027E-6</v>
      </c>
    </row>
    <row r="178" spans="1:4" x14ac:dyDescent="0.25">
      <c r="A178" s="49"/>
      <c r="B178" t="s">
        <v>536</v>
      </c>
      <c r="D178">
        <f>D174*D172</f>
        <v>25.812500000000004</v>
      </c>
    </row>
    <row r="179" spans="1:4" x14ac:dyDescent="0.25">
      <c r="A179" s="49"/>
      <c r="B179" t="s">
        <v>238</v>
      </c>
      <c r="D179">
        <v>10</v>
      </c>
    </row>
    <row r="180" spans="1:4" x14ac:dyDescent="0.25">
      <c r="A180" s="49"/>
      <c r="B180" t="s">
        <v>228</v>
      </c>
      <c r="C180" t="s">
        <v>237</v>
      </c>
      <c r="D180">
        <f>D175*D178</f>
        <v>64.531250000000014</v>
      </c>
    </row>
    <row r="181" spans="1:4" x14ac:dyDescent="0.25">
      <c r="A181" s="49"/>
      <c r="B181" t="s">
        <v>39</v>
      </c>
      <c r="D181">
        <f>D103</f>
        <v>0.5</v>
      </c>
    </row>
    <row r="182" spans="1:4" x14ac:dyDescent="0.25">
      <c r="A182" s="49"/>
      <c r="B182" t="s">
        <v>300</v>
      </c>
      <c r="D182">
        <f>0.5*D177*POWER(D176, 2)</f>
        <v>2.5000000000000001E-3</v>
      </c>
    </row>
    <row r="183" spans="1:4" x14ac:dyDescent="0.25">
      <c r="A183" s="49"/>
      <c r="B183" t="s">
        <v>229</v>
      </c>
      <c r="D183">
        <f>D176*D177/D180</f>
        <v>3.4285714285714285E-6</v>
      </c>
    </row>
    <row r="184" spans="1:4" x14ac:dyDescent="0.25">
      <c r="A184" s="49"/>
      <c r="B184" t="s">
        <v>230</v>
      </c>
      <c r="D184" t="b">
        <f>AND(D183&gt;0, D183&lt;((1-D181)/D173))</f>
        <v>1</v>
      </c>
    </row>
    <row r="185" spans="1:4" x14ac:dyDescent="0.25">
      <c r="A185" s="49"/>
      <c r="B185" t="s">
        <v>242</v>
      </c>
      <c r="D185">
        <f>D182*D173</f>
        <v>40</v>
      </c>
    </row>
    <row r="186" spans="1:4" x14ac:dyDescent="0.25">
      <c r="A186" s="49"/>
      <c r="B186" t="s">
        <v>235</v>
      </c>
      <c r="D186">
        <f>POWER(D180, 2)/D185</f>
        <v>104.10705566406254</v>
      </c>
    </row>
    <row r="187" spans="1:4" x14ac:dyDescent="0.25">
      <c r="A187" s="49"/>
      <c r="B187" t="s">
        <v>233</v>
      </c>
      <c r="D187">
        <v>330</v>
      </c>
    </row>
    <row r="188" spans="1:4" x14ac:dyDescent="0.25">
      <c r="A188" s="49"/>
      <c r="B188" t="s">
        <v>533</v>
      </c>
      <c r="D188">
        <f>POWER(D187*D185, 0.5)</f>
        <v>114.89125293076057</v>
      </c>
    </row>
    <row r="189" spans="1:4" x14ac:dyDescent="0.25">
      <c r="A189" s="49"/>
      <c r="B189" t="s">
        <v>535</v>
      </c>
      <c r="D189">
        <f>D188/D178</f>
        <v>4.4509928496178421</v>
      </c>
    </row>
    <row r="190" spans="1:4" x14ac:dyDescent="0.25">
      <c r="A190" s="49"/>
      <c r="B190" t="s">
        <v>243</v>
      </c>
      <c r="C190" t="s">
        <v>244</v>
      </c>
      <c r="D190">
        <f>D185*D171</f>
        <v>48</v>
      </c>
    </row>
    <row r="191" spans="1:4" x14ac:dyDescent="0.25">
      <c r="A191" s="49"/>
      <c r="B191" t="s">
        <v>232</v>
      </c>
      <c r="C191" t="s">
        <v>245</v>
      </c>
      <c r="D191">
        <v>0.5</v>
      </c>
    </row>
    <row r="192" spans="1:4" x14ac:dyDescent="0.25">
      <c r="A192" s="49"/>
      <c r="B192" t="s">
        <v>234</v>
      </c>
      <c r="D192">
        <f>D188/(D191*D187*D173)</f>
        <v>4.3519413988924462E-5</v>
      </c>
    </row>
    <row r="193" spans="1:14" x14ac:dyDescent="0.25">
      <c r="A193" s="49"/>
      <c r="B193" t="s">
        <v>293</v>
      </c>
      <c r="C193" t="s">
        <v>294</v>
      </c>
      <c r="D193" s="1">
        <v>10</v>
      </c>
    </row>
    <row r="194" spans="1:14" x14ac:dyDescent="0.25">
      <c r="A194" s="49"/>
      <c r="B194" t="s">
        <v>534</v>
      </c>
      <c r="D194" s="1">
        <v>6.0000000000000002E-6</v>
      </c>
    </row>
    <row r="195" spans="1:14" x14ac:dyDescent="0.25">
      <c r="A195" s="49"/>
      <c r="B195" t="s">
        <v>510</v>
      </c>
      <c r="D195" s="1">
        <v>4.1000000000000003E-3</v>
      </c>
    </row>
    <row r="196" spans="1:14" x14ac:dyDescent="0.25">
      <c r="A196" s="49"/>
      <c r="B196" t="s">
        <v>236</v>
      </c>
      <c r="D196" s="1">
        <f>D194*D193</f>
        <v>6.0000000000000002E-5</v>
      </c>
    </row>
    <row r="197" spans="1:14" x14ac:dyDescent="0.25">
      <c r="A197" s="49"/>
      <c r="B197" t="s">
        <v>511</v>
      </c>
      <c r="D197" s="1">
        <f>D195/D193</f>
        <v>4.1000000000000005E-4</v>
      </c>
    </row>
    <row r="198" spans="1:14" x14ac:dyDescent="0.25">
      <c r="A198" s="49"/>
      <c r="B198" t="s">
        <v>515</v>
      </c>
      <c r="C198" t="s">
        <v>246</v>
      </c>
      <c r="D198">
        <f>D188/(D196*(D187*D173))</f>
        <v>0.36266178324103715</v>
      </c>
      <c r="H198" t="s">
        <v>529</v>
      </c>
      <c r="I198" t="s">
        <v>518</v>
      </c>
      <c r="J198" t="s">
        <v>526</v>
      </c>
      <c r="K198" t="s">
        <v>524</v>
      </c>
      <c r="L198" t="s">
        <v>525</v>
      </c>
      <c r="M198" t="s">
        <v>527</v>
      </c>
      <c r="N198" t="s">
        <v>528</v>
      </c>
    </row>
    <row r="199" spans="1:14" x14ac:dyDescent="0.25">
      <c r="A199" s="49"/>
      <c r="B199" t="s">
        <v>516</v>
      </c>
      <c r="D199" s="1">
        <f>D176*D197</f>
        <v>9.2655367231638426E-3</v>
      </c>
      <c r="E199" t="s">
        <v>507</v>
      </c>
      <c r="G199" s="5" t="s">
        <v>517</v>
      </c>
      <c r="H199">
        <v>27</v>
      </c>
      <c r="I199">
        <v>2</v>
      </c>
      <c r="J199">
        <v>1.8</v>
      </c>
      <c r="K199">
        <f>J199/I199</f>
        <v>0.9</v>
      </c>
      <c r="L199" s="31">
        <v>8.81</v>
      </c>
      <c r="M199" s="31">
        <f>L199*I199</f>
        <v>17.62</v>
      </c>
      <c r="N199">
        <f>H199*I199</f>
        <v>54</v>
      </c>
    </row>
    <row r="200" spans="1:14" x14ac:dyDescent="0.25">
      <c r="A200" s="49"/>
      <c r="B200" t="s">
        <v>514</v>
      </c>
      <c r="D200" s="1">
        <f>D199+D198</f>
        <v>0.37192731996420098</v>
      </c>
      <c r="G200" t="s">
        <v>519</v>
      </c>
      <c r="H200">
        <v>47</v>
      </c>
      <c r="I200">
        <v>1</v>
      </c>
      <c r="J200">
        <v>2.7</v>
      </c>
      <c r="K200">
        <f t="shared" ref="K200:K205" si="0">J200/I200</f>
        <v>2.7</v>
      </c>
      <c r="L200" s="31">
        <v>13.55</v>
      </c>
      <c r="M200" s="31">
        <f t="shared" ref="M200:M202" si="1">L200*I200</f>
        <v>13.55</v>
      </c>
      <c r="N200">
        <f t="shared" ref="N200:N205" si="2">H200*I200</f>
        <v>47</v>
      </c>
    </row>
    <row r="201" spans="1:14" ht="15.75" thickBot="1" x14ac:dyDescent="0.3">
      <c r="A201" s="49"/>
      <c r="B201" t="s">
        <v>512</v>
      </c>
      <c r="D201" s="1">
        <f>POWER(D199, 2)/D197</f>
        <v>0.20939066041048232</v>
      </c>
      <c r="G201" t="s">
        <v>520</v>
      </c>
      <c r="H201">
        <v>8</v>
      </c>
      <c r="I201">
        <v>10</v>
      </c>
      <c r="J201">
        <v>6</v>
      </c>
      <c r="K201">
        <f t="shared" si="0"/>
        <v>0.6</v>
      </c>
      <c r="L201" s="32">
        <v>2.95</v>
      </c>
      <c r="M201" s="32">
        <f>L201*I201</f>
        <v>29.5</v>
      </c>
      <c r="N201">
        <f t="shared" si="2"/>
        <v>80</v>
      </c>
    </row>
    <row r="202" spans="1:14" x14ac:dyDescent="0.25">
      <c r="A202" s="49"/>
      <c r="B202" t="s">
        <v>513</v>
      </c>
      <c r="D202" s="1">
        <f>D201/D193</f>
        <v>2.0939066041048233E-2</v>
      </c>
      <c r="G202" t="s">
        <v>521</v>
      </c>
      <c r="H202">
        <v>12</v>
      </c>
      <c r="I202">
        <v>4</v>
      </c>
      <c r="J202">
        <v>1.8</v>
      </c>
      <c r="K202">
        <f t="shared" si="0"/>
        <v>0.45</v>
      </c>
      <c r="L202" s="31">
        <v>8.82</v>
      </c>
      <c r="M202" s="31">
        <f t="shared" si="1"/>
        <v>35.28</v>
      </c>
      <c r="N202">
        <f t="shared" si="2"/>
        <v>48</v>
      </c>
    </row>
    <row r="203" spans="1:14" x14ac:dyDescent="0.25">
      <c r="A203" s="49"/>
      <c r="B203" t="s">
        <v>296</v>
      </c>
      <c r="D203" s="1">
        <f>2*PI()*D173*D196*D198</f>
        <v>2.1875243404182072</v>
      </c>
      <c r="E203" t="s">
        <v>508</v>
      </c>
      <c r="G203" s="5" t="s">
        <v>522</v>
      </c>
      <c r="H203">
        <v>6</v>
      </c>
      <c r="I203">
        <v>10</v>
      </c>
      <c r="J203">
        <v>4.0999999999999996</v>
      </c>
      <c r="K203">
        <f t="shared" si="0"/>
        <v>0.41</v>
      </c>
      <c r="L203" s="31"/>
      <c r="M203" s="31">
        <v>25.4</v>
      </c>
      <c r="N203">
        <f t="shared" si="2"/>
        <v>60</v>
      </c>
    </row>
    <row r="204" spans="1:14" x14ac:dyDescent="0.25">
      <c r="A204" s="49"/>
      <c r="B204" t="s">
        <v>297</v>
      </c>
      <c r="D204">
        <f>2*D203</f>
        <v>4.3750486808364144</v>
      </c>
      <c r="E204" t="s">
        <v>509</v>
      </c>
      <c r="G204" t="s">
        <v>523</v>
      </c>
      <c r="H204">
        <v>5.6</v>
      </c>
      <c r="I204">
        <v>9</v>
      </c>
      <c r="J204">
        <v>4.2</v>
      </c>
      <c r="K204">
        <f t="shared" si="0"/>
        <v>0.46666666666666667</v>
      </c>
      <c r="L204" s="31"/>
      <c r="M204" s="31">
        <v>26.7</v>
      </c>
      <c r="N204">
        <f t="shared" si="2"/>
        <v>50.4</v>
      </c>
    </row>
    <row r="205" spans="1:14" x14ac:dyDescent="0.25">
      <c r="A205" s="49"/>
      <c r="B205" t="s">
        <v>298</v>
      </c>
      <c r="D205" s="1">
        <f>D204/D193</f>
        <v>0.43750486808364142</v>
      </c>
      <c r="G205" t="s">
        <v>530</v>
      </c>
      <c r="H205">
        <v>5</v>
      </c>
      <c r="I205">
        <v>10</v>
      </c>
      <c r="J205">
        <v>5.5</v>
      </c>
      <c r="K205">
        <f t="shared" si="0"/>
        <v>0.55000000000000004</v>
      </c>
      <c r="M205" s="33">
        <v>21</v>
      </c>
      <c r="N205">
        <f t="shared" si="2"/>
        <v>50</v>
      </c>
    </row>
    <row r="206" spans="1:14" x14ac:dyDescent="0.25">
      <c r="A206" s="49"/>
      <c r="B206" t="s">
        <v>299</v>
      </c>
      <c r="D206" s="1">
        <f>D176*D4</f>
        <v>27.118644067796605</v>
      </c>
    </row>
    <row r="207" spans="1:14" x14ac:dyDescent="0.25">
      <c r="A207" s="49"/>
      <c r="B207" t="s">
        <v>300</v>
      </c>
      <c r="D207" s="1">
        <f>D182</f>
        <v>2.5000000000000001E-3</v>
      </c>
    </row>
    <row r="208" spans="1:14" x14ac:dyDescent="0.25">
      <c r="A208" s="49"/>
      <c r="B208" t="s">
        <v>301</v>
      </c>
      <c r="D208" s="1"/>
    </row>
    <row r="209" spans="1:5" x14ac:dyDescent="0.25">
      <c r="A209" s="49"/>
      <c r="B209" t="s">
        <v>302</v>
      </c>
      <c r="D209" s="1">
        <f>D182*D173</f>
        <v>40</v>
      </c>
    </row>
    <row r="210" spans="1:5" x14ac:dyDescent="0.25">
      <c r="A210" s="49"/>
      <c r="B210" t="s">
        <v>248</v>
      </c>
      <c r="D210">
        <v>2.85</v>
      </c>
    </row>
    <row r="211" spans="1:5" x14ac:dyDescent="0.25">
      <c r="A211" s="49"/>
      <c r="C211" t="s">
        <v>249</v>
      </c>
      <c r="D211">
        <v>200</v>
      </c>
    </row>
    <row r="212" spans="1:5" x14ac:dyDescent="0.25">
      <c r="A212" s="49"/>
      <c r="C212" t="s">
        <v>250</v>
      </c>
      <c r="D212">
        <f>(D211+D7)/D210</f>
        <v>85.649122807017534</v>
      </c>
    </row>
    <row r="213" spans="1:5" x14ac:dyDescent="0.25">
      <c r="A213" s="49"/>
      <c r="C213" t="s">
        <v>251</v>
      </c>
      <c r="D213" s="1">
        <v>9.9999999999999995E-7</v>
      </c>
    </row>
    <row r="214" spans="1:5" x14ac:dyDescent="0.25">
      <c r="A214" s="49"/>
    </row>
    <row r="215" spans="1:5" x14ac:dyDescent="0.25">
      <c r="A215" s="49"/>
      <c r="B215" t="s">
        <v>253</v>
      </c>
      <c r="D215">
        <v>500000</v>
      </c>
    </row>
    <row r="216" spans="1:5" x14ac:dyDescent="0.25">
      <c r="A216" s="49"/>
      <c r="B216" t="s">
        <v>277</v>
      </c>
      <c r="D216">
        <f>D215/D212</f>
        <v>5837.7714051618195</v>
      </c>
    </row>
    <row r="217" spans="1:5" x14ac:dyDescent="0.25">
      <c r="A217" s="49"/>
      <c r="B217" t="s">
        <v>254</v>
      </c>
      <c r="D217">
        <v>6800</v>
      </c>
    </row>
    <row r="218" spans="1:5" x14ac:dyDescent="0.25">
      <c r="A218" s="49"/>
      <c r="B218" t="s">
        <v>255</v>
      </c>
      <c r="D218">
        <f>D215+D217</f>
        <v>506800</v>
      </c>
    </row>
    <row r="219" spans="1:5" x14ac:dyDescent="0.25">
      <c r="A219" s="49"/>
      <c r="B219" t="s">
        <v>256</v>
      </c>
      <c r="D219">
        <f>D211/D218</f>
        <v>3.9463299131807419E-4</v>
      </c>
      <c r="E219" t="s">
        <v>20</v>
      </c>
    </row>
    <row r="220" spans="1:5" x14ac:dyDescent="0.25">
      <c r="A220" s="49"/>
      <c r="B220" t="s">
        <v>257</v>
      </c>
      <c r="D220">
        <f>POWER(D219, 2)*D215</f>
        <v>7.7867598918325606E-2</v>
      </c>
      <c r="E220" t="s">
        <v>22</v>
      </c>
    </row>
    <row r="221" spans="1:5" x14ac:dyDescent="0.25">
      <c r="A221" s="49"/>
      <c r="B221" t="s">
        <v>258</v>
      </c>
      <c r="D221">
        <f>POWER(D219, 2)*D217</f>
        <v>1.0589993452892283E-3</v>
      </c>
      <c r="E221" t="s">
        <v>22</v>
      </c>
    </row>
    <row r="222" spans="1:5" x14ac:dyDescent="0.25">
      <c r="A222" s="49"/>
      <c r="B222" t="s">
        <v>259</v>
      </c>
      <c r="C222" t="s">
        <v>252</v>
      </c>
      <c r="D222">
        <f>D220+D221</f>
        <v>7.8926598263614839E-2</v>
      </c>
      <c r="E222" t="s">
        <v>22</v>
      </c>
    </row>
    <row r="223" spans="1:5" x14ac:dyDescent="0.25">
      <c r="A223" s="49"/>
      <c r="B223" t="s">
        <v>260</v>
      </c>
      <c r="D223">
        <f>D211/100</f>
        <v>2</v>
      </c>
    </row>
    <row r="224" spans="1:5" x14ac:dyDescent="0.25">
      <c r="A224" s="49"/>
      <c r="C224" t="s">
        <v>261</v>
      </c>
      <c r="D224">
        <f>POWER(2, 12)</f>
        <v>4096</v>
      </c>
    </row>
    <row r="225" spans="1:11" x14ac:dyDescent="0.25">
      <c r="A225" s="49"/>
      <c r="C225" t="s">
        <v>262</v>
      </c>
      <c r="D225">
        <f>3.3/D224</f>
        <v>8.0566406249999996E-4</v>
      </c>
    </row>
    <row r="226" spans="1:11" x14ac:dyDescent="0.25">
      <c r="A226" s="49"/>
      <c r="C226" t="s">
        <v>263</v>
      </c>
      <c r="D226">
        <f>D225*D212</f>
        <v>6.9004420230263153E-2</v>
      </c>
      <c r="E226" t="s">
        <v>21</v>
      </c>
    </row>
    <row r="227" spans="1:11" x14ac:dyDescent="0.25">
      <c r="A227" s="29"/>
    </row>
    <row r="228" spans="1:11" x14ac:dyDescent="0.25">
      <c r="A228" s="49" t="s">
        <v>775</v>
      </c>
    </row>
    <row r="229" spans="1:11" x14ac:dyDescent="0.25">
      <c r="A229" s="49"/>
      <c r="B229" t="s">
        <v>576</v>
      </c>
      <c r="C229" t="s">
        <v>577</v>
      </c>
    </row>
    <row r="230" spans="1:11" x14ac:dyDescent="0.25">
      <c r="A230" s="49"/>
    </row>
    <row r="231" spans="1:11" x14ac:dyDescent="0.25">
      <c r="A231" s="49"/>
      <c r="B231" t="s">
        <v>532</v>
      </c>
      <c r="D231">
        <v>2.5</v>
      </c>
    </row>
    <row r="232" spans="1:11" x14ac:dyDescent="0.25">
      <c r="A232" s="49"/>
      <c r="B232" t="s">
        <v>547</v>
      </c>
      <c r="C232" s="34"/>
      <c r="D232">
        <f>D169</f>
        <v>9.7903125000000027E-6</v>
      </c>
      <c r="E232">
        <f>D232</f>
        <v>9.7903125000000027E-6</v>
      </c>
      <c r="F232">
        <f t="shared" ref="F232:G232" si="3">E232</f>
        <v>9.7903125000000027E-6</v>
      </c>
      <c r="G232">
        <f t="shared" si="3"/>
        <v>9.7903125000000027E-6</v>
      </c>
      <c r="H232">
        <f t="shared" ref="H232:K232" si="4">G232</f>
        <v>9.7903125000000027E-6</v>
      </c>
      <c r="I232">
        <f t="shared" si="4"/>
        <v>9.7903125000000027E-6</v>
      </c>
      <c r="J232">
        <f t="shared" si="4"/>
        <v>9.7903125000000027E-6</v>
      </c>
      <c r="K232">
        <f t="shared" si="4"/>
        <v>9.7903125000000027E-6</v>
      </c>
    </row>
    <row r="233" spans="1:11" x14ac:dyDescent="0.25">
      <c r="A233" s="49"/>
      <c r="B233" t="s">
        <v>561</v>
      </c>
      <c r="C233" s="34"/>
      <c r="D233">
        <f>D107-D169</f>
        <v>3.9161250000000004E-5</v>
      </c>
      <c r="E233">
        <f>D233</f>
        <v>3.9161250000000004E-5</v>
      </c>
      <c r="F233">
        <f t="shared" ref="F233:G233" si="5">E233</f>
        <v>3.9161250000000004E-5</v>
      </c>
      <c r="G233">
        <f t="shared" si="5"/>
        <v>3.9161250000000004E-5</v>
      </c>
      <c r="H233">
        <f t="shared" ref="H233:K233" si="6">G233</f>
        <v>3.9161250000000004E-5</v>
      </c>
      <c r="I233">
        <f t="shared" si="6"/>
        <v>3.9161250000000004E-5</v>
      </c>
      <c r="J233">
        <f t="shared" si="6"/>
        <v>3.9161250000000004E-5</v>
      </c>
      <c r="K233">
        <f t="shared" si="6"/>
        <v>3.9161250000000004E-5</v>
      </c>
    </row>
    <row r="234" spans="1:11" x14ac:dyDescent="0.25">
      <c r="A234" s="49"/>
      <c r="B234" t="s">
        <v>548</v>
      </c>
      <c r="C234" s="34"/>
      <c r="D234">
        <f>D176</f>
        <v>22.598870056497173</v>
      </c>
      <c r="E234">
        <f>D234</f>
        <v>22.598870056497173</v>
      </c>
      <c r="F234">
        <f t="shared" ref="F234:G234" si="7">E234</f>
        <v>22.598870056497173</v>
      </c>
      <c r="G234">
        <f t="shared" si="7"/>
        <v>22.598870056497173</v>
      </c>
      <c r="H234">
        <f t="shared" ref="H234:K234" si="8">G234</f>
        <v>22.598870056497173</v>
      </c>
      <c r="I234">
        <f t="shared" si="8"/>
        <v>22.598870056497173</v>
      </c>
      <c r="J234">
        <f t="shared" si="8"/>
        <v>22.598870056497173</v>
      </c>
      <c r="K234">
        <f t="shared" si="8"/>
        <v>22.598870056497173</v>
      </c>
    </row>
    <row r="235" spans="1:11" x14ac:dyDescent="0.25">
      <c r="A235" s="49"/>
      <c r="B235" t="s">
        <v>327</v>
      </c>
      <c r="C235" t="s">
        <v>562</v>
      </c>
      <c r="D235">
        <f>100</f>
        <v>100</v>
      </c>
      <c r="E235">
        <f t="shared" ref="E235:G240" si="9">D235</f>
        <v>100</v>
      </c>
      <c r="F235">
        <f t="shared" si="9"/>
        <v>100</v>
      </c>
      <c r="G235">
        <f t="shared" si="9"/>
        <v>100</v>
      </c>
      <c r="H235">
        <f t="shared" ref="H235:K235" si="10">G235</f>
        <v>100</v>
      </c>
      <c r="I235">
        <f t="shared" si="10"/>
        <v>100</v>
      </c>
      <c r="J235">
        <f t="shared" si="10"/>
        <v>100</v>
      </c>
      <c r="K235">
        <f t="shared" si="10"/>
        <v>100</v>
      </c>
    </row>
    <row r="236" spans="1:11" x14ac:dyDescent="0.25">
      <c r="A236" s="49"/>
      <c r="B236" t="s">
        <v>549</v>
      </c>
      <c r="C236" t="s">
        <v>550</v>
      </c>
      <c r="D236">
        <f>D7</f>
        <v>44.1</v>
      </c>
      <c r="E236">
        <f t="shared" si="9"/>
        <v>44.1</v>
      </c>
      <c r="F236">
        <f t="shared" si="9"/>
        <v>44.1</v>
      </c>
      <c r="G236">
        <f t="shared" si="9"/>
        <v>44.1</v>
      </c>
      <c r="H236">
        <f>D5</f>
        <v>35.400000000000006</v>
      </c>
      <c r="I236">
        <f t="shared" ref="I236:K236" si="11">H236</f>
        <v>35.400000000000006</v>
      </c>
      <c r="J236">
        <f t="shared" si="11"/>
        <v>35.400000000000006</v>
      </c>
      <c r="K236">
        <f t="shared" si="11"/>
        <v>35.400000000000006</v>
      </c>
    </row>
    <row r="237" spans="1:11" x14ac:dyDescent="0.25">
      <c r="A237" s="49"/>
      <c r="B237" t="s">
        <v>551</v>
      </c>
      <c r="C237" t="s">
        <v>552</v>
      </c>
      <c r="D237">
        <f>D174</f>
        <v>7000</v>
      </c>
      <c r="E237">
        <v>1000</v>
      </c>
      <c r="F237">
        <v>1</v>
      </c>
      <c r="G237">
        <v>0</v>
      </c>
      <c r="H237">
        <f>D237</f>
        <v>7000</v>
      </c>
      <c r="I237">
        <f>E237</f>
        <v>1000</v>
      </c>
      <c r="J237">
        <f>F237</f>
        <v>1</v>
      </c>
      <c r="K237">
        <f>G237</f>
        <v>0</v>
      </c>
    </row>
    <row r="238" spans="1:11" x14ac:dyDescent="0.25">
      <c r="A238" s="49"/>
      <c r="B238" t="s">
        <v>553</v>
      </c>
      <c r="C238" s="34"/>
      <c r="D238">
        <f>D172</f>
        <v>3.6875000000000007E-3</v>
      </c>
      <c r="E238">
        <f t="shared" si="9"/>
        <v>3.6875000000000007E-3</v>
      </c>
      <c r="F238">
        <f t="shared" si="9"/>
        <v>3.6875000000000007E-3</v>
      </c>
      <c r="G238">
        <f t="shared" si="9"/>
        <v>3.6875000000000007E-3</v>
      </c>
      <c r="H238">
        <f t="shared" ref="H238:K238" si="12">G238</f>
        <v>3.6875000000000007E-3</v>
      </c>
      <c r="I238">
        <f t="shared" si="12"/>
        <v>3.6875000000000007E-3</v>
      </c>
      <c r="J238">
        <f t="shared" si="12"/>
        <v>3.6875000000000007E-3</v>
      </c>
      <c r="K238">
        <f t="shared" si="12"/>
        <v>3.6875000000000007E-3</v>
      </c>
    </row>
    <row r="239" spans="1:11" x14ac:dyDescent="0.25">
      <c r="A239" s="49"/>
      <c r="B239" t="s">
        <v>48</v>
      </c>
      <c r="D239">
        <f>D3</f>
        <v>16000</v>
      </c>
      <c r="E239">
        <f t="shared" si="9"/>
        <v>16000</v>
      </c>
      <c r="F239">
        <f t="shared" si="9"/>
        <v>16000</v>
      </c>
      <c r="G239">
        <f t="shared" si="9"/>
        <v>16000</v>
      </c>
      <c r="H239">
        <f t="shared" ref="H239:K239" si="13">G239</f>
        <v>16000</v>
      </c>
      <c r="I239">
        <f t="shared" si="13"/>
        <v>16000</v>
      </c>
      <c r="J239">
        <f t="shared" si="13"/>
        <v>16000</v>
      </c>
      <c r="K239">
        <f t="shared" si="13"/>
        <v>16000</v>
      </c>
    </row>
    <row r="240" spans="1:11" x14ac:dyDescent="0.25">
      <c r="A240" s="49"/>
      <c r="B240" t="s">
        <v>39</v>
      </c>
      <c r="D240">
        <f>D103</f>
        <v>0.5</v>
      </c>
      <c r="E240">
        <f t="shared" si="9"/>
        <v>0.5</v>
      </c>
      <c r="F240">
        <f t="shared" si="9"/>
        <v>0.5</v>
      </c>
      <c r="G240">
        <f t="shared" si="9"/>
        <v>0.5</v>
      </c>
      <c r="H240">
        <f t="shared" ref="H240:K240" si="14">G240</f>
        <v>0.5</v>
      </c>
      <c r="I240">
        <f t="shared" si="14"/>
        <v>0.5</v>
      </c>
      <c r="J240">
        <f t="shared" si="14"/>
        <v>0.5</v>
      </c>
      <c r="K240">
        <f t="shared" si="14"/>
        <v>0.5</v>
      </c>
    </row>
    <row r="241" spans="1:13" x14ac:dyDescent="0.25">
      <c r="A241" s="49"/>
      <c r="C241" s="34"/>
    </row>
    <row r="242" spans="1:13" x14ac:dyDescent="0.25">
      <c r="A242" s="49"/>
      <c r="B242" t="s">
        <v>558</v>
      </c>
      <c r="C242" s="34" t="s">
        <v>559</v>
      </c>
      <c r="D242">
        <v>40</v>
      </c>
      <c r="E242">
        <v>40</v>
      </c>
      <c r="F242">
        <v>40</v>
      </c>
      <c r="G242">
        <v>40</v>
      </c>
      <c r="H242">
        <f>G242</f>
        <v>40</v>
      </c>
      <c r="I242">
        <f>H242</f>
        <v>40</v>
      </c>
      <c r="J242">
        <f>I242</f>
        <v>40</v>
      </c>
      <c r="K242">
        <f>J242</f>
        <v>40</v>
      </c>
    </row>
    <row r="243" spans="1:13" x14ac:dyDescent="0.25">
      <c r="A243" s="49"/>
      <c r="B243" t="s">
        <v>567</v>
      </c>
      <c r="C243" t="s">
        <v>566</v>
      </c>
      <c r="D243">
        <f>D232*POWER(D234, 2)/(2*POWER(D235-D236-(D237*D238), 2))</f>
        <v>2.7616446905913709E-6</v>
      </c>
    </row>
    <row r="244" spans="1:13" x14ac:dyDescent="0.25">
      <c r="A244" s="49"/>
      <c r="B244" t="s">
        <v>546</v>
      </c>
      <c r="C244" t="s">
        <v>575</v>
      </c>
      <c r="D244" s="1">
        <f>(0.22*0.000001)*6</f>
        <v>1.3199999999999999E-6</v>
      </c>
      <c r="E244" s="1">
        <f>D244</f>
        <v>1.3199999999999999E-6</v>
      </c>
      <c r="F244" s="1">
        <f>E244</f>
        <v>1.3199999999999999E-6</v>
      </c>
      <c r="G244" s="1">
        <f>E244</f>
        <v>1.3199999999999999E-6</v>
      </c>
      <c r="H244" s="1">
        <f t="shared" ref="H244:K244" si="15">F244</f>
        <v>1.3199999999999999E-6</v>
      </c>
      <c r="I244" s="1">
        <f t="shared" si="15"/>
        <v>1.3199999999999999E-6</v>
      </c>
      <c r="J244" s="1">
        <f t="shared" si="15"/>
        <v>1.3199999999999999E-6</v>
      </c>
      <c r="K244" s="1">
        <f t="shared" si="15"/>
        <v>1.3199999999999999E-6</v>
      </c>
      <c r="L244" s="1"/>
    </row>
    <row r="245" spans="1:13" x14ac:dyDescent="0.25">
      <c r="A245" s="49"/>
      <c r="B245" t="s">
        <v>554</v>
      </c>
      <c r="C245" s="34" t="s">
        <v>555</v>
      </c>
      <c r="D245">
        <f>POWER(D240/(PI()*D239), 2)/D244</f>
        <v>7.4959445758121602E-5</v>
      </c>
      <c r="E245">
        <f>POWER(E240/(PI()*E239), 2)/E244</f>
        <v>7.4959445758121602E-5</v>
      </c>
      <c r="F245">
        <f>POWER(F240/(PI()*F239), 2)/F244</f>
        <v>7.4959445758121602E-5</v>
      </c>
      <c r="G245">
        <f>POWER(G240/(PI()*G239), 2)/G244</f>
        <v>7.4959445758121602E-5</v>
      </c>
      <c r="H245">
        <f t="shared" ref="H245:K245" si="16">POWER(H240/(PI()*H239), 2)/H244</f>
        <v>7.4959445758121602E-5</v>
      </c>
      <c r="I245">
        <f t="shared" si="16"/>
        <v>7.4959445758121602E-5</v>
      </c>
      <c r="J245">
        <f t="shared" si="16"/>
        <v>7.4959445758121602E-5</v>
      </c>
      <c r="K245">
        <f t="shared" si="16"/>
        <v>7.4959445758121602E-5</v>
      </c>
    </row>
    <row r="246" spans="1:13" x14ac:dyDescent="0.25">
      <c r="A246" s="49"/>
      <c r="B246" t="s">
        <v>556</v>
      </c>
      <c r="C246" s="34" t="s">
        <v>557</v>
      </c>
      <c r="D246">
        <f>(POWER(D242, 2)-POWER(POWER(D242, 4) - POWER(PI()*POWER(D236, 2)*D244/(D233+D232), 2), 0.5))/((D244/2)*POWER(PI()*D236/(D233+D232), 2))</f>
        <v>1.6087439934673409E-6</v>
      </c>
      <c r="E246">
        <f>(POWER(E242, 2)-POWER(POWER(E242, 4) - POWER(PI()*POWER(E236, 2)*E244/(E233+E232), 2), 0.5))/((E244/2)*POWER(PI()*E236/(E233+E232), 2))</f>
        <v>1.6087439934673409E-6</v>
      </c>
      <c r="F246">
        <f>(POWER(F242, 2)-POWER(POWER(F242, 4) - POWER(PI()*POWER(F236, 2)*F244/(F233+F232), 2), 0.5))/((F244/2)*POWER(PI()*F236/(F233+F232), 2))</f>
        <v>1.6087439934673409E-6</v>
      </c>
      <c r="G246">
        <f>(POWER(G242, 2)-POWER(POWER(G242, 4) - POWER(PI()*POWER(G236, 2)*G244/(G233+G232), 2), 0.5))/((G244/2)*POWER(PI()*G236/(G233+G232), 2))</f>
        <v>1.6087439934673409E-6</v>
      </c>
      <c r="H246">
        <f t="shared" ref="H246:K246" si="17">(POWER(H242, 2)-POWER(POWER(H242, 4) - POWER(PI()*POWER(H236, 2)*H244/(H233+H232), 2), 0.5))/((H244/2)*POWER(PI()*H236/(H233+H232), 2))</f>
        <v>1.0349973695208604E-6</v>
      </c>
      <c r="I246">
        <f t="shared" si="17"/>
        <v>1.0349973695208604E-6</v>
      </c>
      <c r="J246">
        <f t="shared" si="17"/>
        <v>1.0349973695208604E-6</v>
      </c>
      <c r="K246">
        <f t="shared" si="17"/>
        <v>1.0349973695208604E-6</v>
      </c>
    </row>
    <row r="247" spans="1:13" x14ac:dyDescent="0.25">
      <c r="A247" s="49"/>
      <c r="B247" t="s">
        <v>560</v>
      </c>
      <c r="C247" s="34" t="s">
        <v>565</v>
      </c>
      <c r="D247" s="1">
        <v>1.5E-5</v>
      </c>
      <c r="E247" s="1">
        <f t="shared" ref="E247:K247" si="18">D247</f>
        <v>1.5E-5</v>
      </c>
      <c r="F247" s="1">
        <f t="shared" si="18"/>
        <v>1.5E-5</v>
      </c>
      <c r="G247" s="1">
        <f t="shared" si="18"/>
        <v>1.5E-5</v>
      </c>
      <c r="H247">
        <f t="shared" si="18"/>
        <v>1.5E-5</v>
      </c>
      <c r="I247">
        <f t="shared" si="18"/>
        <v>1.5E-5</v>
      </c>
      <c r="J247">
        <f t="shared" si="18"/>
        <v>1.5E-5</v>
      </c>
      <c r="K247">
        <f t="shared" si="18"/>
        <v>1.5E-5</v>
      </c>
    </row>
    <row r="248" spans="1:13" x14ac:dyDescent="0.25">
      <c r="A248" s="49"/>
      <c r="B248" t="s">
        <v>563</v>
      </c>
      <c r="C248" s="34" t="s">
        <v>564</v>
      </c>
      <c r="D248" t="b">
        <f>AND(D247&gt;D246, D247&lt;D245)</f>
        <v>1</v>
      </c>
      <c r="E248" t="b">
        <f>AND(E247&gt;E246, E247&lt;E245)</f>
        <v>1</v>
      </c>
      <c r="F248" t="b">
        <f>AND(F247&gt;F246, F247&lt;F245)</f>
        <v>1</v>
      </c>
      <c r="G248" t="b">
        <f>AND(G247&gt;G246, G247&lt;G245)</f>
        <v>1</v>
      </c>
      <c r="H248" t="b">
        <f t="shared" ref="H248:K248" si="19">AND(H247&gt;H246, H247&lt;H245)</f>
        <v>1</v>
      </c>
      <c r="I248" t="b">
        <f t="shared" si="19"/>
        <v>1</v>
      </c>
      <c r="J248" t="b">
        <f t="shared" si="19"/>
        <v>1</v>
      </c>
      <c r="K248" t="b">
        <f t="shared" si="19"/>
        <v>1</v>
      </c>
    </row>
    <row r="249" spans="1:13" x14ac:dyDescent="0.25">
      <c r="A249" s="49"/>
      <c r="B249" t="s">
        <v>586</v>
      </c>
      <c r="D249">
        <v>8.4999999999999995E-4</v>
      </c>
    </row>
    <row r="250" spans="1:13" x14ac:dyDescent="0.25">
      <c r="A250" s="49"/>
      <c r="B250" t="s">
        <v>300</v>
      </c>
      <c r="D250">
        <f>POWER(D234, 2)*D232/2</f>
        <v>2.5000000000000001E-3</v>
      </c>
    </row>
    <row r="251" spans="1:13" x14ac:dyDescent="0.25">
      <c r="A251" s="49"/>
      <c r="B251" t="s">
        <v>585</v>
      </c>
      <c r="C251" s="34" t="s">
        <v>587</v>
      </c>
      <c r="D251">
        <f>POWER(D234/SQRT(3), 2)*D249</f>
        <v>0.14470086288529263</v>
      </c>
    </row>
    <row r="252" spans="1:13" x14ac:dyDescent="0.25">
      <c r="A252" s="49"/>
      <c r="B252" t="s">
        <v>592</v>
      </c>
      <c r="D252">
        <f>D232*D247/(D232+D247)</f>
        <v>5.9238739931172719E-6</v>
      </c>
      <c r="G252" t="s">
        <v>529</v>
      </c>
      <c r="H252" t="s">
        <v>518</v>
      </c>
      <c r="I252" t="s">
        <v>526</v>
      </c>
      <c r="J252" t="s">
        <v>524</v>
      </c>
      <c r="K252" t="s">
        <v>525</v>
      </c>
      <c r="L252" t="s">
        <v>527</v>
      </c>
      <c r="M252" t="s">
        <v>528</v>
      </c>
    </row>
    <row r="253" spans="1:13" x14ac:dyDescent="0.25">
      <c r="A253" s="49"/>
      <c r="B253" s="36" t="s">
        <v>591</v>
      </c>
      <c r="D253" s="1">
        <f>1/POWER(D252*D244, 0.5)</f>
        <v>357610.39006916573</v>
      </c>
      <c r="F253" s="5" t="s">
        <v>588</v>
      </c>
      <c r="G253">
        <v>2.2000000000000001E-3</v>
      </c>
      <c r="H253">
        <v>6</v>
      </c>
      <c r="I253">
        <v>5.0999999999999996</v>
      </c>
      <c r="J253">
        <f>I253/H253</f>
        <v>0.85</v>
      </c>
      <c r="K253" s="31">
        <v>2.27</v>
      </c>
      <c r="L253" s="31">
        <f>K253*H253</f>
        <v>13.620000000000001</v>
      </c>
      <c r="M253">
        <f>G253*H253</f>
        <v>1.32E-2</v>
      </c>
    </row>
    <row r="254" spans="1:13" x14ac:dyDescent="0.25">
      <c r="A254" s="49"/>
      <c r="B254" t="s">
        <v>594</v>
      </c>
      <c r="D254">
        <f>POWER(2*D250/D252, 0.5)</f>
        <v>29.052405428187488</v>
      </c>
    </row>
    <row r="255" spans="1:13" x14ac:dyDescent="0.25">
      <c r="A255" s="49"/>
      <c r="B255" t="s">
        <v>595</v>
      </c>
      <c r="D255">
        <f>D254</f>
        <v>29.052405428187488</v>
      </c>
    </row>
    <row r="256" spans="1:13" x14ac:dyDescent="0.25">
      <c r="A256" s="49"/>
      <c r="B256" t="s">
        <v>593</v>
      </c>
      <c r="D256" s="1">
        <f>SQRT(D250*2/D244)</f>
        <v>61.545745489666373</v>
      </c>
    </row>
    <row r="257" spans="1:5" x14ac:dyDescent="0.25">
      <c r="A257" s="49"/>
      <c r="B257" t="s">
        <v>596</v>
      </c>
      <c r="D257" s="1">
        <f>D256+D7</f>
        <v>105.64574548966638</v>
      </c>
    </row>
    <row r="258" spans="1:5" x14ac:dyDescent="0.25">
      <c r="A258" s="49"/>
      <c r="B258" t="s">
        <v>597</v>
      </c>
      <c r="D258" s="1">
        <f>D256</f>
        <v>61.545745489666373</v>
      </c>
    </row>
    <row r="259" spans="1:5" x14ac:dyDescent="0.25">
      <c r="A259" s="49"/>
      <c r="B259" t="s">
        <v>600</v>
      </c>
      <c r="D259">
        <f>D231*D255</f>
        <v>72.631013570468724</v>
      </c>
    </row>
    <row r="260" spans="1:5" x14ac:dyDescent="0.25">
      <c r="A260" s="49"/>
      <c r="B260" t="s">
        <v>598</v>
      </c>
      <c r="D260">
        <f>D231*D255</f>
        <v>72.631013570468724</v>
      </c>
    </row>
    <row r="261" spans="1:5" x14ac:dyDescent="0.25">
      <c r="A261" s="49"/>
      <c r="B261" t="s">
        <v>598</v>
      </c>
      <c r="D261">
        <f>D231*D255</f>
        <v>72.631013570468724</v>
      </c>
    </row>
    <row r="262" spans="1:5" x14ac:dyDescent="0.25">
      <c r="A262" s="49"/>
      <c r="B262" t="s">
        <v>602</v>
      </c>
      <c r="D262" s="1">
        <f>D231*D257</f>
        <v>264.11436372416597</v>
      </c>
    </row>
    <row r="263" spans="1:5" x14ac:dyDescent="0.25">
      <c r="A263" s="49"/>
      <c r="B263" t="s">
        <v>601</v>
      </c>
      <c r="D263" s="1">
        <f>D231*D258</f>
        <v>153.86436372416594</v>
      </c>
    </row>
    <row r="264" spans="1:5" x14ac:dyDescent="0.25">
      <c r="A264" s="49"/>
      <c r="B264" t="s">
        <v>599</v>
      </c>
      <c r="D264" s="1">
        <f>D231*D256</f>
        <v>153.86436372416594</v>
      </c>
    </row>
    <row r="265" spans="1:5" x14ac:dyDescent="0.25">
      <c r="A265" s="49"/>
      <c r="B265" t="s">
        <v>623</v>
      </c>
      <c r="D265" s="1">
        <v>0.86</v>
      </c>
    </row>
    <row r="266" spans="1:5" x14ac:dyDescent="0.25">
      <c r="A266" s="49"/>
      <c r="B266" t="s">
        <v>624</v>
      </c>
      <c r="D266" s="1">
        <f>0.86</f>
        <v>0.86</v>
      </c>
    </row>
    <row r="267" spans="1:5" x14ac:dyDescent="0.25">
      <c r="A267" s="49"/>
      <c r="B267" t="s">
        <v>621</v>
      </c>
      <c r="C267" t="s">
        <v>625</v>
      </c>
      <c r="D267" s="1">
        <f>D250*16000/4</f>
        <v>10</v>
      </c>
    </row>
    <row r="268" spans="1:5" x14ac:dyDescent="0.25">
      <c r="A268" s="49"/>
      <c r="B268" t="s">
        <v>622</v>
      </c>
      <c r="C268" t="s">
        <v>625</v>
      </c>
      <c r="D268" s="1">
        <f>D267</f>
        <v>10</v>
      </c>
    </row>
    <row r="269" spans="1:5" x14ac:dyDescent="0.25">
      <c r="A269" s="49"/>
      <c r="B269" t="s">
        <v>603</v>
      </c>
      <c r="C269" t="s">
        <v>604</v>
      </c>
      <c r="D269">
        <v>0.5</v>
      </c>
      <c r="E269" t="s">
        <v>769</v>
      </c>
    </row>
    <row r="270" spans="1:5" x14ac:dyDescent="0.25">
      <c r="A270" s="49"/>
      <c r="B270" s="43" t="s">
        <v>605</v>
      </c>
      <c r="C270" s="43" t="s">
        <v>606</v>
      </c>
      <c r="D270" s="43">
        <f>D250*2/POWER(D269, 2)</f>
        <v>0.02</v>
      </c>
    </row>
    <row r="271" spans="1:5" x14ac:dyDescent="0.25">
      <c r="A271" s="49"/>
      <c r="C271" s="34"/>
    </row>
    <row r="272" spans="1:5" x14ac:dyDescent="0.25">
      <c r="A272" s="49"/>
      <c r="C272" s="34"/>
    </row>
    <row r="273" spans="1:4" x14ac:dyDescent="0.25">
      <c r="A273" s="49"/>
      <c r="C273" s="34"/>
    </row>
    <row r="274" spans="1:4" x14ac:dyDescent="0.25">
      <c r="A274" s="49"/>
      <c r="C274" s="34"/>
    </row>
    <row r="275" spans="1:4" x14ac:dyDescent="0.25">
      <c r="A275" s="49"/>
      <c r="C275" s="34"/>
    </row>
    <row r="276" spans="1:4" x14ac:dyDescent="0.25">
      <c r="A276" s="49"/>
      <c r="C276" s="34"/>
    </row>
    <row r="277" spans="1:4" x14ac:dyDescent="0.25">
      <c r="A277" s="49"/>
      <c r="C277" s="34"/>
    </row>
    <row r="278" spans="1:4" x14ac:dyDescent="0.25">
      <c r="A278" s="49"/>
      <c r="C278" s="34"/>
    </row>
    <row r="279" spans="1:4" x14ac:dyDescent="0.25">
      <c r="A279" s="49"/>
    </row>
    <row r="280" spans="1:4" x14ac:dyDescent="0.25">
      <c r="A280" s="37"/>
    </row>
    <row r="281" spans="1:4" x14ac:dyDescent="0.25">
      <c r="A281" s="49" t="s">
        <v>608</v>
      </c>
      <c r="C281" t="s">
        <v>264</v>
      </c>
      <c r="D281">
        <f>D223/D218</f>
        <v>3.9463299131807418E-6</v>
      </c>
    </row>
    <row r="282" spans="1:4" x14ac:dyDescent="0.25">
      <c r="A282" s="49"/>
      <c r="C282" t="s">
        <v>265</v>
      </c>
      <c r="D282">
        <f>(D223-(D215*D213))*(D217/(D217+D215))</f>
        <v>2.0126282557221785E-2</v>
      </c>
    </row>
    <row r="283" spans="1:4" x14ac:dyDescent="0.25">
      <c r="A283" s="49"/>
      <c r="C283" t="s">
        <v>266</v>
      </c>
      <c r="D283">
        <f>D223/D212</f>
        <v>2.3351085620647277E-2</v>
      </c>
    </row>
    <row r="284" spans="1:4" x14ac:dyDescent="0.25">
      <c r="A284" s="49"/>
      <c r="C284" t="s">
        <v>267</v>
      </c>
      <c r="D284">
        <f>ABS(D283-D282)/D283</f>
        <v>0.13810077680388819</v>
      </c>
    </row>
    <row r="285" spans="1:4" x14ac:dyDescent="0.25">
      <c r="A285" s="49"/>
      <c r="C285" t="s">
        <v>268</v>
      </c>
      <c r="D285">
        <f>(D5-(D215*D213))*(D217/(D217+D215))</f>
        <v>0.46827150749802693</v>
      </c>
    </row>
    <row r="286" spans="1:4" x14ac:dyDescent="0.25">
      <c r="A286" s="49"/>
      <c r="C286" t="s">
        <v>269</v>
      </c>
      <c r="D286">
        <f>D5/D212</f>
        <v>0.41331421548545688</v>
      </c>
    </row>
    <row r="287" spans="1:4" x14ac:dyDescent="0.25">
      <c r="A287" s="49"/>
      <c r="C287" t="s">
        <v>270</v>
      </c>
      <c r="D287">
        <f>ABS(D286-D285)/D286</f>
        <v>0.13296734047247841</v>
      </c>
    </row>
    <row r="288" spans="1:4" x14ac:dyDescent="0.25">
      <c r="A288" s="49"/>
      <c r="C288" t="s">
        <v>271</v>
      </c>
      <c r="D288">
        <f>(D286-D285)/D226</f>
        <v>-0.79643147249380875</v>
      </c>
    </row>
    <row r="289" spans="1:4" x14ac:dyDescent="0.25">
      <c r="A289" s="49"/>
      <c r="B289" t="s">
        <v>272</v>
      </c>
      <c r="C289" t="s">
        <v>273</v>
      </c>
    </row>
    <row r="290" spans="1:4" x14ac:dyDescent="0.25">
      <c r="A290" s="49"/>
      <c r="B290" t="s">
        <v>274</v>
      </c>
      <c r="D290">
        <f>(D215*D217)/(D215+D217)</f>
        <v>6708.7608524072612</v>
      </c>
    </row>
    <row r="291" spans="1:4" x14ac:dyDescent="0.25">
      <c r="A291" s="49"/>
      <c r="C291" t="s">
        <v>275</v>
      </c>
      <c r="D291">
        <f>0.00000000001</f>
        <v>9.9999999999999994E-12</v>
      </c>
    </row>
    <row r="292" spans="1:4" x14ac:dyDescent="0.25">
      <c r="A292" s="49"/>
    </row>
    <row r="293" spans="1:4" x14ac:dyDescent="0.25">
      <c r="A293" s="49"/>
      <c r="B293" t="s">
        <v>276</v>
      </c>
      <c r="D293">
        <f>3.15/(0.000001)</f>
        <v>3150000</v>
      </c>
    </row>
    <row r="294" spans="1:4" x14ac:dyDescent="0.25">
      <c r="A294" s="49"/>
      <c r="B294" t="s">
        <v>348</v>
      </c>
      <c r="D294">
        <f>D291/((1/D290)+(1/D293))</f>
        <v>6.6945031316023044E-8</v>
      </c>
    </row>
    <row r="295" spans="1:4" x14ac:dyDescent="0.25">
      <c r="A295" s="49"/>
      <c r="B295" t="s">
        <v>284</v>
      </c>
      <c r="D295">
        <f>D210/0.012</f>
        <v>237.5</v>
      </c>
    </row>
    <row r="296" spans="1:4" x14ac:dyDescent="0.25">
      <c r="A296" s="49"/>
      <c r="B296" t="s">
        <v>283</v>
      </c>
      <c r="D296" s="25">
        <v>1000</v>
      </c>
    </row>
    <row r="297" spans="1:4" x14ac:dyDescent="0.25">
      <c r="A297" s="49"/>
    </row>
    <row r="298" spans="1:4" x14ac:dyDescent="0.25">
      <c r="A298" s="49"/>
      <c r="B298" t="s">
        <v>281</v>
      </c>
      <c r="D298">
        <f>D2/D5</f>
        <v>5.6497175141242932</v>
      </c>
    </row>
    <row r="299" spans="1:4" x14ac:dyDescent="0.25">
      <c r="A299" s="49"/>
      <c r="B299" t="s">
        <v>280</v>
      </c>
      <c r="C299" t="s">
        <v>279</v>
      </c>
      <c r="D299">
        <v>0.05</v>
      </c>
    </row>
    <row r="300" spans="1:4" x14ac:dyDescent="0.25">
      <c r="A300" s="49"/>
      <c r="C300" t="s">
        <v>278</v>
      </c>
      <c r="D300">
        <f>D298/(D3*D299)</f>
        <v>7.0621468926553663E-3</v>
      </c>
    </row>
    <row r="301" spans="1:4" x14ac:dyDescent="0.25">
      <c r="A301" s="49"/>
      <c r="C301" t="s">
        <v>282</v>
      </c>
      <c r="D301">
        <f>POWER(D7, 2)*D300/2</f>
        <v>6.8672669491525422</v>
      </c>
    </row>
    <row r="302" spans="1:4" x14ac:dyDescent="0.25">
      <c r="A302" s="49"/>
    </row>
    <row r="303" spans="1:4" x14ac:dyDescent="0.25">
      <c r="A303" s="50" t="s">
        <v>607</v>
      </c>
      <c r="B303" t="s">
        <v>612</v>
      </c>
      <c r="D303" s="1">
        <f>MAX(D333, 200)</f>
        <v>200</v>
      </c>
    </row>
    <row r="304" spans="1:4" x14ac:dyDescent="0.25">
      <c r="A304" s="50"/>
      <c r="B304" t="s">
        <v>609</v>
      </c>
      <c r="D304">
        <v>500000</v>
      </c>
    </row>
    <row r="305" spans="1:5" x14ac:dyDescent="0.25">
      <c r="A305" s="50"/>
      <c r="B305" t="s">
        <v>610</v>
      </c>
      <c r="D305">
        <v>6800</v>
      </c>
    </row>
    <row r="306" spans="1:5" x14ac:dyDescent="0.25">
      <c r="A306" s="50"/>
      <c r="B306" t="s">
        <v>611</v>
      </c>
      <c r="D306">
        <f>D304+D305</f>
        <v>506800</v>
      </c>
    </row>
    <row r="307" spans="1:5" x14ac:dyDescent="0.25">
      <c r="A307" s="50"/>
      <c r="B307" t="s">
        <v>615</v>
      </c>
      <c r="D307" s="1">
        <f>D303/D306</f>
        <v>3.9463299131807419E-4</v>
      </c>
    </row>
    <row r="308" spans="1:5" x14ac:dyDescent="0.25">
      <c r="A308" s="50"/>
      <c r="B308" t="s">
        <v>613</v>
      </c>
      <c r="D308" s="1">
        <f>POWER(D307, 2)*D304</f>
        <v>7.7867598918325606E-2</v>
      </c>
    </row>
    <row r="309" spans="1:5" x14ac:dyDescent="0.25">
      <c r="A309" s="50"/>
      <c r="B309" t="s">
        <v>614</v>
      </c>
      <c r="D309" s="1">
        <f>POWER(D307, 2)*D305</f>
        <v>1.0589993452892283E-3</v>
      </c>
    </row>
    <row r="310" spans="1:5" x14ac:dyDescent="0.25">
      <c r="A310" s="50"/>
      <c r="B310" t="s">
        <v>616</v>
      </c>
      <c r="D310" s="1">
        <f>D308+D309</f>
        <v>7.8926598263614839E-2</v>
      </c>
    </row>
    <row r="311" spans="1:5" x14ac:dyDescent="0.25">
      <c r="A311" s="50"/>
      <c r="C311" t="s">
        <v>617</v>
      </c>
      <c r="D311">
        <v>2.7</v>
      </c>
    </row>
    <row r="312" spans="1:5" x14ac:dyDescent="0.25">
      <c r="A312" s="50"/>
      <c r="C312" t="s">
        <v>618</v>
      </c>
      <c r="D312" s="1">
        <f>D303/D311</f>
        <v>74.074074074074076</v>
      </c>
    </row>
    <row r="313" spans="1:5" x14ac:dyDescent="0.25">
      <c r="A313" s="50"/>
      <c r="C313" t="s">
        <v>619</v>
      </c>
      <c r="D313" s="1">
        <f>D306/D305</f>
        <v>74.529411764705884</v>
      </c>
    </row>
    <row r="314" spans="1:5" x14ac:dyDescent="0.25">
      <c r="A314" s="50"/>
      <c r="C314" t="s">
        <v>620</v>
      </c>
      <c r="D314" s="1" t="b">
        <f>MAX(D312, D313)/MIN(D312,D313)&lt;1.04</f>
        <v>1</v>
      </c>
    </row>
    <row r="315" spans="1:5" x14ac:dyDescent="0.25">
      <c r="A315" s="50"/>
    </row>
    <row r="316" spans="1:5" x14ac:dyDescent="0.25">
      <c r="A316" s="50" t="s">
        <v>584</v>
      </c>
      <c r="C316" t="s">
        <v>285</v>
      </c>
      <c r="D316">
        <v>2</v>
      </c>
    </row>
    <row r="317" spans="1:5" x14ac:dyDescent="0.25">
      <c r="A317" s="50"/>
      <c r="B317" t="s">
        <v>38</v>
      </c>
      <c r="D317">
        <f>D7</f>
        <v>44.1</v>
      </c>
    </row>
    <row r="318" spans="1:5" x14ac:dyDescent="0.25">
      <c r="A318" s="50"/>
      <c r="B318" t="s">
        <v>286</v>
      </c>
      <c r="D318">
        <v>10000</v>
      </c>
      <c r="E318" s="9" t="s">
        <v>24</v>
      </c>
    </row>
    <row r="319" spans="1:5" x14ac:dyDescent="0.25">
      <c r="A319" s="50"/>
      <c r="C319" t="s">
        <v>289</v>
      </c>
      <c r="D319">
        <f>D317*D316/D321</f>
        <v>32.666666666666664</v>
      </c>
    </row>
    <row r="320" spans="1:5" x14ac:dyDescent="0.25">
      <c r="A320" s="50"/>
      <c r="B320" t="s">
        <v>290</v>
      </c>
      <c r="D320">
        <f>D319*D318</f>
        <v>326666.66666666663</v>
      </c>
      <c r="E320" s="9" t="s">
        <v>24</v>
      </c>
    </row>
    <row r="321" spans="1:5" x14ac:dyDescent="0.25">
      <c r="A321" s="50"/>
      <c r="C321" t="s">
        <v>288</v>
      </c>
      <c r="D321">
        <v>2.7</v>
      </c>
    </row>
    <row r="322" spans="1:5" x14ac:dyDescent="0.25">
      <c r="A322" s="50"/>
      <c r="B322" t="s">
        <v>287</v>
      </c>
      <c r="D322">
        <v>330000</v>
      </c>
    </row>
    <row r="323" spans="1:5" x14ac:dyDescent="0.25">
      <c r="A323" s="50"/>
      <c r="B323" t="s">
        <v>291</v>
      </c>
      <c r="D323" s="1">
        <v>1.0000000000000001E-9</v>
      </c>
      <c r="E323" s="9" t="s">
        <v>24</v>
      </c>
    </row>
    <row r="324" spans="1:5" x14ac:dyDescent="0.25">
      <c r="A324" s="50"/>
      <c r="B324" t="s">
        <v>292</v>
      </c>
      <c r="D324">
        <f>(D318*D322)/(D318+D322)</f>
        <v>9705.8823529411766</v>
      </c>
      <c r="E324" s="9" t="s">
        <v>24</v>
      </c>
    </row>
    <row r="325" spans="1:5" x14ac:dyDescent="0.25">
      <c r="A325" s="50"/>
      <c r="B325" t="s">
        <v>349</v>
      </c>
      <c r="D325">
        <f>POWER(D317*D316, 2)/(D318+D322)</f>
        <v>2.2880117647058825E-2</v>
      </c>
      <c r="E325" s="9" t="s">
        <v>22</v>
      </c>
    </row>
    <row r="326" spans="1:5" x14ac:dyDescent="0.25">
      <c r="A326" s="24"/>
      <c r="E326" s="9"/>
    </row>
    <row r="327" spans="1:5" x14ac:dyDescent="0.25">
      <c r="A327" s="49" t="s">
        <v>303</v>
      </c>
      <c r="B327" t="s">
        <v>48</v>
      </c>
      <c r="D327">
        <f>D3</f>
        <v>16000</v>
      </c>
      <c r="E327" t="s">
        <v>73</v>
      </c>
    </row>
    <row r="328" spans="1:5" x14ac:dyDescent="0.25">
      <c r="A328" s="49"/>
      <c r="B328" t="s">
        <v>41</v>
      </c>
      <c r="D328">
        <f>D176</f>
        <v>22.598870056497173</v>
      </c>
      <c r="E328" t="s">
        <v>20</v>
      </c>
    </row>
    <row r="329" spans="1:5" x14ac:dyDescent="0.25">
      <c r="A329" s="49"/>
      <c r="B329" t="s">
        <v>39</v>
      </c>
      <c r="D329">
        <v>0.5</v>
      </c>
    </row>
    <row r="330" spans="1:5" x14ac:dyDescent="0.25">
      <c r="A330" s="49"/>
      <c r="B330" t="s">
        <v>305</v>
      </c>
      <c r="D330">
        <v>2.3E-2</v>
      </c>
      <c r="E330" s="9" t="s">
        <v>24</v>
      </c>
    </row>
    <row r="331" spans="1:5" x14ac:dyDescent="0.25">
      <c r="A331" s="49"/>
      <c r="B331" t="s">
        <v>304</v>
      </c>
      <c r="D331">
        <f>POWER(D328,2)*D329*D330/3</f>
        <v>1.9577175566833704</v>
      </c>
    </row>
    <row r="332" spans="1:5" x14ac:dyDescent="0.25">
      <c r="A332" s="49"/>
      <c r="B332" t="s">
        <v>307</v>
      </c>
      <c r="C332" t="s">
        <v>306</v>
      </c>
      <c r="D332" s="1">
        <f>D329*D328*D4</f>
        <v>13.559322033898303</v>
      </c>
    </row>
    <row r="333" spans="1:5" x14ac:dyDescent="0.25">
      <c r="A333" s="49"/>
      <c r="B333" t="s">
        <v>308</v>
      </c>
      <c r="D333" s="1">
        <f>D256+D7</f>
        <v>105.64574548966638</v>
      </c>
      <c r="E333" t="s">
        <v>21</v>
      </c>
    </row>
    <row r="334" spans="1:5" x14ac:dyDescent="0.25">
      <c r="A334" s="49"/>
      <c r="B334" t="s">
        <v>326</v>
      </c>
      <c r="D334">
        <v>250</v>
      </c>
      <c r="E334" t="s">
        <v>21</v>
      </c>
    </row>
    <row r="335" spans="1:5" x14ac:dyDescent="0.25">
      <c r="A335" s="49"/>
      <c r="C335" t="s">
        <v>344</v>
      </c>
      <c r="D335" t="b">
        <f>D334&gt;=D333</f>
        <v>1</v>
      </c>
    </row>
    <row r="336" spans="1:5" x14ac:dyDescent="0.25">
      <c r="A336" s="49"/>
      <c r="B336" t="s">
        <v>309</v>
      </c>
      <c r="E336" t="s">
        <v>343</v>
      </c>
    </row>
    <row r="337" spans="1:5" x14ac:dyDescent="0.25">
      <c r="A337" s="49"/>
      <c r="B337" t="s">
        <v>310</v>
      </c>
      <c r="E337" t="s">
        <v>343</v>
      </c>
    </row>
    <row r="338" spans="1:5" x14ac:dyDescent="0.25">
      <c r="A338" s="49"/>
      <c r="B338" t="s">
        <v>311</v>
      </c>
      <c r="C338" t="s">
        <v>312</v>
      </c>
      <c r="D338" s="1">
        <v>4.9999999999999998E-8</v>
      </c>
      <c r="E338" t="s">
        <v>343</v>
      </c>
    </row>
    <row r="339" spans="1:5" x14ac:dyDescent="0.25">
      <c r="A339" s="49"/>
      <c r="B339" t="s">
        <v>313</v>
      </c>
      <c r="D339">
        <f>D3*D338*2</f>
        <v>1.5999999999999999E-3</v>
      </c>
      <c r="E339" t="s">
        <v>20</v>
      </c>
    </row>
    <row r="340" spans="1:5" x14ac:dyDescent="0.25">
      <c r="A340" s="49"/>
      <c r="B340" t="s">
        <v>315</v>
      </c>
      <c r="C340" t="s">
        <v>329</v>
      </c>
      <c r="D340">
        <v>10</v>
      </c>
      <c r="E340" t="s">
        <v>21</v>
      </c>
    </row>
    <row r="341" spans="1:5" x14ac:dyDescent="0.25">
      <c r="A341" s="49"/>
      <c r="B341" t="s">
        <v>316</v>
      </c>
      <c r="D341">
        <v>5</v>
      </c>
      <c r="E341" s="9" t="s">
        <v>24</v>
      </c>
    </row>
    <row r="342" spans="1:5" x14ac:dyDescent="0.25">
      <c r="A342" s="49"/>
      <c r="B342" t="s">
        <v>229</v>
      </c>
      <c r="C342" t="s">
        <v>314</v>
      </c>
      <c r="D342" s="1">
        <f>D338*D341/D340</f>
        <v>2.4999999999999999E-8</v>
      </c>
      <c r="E342" t="s">
        <v>342</v>
      </c>
    </row>
    <row r="343" spans="1:5" x14ac:dyDescent="0.25">
      <c r="A343" s="49"/>
      <c r="B343" t="s">
        <v>322</v>
      </c>
      <c r="C343" t="s">
        <v>325</v>
      </c>
      <c r="D343" s="1">
        <f>D342</f>
        <v>2.4999999999999999E-8</v>
      </c>
      <c r="E343" t="s">
        <v>342</v>
      </c>
    </row>
    <row r="344" spans="1:5" x14ac:dyDescent="0.25">
      <c r="A344" s="49"/>
      <c r="B344" t="s">
        <v>323</v>
      </c>
      <c r="C344" t="s">
        <v>324</v>
      </c>
      <c r="D344" s="1">
        <f>D343</f>
        <v>2.4999999999999999E-8</v>
      </c>
      <c r="E344" t="s">
        <v>342</v>
      </c>
    </row>
    <row r="345" spans="1:5" x14ac:dyDescent="0.25">
      <c r="A345" s="49"/>
      <c r="C345" t="s">
        <v>317</v>
      </c>
      <c r="D345">
        <f>D340/D341</f>
        <v>2</v>
      </c>
      <c r="E345" t="s">
        <v>20</v>
      </c>
    </row>
    <row r="346" spans="1:5" x14ac:dyDescent="0.25">
      <c r="A346" s="49"/>
      <c r="C346" t="s">
        <v>319</v>
      </c>
      <c r="D346">
        <v>3</v>
      </c>
      <c r="E346" t="s">
        <v>20</v>
      </c>
    </row>
    <row r="347" spans="1:5" x14ac:dyDescent="0.25">
      <c r="A347" s="49"/>
      <c r="C347" t="s">
        <v>320</v>
      </c>
      <c r="D347">
        <f>D346/D4</f>
        <v>2.5</v>
      </c>
      <c r="E347" t="s">
        <v>20</v>
      </c>
    </row>
    <row r="348" spans="1:5" x14ac:dyDescent="0.25">
      <c r="A348" s="49"/>
      <c r="C348" t="s">
        <v>318</v>
      </c>
      <c r="D348" t="b">
        <f>D345&lt;D347</f>
        <v>1</v>
      </c>
    </row>
    <row r="349" spans="1:5" x14ac:dyDescent="0.25">
      <c r="A349" s="49"/>
      <c r="B349" t="s">
        <v>346</v>
      </c>
      <c r="C349" t="s">
        <v>347</v>
      </c>
      <c r="D349" s="1">
        <f>D338*D340*D327</f>
        <v>8.0000000000000002E-3</v>
      </c>
      <c r="E349" t="s">
        <v>22</v>
      </c>
    </row>
    <row r="350" spans="1:5" x14ac:dyDescent="0.25">
      <c r="A350" s="49"/>
      <c r="B350" t="s">
        <v>327</v>
      </c>
      <c r="D350">
        <f>D235+D7</f>
        <v>144.1</v>
      </c>
      <c r="E350" t="s">
        <v>21</v>
      </c>
    </row>
    <row r="351" spans="1:5" x14ac:dyDescent="0.25">
      <c r="A351" s="49"/>
      <c r="B351" t="s">
        <v>328</v>
      </c>
      <c r="D351">
        <f>D328</f>
        <v>22.598870056497173</v>
      </c>
      <c r="E351" t="s">
        <v>20</v>
      </c>
    </row>
    <row r="352" spans="1:5" x14ac:dyDescent="0.25">
      <c r="A352" s="49"/>
      <c r="B352" t="s">
        <v>321</v>
      </c>
      <c r="D352" s="1">
        <f>0.5*D350*D351*(D343+D344)*D3</f>
        <v>1.302598870056497</v>
      </c>
      <c r="E352" t="s">
        <v>22</v>
      </c>
    </row>
    <row r="353" spans="1:5" x14ac:dyDescent="0.25">
      <c r="A353" s="49"/>
      <c r="B353" t="s">
        <v>341</v>
      </c>
      <c r="D353" s="1">
        <f>D331+D352</f>
        <v>3.2603164267398674</v>
      </c>
      <c r="E353" t="s">
        <v>22</v>
      </c>
    </row>
    <row r="354" spans="1:5" x14ac:dyDescent="0.25">
      <c r="A354" s="49"/>
      <c r="B354" t="s">
        <v>330</v>
      </c>
      <c r="D354">
        <v>1000</v>
      </c>
      <c r="E354" s="9" t="s">
        <v>24</v>
      </c>
    </row>
    <row r="355" spans="1:5" x14ac:dyDescent="0.25">
      <c r="A355" s="49"/>
      <c r="B355" t="s">
        <v>333</v>
      </c>
      <c r="D355">
        <v>2.5</v>
      </c>
      <c r="E355" t="s">
        <v>21</v>
      </c>
    </row>
    <row r="356" spans="1:5" x14ac:dyDescent="0.25">
      <c r="A356" s="49"/>
      <c r="B356" t="s">
        <v>334</v>
      </c>
      <c r="C356" t="s">
        <v>335</v>
      </c>
      <c r="D356">
        <v>210</v>
      </c>
      <c r="E356" t="s">
        <v>20</v>
      </c>
    </row>
    <row r="357" spans="1:5" x14ac:dyDescent="0.25">
      <c r="A357" s="49"/>
      <c r="B357" t="s">
        <v>331</v>
      </c>
      <c r="C357" t="s">
        <v>332</v>
      </c>
      <c r="D357" s="1">
        <f>-D354*(D338/D340)*LN(D355/D340)</f>
        <v>6.9314718055994534E-6</v>
      </c>
      <c r="E357" t="s">
        <v>342</v>
      </c>
    </row>
    <row r="358" spans="1:5" x14ac:dyDescent="0.25">
      <c r="A358" s="49"/>
      <c r="C358" t="s">
        <v>345</v>
      </c>
      <c r="D358" s="1">
        <f>D328+(D7*D357/D107)</f>
        <v>28.843367494693062</v>
      </c>
      <c r="E358" t="s">
        <v>20</v>
      </c>
    </row>
    <row r="359" spans="1:5" x14ac:dyDescent="0.25">
      <c r="A359" s="49"/>
      <c r="B359" t="s">
        <v>336</v>
      </c>
      <c r="D359">
        <v>60</v>
      </c>
      <c r="E359" t="s">
        <v>20</v>
      </c>
    </row>
    <row r="360" spans="1:5" x14ac:dyDescent="0.25">
      <c r="A360" s="49"/>
      <c r="C360" t="s">
        <v>338</v>
      </c>
      <c r="D360" t="b">
        <f>D358&lt;D356</f>
        <v>1</v>
      </c>
    </row>
    <row r="361" spans="1:5" x14ac:dyDescent="0.25">
      <c r="A361" s="49"/>
      <c r="C361" t="s">
        <v>337</v>
      </c>
      <c r="D361" t="b">
        <f>D358&lt;D359</f>
        <v>1</v>
      </c>
    </row>
    <row r="362" spans="1:5" x14ac:dyDescent="0.25">
      <c r="A362" s="49"/>
      <c r="B362" t="s">
        <v>339</v>
      </c>
      <c r="C362" t="s">
        <v>340</v>
      </c>
      <c r="D362">
        <f>0.5*POWER(D340, 2)/D354</f>
        <v>0.05</v>
      </c>
      <c r="E362" t="s">
        <v>22</v>
      </c>
    </row>
    <row r="363" spans="1:5" x14ac:dyDescent="0.25">
      <c r="A363" s="38"/>
    </row>
    <row r="364" spans="1:5" x14ac:dyDescent="0.25">
      <c r="A364" s="50" t="s">
        <v>700</v>
      </c>
      <c r="B364" t="s">
        <v>341</v>
      </c>
      <c r="D364" s="1">
        <f>D353</f>
        <v>3.2603164267398674</v>
      </c>
      <c r="E364" t="s">
        <v>22</v>
      </c>
    </row>
    <row r="365" spans="1:5" x14ac:dyDescent="0.25">
      <c r="A365" s="50"/>
      <c r="C365" t="s">
        <v>701</v>
      </c>
      <c r="D365">
        <v>0.9</v>
      </c>
      <c r="E365" s="39" t="s">
        <v>702</v>
      </c>
    </row>
    <row r="366" spans="1:5" x14ac:dyDescent="0.25">
      <c r="A366" s="50"/>
      <c r="C366" t="s">
        <v>703</v>
      </c>
      <c r="D366">
        <v>0.15</v>
      </c>
      <c r="E366" s="40" t="s">
        <v>139</v>
      </c>
    </row>
    <row r="367" spans="1:5" x14ac:dyDescent="0.25">
      <c r="A367" s="50"/>
      <c r="C367" t="s">
        <v>704</v>
      </c>
      <c r="D367" s="1">
        <v>1.4999999999999999E-4</v>
      </c>
      <c r="E367" s="41" t="s">
        <v>213</v>
      </c>
    </row>
    <row r="368" spans="1:5" x14ac:dyDescent="0.25">
      <c r="A368" s="50"/>
      <c r="B368" t="s">
        <v>706</v>
      </c>
      <c r="C368" t="s">
        <v>707</v>
      </c>
      <c r="D368">
        <f>D366/(1000*D365*D367)</f>
        <v>1.1111111111111112</v>
      </c>
      <c r="E368" s="40"/>
    </row>
    <row r="369" spans="1:5" x14ac:dyDescent="0.25">
      <c r="A369" s="50"/>
      <c r="B369" t="s">
        <v>708</v>
      </c>
      <c r="C369" t="s">
        <v>709</v>
      </c>
      <c r="D369">
        <f>3.5+0.5</f>
        <v>4</v>
      </c>
      <c r="E369" s="40"/>
    </row>
    <row r="370" spans="1:5" x14ac:dyDescent="0.25">
      <c r="A370" s="50"/>
      <c r="B370" t="s">
        <v>710</v>
      </c>
      <c r="C370" t="s">
        <v>711</v>
      </c>
      <c r="D370">
        <v>6.6665999999999999</v>
      </c>
      <c r="E370" s="39"/>
    </row>
    <row r="371" spans="1:5" x14ac:dyDescent="0.25">
      <c r="A371" s="50"/>
      <c r="C371" t="s">
        <v>705</v>
      </c>
      <c r="D371">
        <f>D368+D369+D370</f>
        <v>11.77771111111111</v>
      </c>
      <c r="E371" s="39"/>
    </row>
    <row r="372" spans="1:5" x14ac:dyDescent="0.25">
      <c r="A372" s="50"/>
      <c r="B372" t="s">
        <v>713</v>
      </c>
      <c r="C372" t="s">
        <v>712</v>
      </c>
      <c r="D372" s="1">
        <f>D371*D364</f>
        <v>38.399065004952206</v>
      </c>
      <c r="E372" s="39"/>
    </row>
    <row r="373" spans="1:5" x14ac:dyDescent="0.25">
      <c r="A373" s="50"/>
      <c r="C373" t="s">
        <v>714</v>
      </c>
      <c r="D373">
        <v>35</v>
      </c>
      <c r="E373" s="39"/>
    </row>
    <row r="374" spans="1:5" x14ac:dyDescent="0.25">
      <c r="A374" s="50"/>
      <c r="C374" t="s">
        <v>715</v>
      </c>
      <c r="D374" s="1">
        <f>D373+D372</f>
        <v>73.399065004952206</v>
      </c>
      <c r="E374" s="39"/>
    </row>
    <row r="375" spans="1:5" x14ac:dyDescent="0.25">
      <c r="A375" s="50"/>
      <c r="C375" t="s">
        <v>716</v>
      </c>
      <c r="D375">
        <v>150</v>
      </c>
      <c r="E375" s="39"/>
    </row>
    <row r="376" spans="1:5" x14ac:dyDescent="0.25">
      <c r="A376" s="50"/>
      <c r="C376" t="s">
        <v>717</v>
      </c>
      <c r="D376" t="b">
        <f>D374&lt;D375/D4</f>
        <v>1</v>
      </c>
    </row>
    <row r="377" spans="1:5" x14ac:dyDescent="0.25">
      <c r="A377" s="50" t="s">
        <v>718</v>
      </c>
    </row>
    <row r="378" spans="1:5" x14ac:dyDescent="0.25">
      <c r="A378" s="50"/>
    </row>
    <row r="379" spans="1:5" x14ac:dyDescent="0.25">
      <c r="A379" s="50"/>
    </row>
    <row r="380" spans="1:5" x14ac:dyDescent="0.25">
      <c r="A380" s="50"/>
    </row>
    <row r="381" spans="1:5" x14ac:dyDescent="0.25">
      <c r="A381" s="49" t="s">
        <v>350</v>
      </c>
      <c r="B381" t="s">
        <v>39</v>
      </c>
      <c r="C381" t="s">
        <v>42</v>
      </c>
      <c r="D381">
        <f>D103</f>
        <v>0.5</v>
      </c>
    </row>
    <row r="382" spans="1:5" x14ac:dyDescent="0.25">
      <c r="A382" s="49"/>
      <c r="B382" t="s">
        <v>48</v>
      </c>
      <c r="D382">
        <f>D3</f>
        <v>16000</v>
      </c>
    </row>
    <row r="383" spans="1:5" x14ac:dyDescent="0.25">
      <c r="A383" s="49"/>
      <c r="B383" t="s">
        <v>240</v>
      </c>
      <c r="D383">
        <f>D176</f>
        <v>22.598870056497173</v>
      </c>
    </row>
    <row r="384" spans="1:5" x14ac:dyDescent="0.25">
      <c r="A384" s="49"/>
      <c r="C384" t="s">
        <v>354</v>
      </c>
      <c r="D384">
        <v>2</v>
      </c>
    </row>
    <row r="385" spans="1:5" x14ac:dyDescent="0.25">
      <c r="A385" s="49"/>
      <c r="C385" t="s">
        <v>356</v>
      </c>
      <c r="D385">
        <f>D384*D383</f>
        <v>45.197740112994346</v>
      </c>
    </row>
    <row r="386" spans="1:5" x14ac:dyDescent="0.25">
      <c r="A386" s="49"/>
      <c r="B386" t="s">
        <v>351</v>
      </c>
      <c r="C386" t="s">
        <v>352</v>
      </c>
      <c r="D386">
        <v>1E-3</v>
      </c>
    </row>
    <row r="387" spans="1:5" x14ac:dyDescent="0.25">
      <c r="A387" s="49"/>
      <c r="B387" t="s">
        <v>353</v>
      </c>
      <c r="C387" t="s">
        <v>355</v>
      </c>
      <c r="D387">
        <f>D386*D383</f>
        <v>2.2598870056497175E-2</v>
      </c>
    </row>
    <row r="388" spans="1:5" x14ac:dyDescent="0.25">
      <c r="A388" s="49"/>
      <c r="B388" t="s">
        <v>403</v>
      </c>
      <c r="C388" t="s">
        <v>404</v>
      </c>
      <c r="D388">
        <f>POWER(D383, 2)*D386/3</f>
        <v>0.17023630927681485</v>
      </c>
    </row>
    <row r="389" spans="1:5" x14ac:dyDescent="0.25">
      <c r="A389" s="49"/>
      <c r="B389" t="s">
        <v>358</v>
      </c>
      <c r="C389" t="s">
        <v>357</v>
      </c>
      <c r="D389">
        <f>POWER(D385, 2)*D386/3</f>
        <v>0.6809452371072594</v>
      </c>
    </row>
    <row r="390" spans="1:5" x14ac:dyDescent="0.25">
      <c r="A390" s="49"/>
      <c r="B390" t="s">
        <v>359</v>
      </c>
      <c r="C390" t="s">
        <v>355</v>
      </c>
      <c r="D390">
        <f>D383*D386</f>
        <v>2.2598870056497175E-2</v>
      </c>
    </row>
    <row r="391" spans="1:5" x14ac:dyDescent="0.25">
      <c r="A391" s="49"/>
      <c r="B391" t="s">
        <v>360</v>
      </c>
      <c r="C391" t="s">
        <v>361</v>
      </c>
      <c r="D391">
        <f>D385*D386</f>
        <v>4.519774011299435E-2</v>
      </c>
    </row>
    <row r="392" spans="1:5" x14ac:dyDescent="0.25">
      <c r="A392" s="49"/>
      <c r="C392" t="s">
        <v>362</v>
      </c>
      <c r="D392">
        <f>2.5</f>
        <v>2.5</v>
      </c>
    </row>
    <row r="393" spans="1:5" x14ac:dyDescent="0.25">
      <c r="A393" s="49"/>
      <c r="B393" t="s">
        <v>393</v>
      </c>
      <c r="C393" t="s">
        <v>394</v>
      </c>
      <c r="D393" s="5" t="s">
        <v>395</v>
      </c>
    </row>
    <row r="394" spans="1:5" x14ac:dyDescent="0.25">
      <c r="A394" s="49"/>
      <c r="B394" t="s">
        <v>367</v>
      </c>
      <c r="C394" t="s">
        <v>366</v>
      </c>
      <c r="D394" s="1">
        <v>2.5000000000000001E-4</v>
      </c>
    </row>
    <row r="395" spans="1:5" x14ac:dyDescent="0.25">
      <c r="A395" s="49"/>
      <c r="B395" t="s">
        <v>368</v>
      </c>
      <c r="C395" t="s">
        <v>369</v>
      </c>
      <c r="D395" s="1">
        <v>5.0000000000000001E-9</v>
      </c>
    </row>
    <row r="396" spans="1:5" x14ac:dyDescent="0.25">
      <c r="A396" s="49"/>
      <c r="B396" t="s">
        <v>371</v>
      </c>
      <c r="C396" t="s">
        <v>370</v>
      </c>
      <c r="D396" s="1">
        <v>10000000</v>
      </c>
      <c r="E396" t="s">
        <v>73</v>
      </c>
    </row>
    <row r="397" spans="1:5" x14ac:dyDescent="0.25">
      <c r="A397" s="49"/>
      <c r="B397" t="s">
        <v>372</v>
      </c>
      <c r="C397" t="s">
        <v>373</v>
      </c>
      <c r="D397" s="26">
        <v>7000</v>
      </c>
      <c r="E397" t="s">
        <v>377</v>
      </c>
    </row>
    <row r="398" spans="1:5" x14ac:dyDescent="0.25">
      <c r="A398" s="49"/>
      <c r="B398" t="s">
        <v>374</v>
      </c>
      <c r="C398" t="s">
        <v>375</v>
      </c>
      <c r="D398" s="1">
        <f>D397*1000</f>
        <v>7000000</v>
      </c>
      <c r="E398" t="s">
        <v>376</v>
      </c>
    </row>
    <row r="399" spans="1:5" x14ac:dyDescent="0.25">
      <c r="A399" s="49"/>
      <c r="B399" s="27" t="s">
        <v>378</v>
      </c>
      <c r="C399" t="s">
        <v>379</v>
      </c>
      <c r="D399" s="27">
        <v>70</v>
      </c>
      <c r="E399" t="s">
        <v>380</v>
      </c>
    </row>
    <row r="400" spans="1:5" x14ac:dyDescent="0.25">
      <c r="A400" s="49"/>
      <c r="C400" t="s">
        <v>381</v>
      </c>
      <c r="D400">
        <f>D392/D391</f>
        <v>55.3125</v>
      </c>
    </row>
    <row r="401" spans="1:5" x14ac:dyDescent="0.25">
      <c r="A401" s="49"/>
      <c r="B401" t="s">
        <v>396</v>
      </c>
      <c r="C401" t="s">
        <v>384</v>
      </c>
      <c r="D401">
        <f>D400-1</f>
        <v>54.3125</v>
      </c>
    </row>
    <row r="402" spans="1:5" x14ac:dyDescent="0.25">
      <c r="A402" s="49"/>
      <c r="B402" t="s">
        <v>397</v>
      </c>
      <c r="D402">
        <f>20*LOG10(D401)</f>
        <v>34.697995875854836</v>
      </c>
    </row>
    <row r="403" spans="1:5" x14ac:dyDescent="0.25">
      <c r="A403" s="49"/>
      <c r="B403" t="s">
        <v>363</v>
      </c>
      <c r="D403">
        <v>56000</v>
      </c>
    </row>
    <row r="404" spans="1:5" x14ac:dyDescent="0.25">
      <c r="A404" s="49"/>
      <c r="B404" t="s">
        <v>365</v>
      </c>
      <c r="D404">
        <f>D403/D401</f>
        <v>1031.0701956271575</v>
      </c>
    </row>
    <row r="405" spans="1:5" x14ac:dyDescent="0.25">
      <c r="A405" s="49"/>
      <c r="B405" t="s">
        <v>364</v>
      </c>
      <c r="C405" t="s">
        <v>382</v>
      </c>
      <c r="D405">
        <v>1000</v>
      </c>
    </row>
    <row r="406" spans="1:5" x14ac:dyDescent="0.25">
      <c r="A406" s="49"/>
      <c r="B406" t="s">
        <v>398</v>
      </c>
      <c r="C406" t="s">
        <v>383</v>
      </c>
      <c r="D406">
        <f>1+(D403/D405)</f>
        <v>57</v>
      </c>
    </row>
    <row r="407" spans="1:5" x14ac:dyDescent="0.25">
      <c r="A407" s="49"/>
      <c r="C407" t="s">
        <v>414</v>
      </c>
      <c r="D407">
        <v>1E-3</v>
      </c>
    </row>
    <row r="408" spans="1:5" x14ac:dyDescent="0.25">
      <c r="A408" s="49"/>
      <c r="B408" t="s">
        <v>415</v>
      </c>
      <c r="D408">
        <f>D403*(1+D407)</f>
        <v>56055.999999999993</v>
      </c>
    </row>
    <row r="409" spans="1:5" x14ac:dyDescent="0.25">
      <c r="A409" s="49"/>
      <c r="B409" t="s">
        <v>416</v>
      </c>
      <c r="D409">
        <f>D403*(1-D407)</f>
        <v>55944</v>
      </c>
    </row>
    <row r="410" spans="1:5" x14ac:dyDescent="0.25">
      <c r="A410" s="49"/>
      <c r="B410" t="s">
        <v>417</v>
      </c>
      <c r="D410">
        <f>D405*(1+D407)</f>
        <v>1000.9999999999999</v>
      </c>
    </row>
    <row r="411" spans="1:5" x14ac:dyDescent="0.25">
      <c r="A411" s="49"/>
      <c r="B411" t="s">
        <v>418</v>
      </c>
      <c r="D411">
        <f>D405*(1-D407)</f>
        <v>999</v>
      </c>
    </row>
    <row r="412" spans="1:5" x14ac:dyDescent="0.25">
      <c r="A412" s="49"/>
      <c r="B412" t="s">
        <v>412</v>
      </c>
      <c r="C412" t="s">
        <v>413</v>
      </c>
      <c r="D412">
        <f>1+(D408/D411)</f>
        <v>57.112112112112108</v>
      </c>
    </row>
    <row r="413" spans="1:5" x14ac:dyDescent="0.25">
      <c r="A413" s="49"/>
      <c r="B413" t="s">
        <v>419</v>
      </c>
      <c r="C413" t="s">
        <v>413</v>
      </c>
      <c r="D413">
        <f>1+(D409/D410)</f>
        <v>56.888111888111894</v>
      </c>
    </row>
    <row r="414" spans="1:5" x14ac:dyDescent="0.25">
      <c r="A414" s="49"/>
      <c r="C414" t="s">
        <v>420</v>
      </c>
      <c r="D414">
        <f>MAX(ABS((D412-D406)/D406), ABS((D413-D406)/D406))</f>
        <v>1.9668791598615406E-3</v>
      </c>
    </row>
    <row r="415" spans="1:5" x14ac:dyDescent="0.25">
      <c r="A415" s="49"/>
      <c r="C415" t="s">
        <v>421</v>
      </c>
      <c r="D415">
        <f>100*D414</f>
        <v>0.19668791598615407</v>
      </c>
      <c r="E415" t="s">
        <v>168</v>
      </c>
    </row>
    <row r="416" spans="1:5" x14ac:dyDescent="0.25">
      <c r="A416" s="49"/>
      <c r="B416" t="s">
        <v>399</v>
      </c>
      <c r="D416">
        <f>20*LOG10(D406)</f>
        <v>35.117497113449829</v>
      </c>
    </row>
    <row r="417" spans="1:5" x14ac:dyDescent="0.25">
      <c r="A417" s="49"/>
      <c r="C417" t="s">
        <v>388</v>
      </c>
      <c r="D417" t="b">
        <f>ABS((D406-D400)/D400)&lt;0.02</f>
        <v>0</v>
      </c>
    </row>
    <row r="418" spans="1:5" x14ac:dyDescent="0.25">
      <c r="A418" s="49"/>
      <c r="C418" t="s">
        <v>400</v>
      </c>
      <c r="D418" t="b">
        <f>D399&gt;D416</f>
        <v>1</v>
      </c>
    </row>
    <row r="419" spans="1:5" x14ac:dyDescent="0.25">
      <c r="A419" s="49"/>
      <c r="B419" t="s">
        <v>386</v>
      </c>
      <c r="C419" t="s">
        <v>385</v>
      </c>
      <c r="D419" s="1">
        <f>D394/D386</f>
        <v>0.25</v>
      </c>
    </row>
    <row r="420" spans="1:5" x14ac:dyDescent="0.25">
      <c r="A420" s="49"/>
      <c r="C420" t="s">
        <v>401</v>
      </c>
      <c r="D420" s="1">
        <f>D383/20</f>
        <v>1.1299435028248586</v>
      </c>
    </row>
    <row r="421" spans="1:5" x14ac:dyDescent="0.25">
      <c r="A421" s="49"/>
      <c r="C421" t="s">
        <v>402</v>
      </c>
      <c r="D421" s="1" t="b">
        <f>D419&lt;D420</f>
        <v>1</v>
      </c>
    </row>
    <row r="422" spans="1:5" x14ac:dyDescent="0.25">
      <c r="A422" s="49"/>
      <c r="B422" t="s">
        <v>387</v>
      </c>
      <c r="D422">
        <f>D396/D406</f>
        <v>175438.59649122806</v>
      </c>
    </row>
    <row r="423" spans="1:5" x14ac:dyDescent="0.25">
      <c r="A423" s="49"/>
      <c r="C423" t="s">
        <v>392</v>
      </c>
      <c r="D423">
        <f>D382*D406</f>
        <v>912000</v>
      </c>
    </row>
    <row r="424" spans="1:5" x14ac:dyDescent="0.25">
      <c r="A424" s="49"/>
      <c r="C424" t="s">
        <v>389</v>
      </c>
      <c r="D424" t="b">
        <f>D422&gt;=D3</f>
        <v>1</v>
      </c>
    </row>
    <row r="425" spans="1:5" x14ac:dyDescent="0.25">
      <c r="A425" s="49"/>
    </row>
    <row r="426" spans="1:5" x14ac:dyDescent="0.25">
      <c r="A426" s="49"/>
      <c r="C426" t="s">
        <v>390</v>
      </c>
      <c r="D426">
        <f>D392*D382/D381</f>
        <v>80000</v>
      </c>
      <c r="E426" t="s">
        <v>376</v>
      </c>
    </row>
    <row r="427" spans="1:5" x14ac:dyDescent="0.25">
      <c r="A427" s="49"/>
      <c r="C427" t="s">
        <v>390</v>
      </c>
      <c r="D427">
        <f>D426/1000</f>
        <v>80</v>
      </c>
      <c r="E427" t="s">
        <v>377</v>
      </c>
    </row>
    <row r="428" spans="1:5" x14ac:dyDescent="0.25">
      <c r="A428" s="49"/>
      <c r="C428" t="s">
        <v>391</v>
      </c>
      <c r="D428" t="b">
        <f>D426&lt;=D398</f>
        <v>1</v>
      </c>
    </row>
    <row r="429" spans="1:5" x14ac:dyDescent="0.25">
      <c r="A429" s="49"/>
      <c r="B429" t="s">
        <v>405</v>
      </c>
      <c r="D429">
        <f>(D403*D405)/(D403+D405)</f>
        <v>982.45614035087715</v>
      </c>
    </row>
    <row r="430" spans="1:5" x14ac:dyDescent="0.25">
      <c r="A430" s="49"/>
      <c r="B430" t="s">
        <v>406</v>
      </c>
      <c r="D430">
        <f>D386</f>
        <v>1E-3</v>
      </c>
    </row>
    <row r="431" spans="1:5" x14ac:dyDescent="0.25">
      <c r="A431" s="49"/>
    </row>
    <row r="432" spans="1:5" x14ac:dyDescent="0.25">
      <c r="A432" s="49"/>
    </row>
    <row r="433" spans="1:5" x14ac:dyDescent="0.25">
      <c r="A433" s="49"/>
      <c r="B433" t="s">
        <v>408</v>
      </c>
      <c r="C433" s="28" t="s">
        <v>407</v>
      </c>
      <c r="D433">
        <f>D395*(D429-D430)</f>
        <v>4.9122757017543856E-6</v>
      </c>
      <c r="E433" t="s">
        <v>21</v>
      </c>
    </row>
    <row r="434" spans="1:5" x14ac:dyDescent="0.25">
      <c r="A434" s="49"/>
      <c r="B434" t="s">
        <v>409</v>
      </c>
      <c r="C434" t="s">
        <v>410</v>
      </c>
      <c r="D434" s="1">
        <f>D406*D394</f>
        <v>1.4250000000000001E-2</v>
      </c>
    </row>
    <row r="435" spans="1:5" x14ac:dyDescent="0.25">
      <c r="A435" s="49"/>
      <c r="B435" t="s">
        <v>411</v>
      </c>
      <c r="D435" s="1">
        <f>D434+D433</f>
        <v>1.4254912275701755E-2</v>
      </c>
    </row>
    <row r="436" spans="1:5" x14ac:dyDescent="0.25">
      <c r="A436" s="49"/>
      <c r="B436" t="s">
        <v>422</v>
      </c>
      <c r="C436" t="s">
        <v>423</v>
      </c>
      <c r="D436">
        <f>D386*D406</f>
        <v>5.7000000000000002E-2</v>
      </c>
    </row>
    <row r="437" spans="1:5" x14ac:dyDescent="0.25">
      <c r="A437" s="49"/>
      <c r="B437" t="s">
        <v>424</v>
      </c>
      <c r="D437">
        <f>D436*D414</f>
        <v>1.1211211211210782E-4</v>
      </c>
    </row>
    <row r="438" spans="1:5" x14ac:dyDescent="0.25">
      <c r="A438" s="49"/>
      <c r="B438" t="s">
        <v>425</v>
      </c>
      <c r="D438" s="1">
        <f>D437+D435</f>
        <v>1.4367024387813862E-2</v>
      </c>
    </row>
    <row r="439" spans="1:5" x14ac:dyDescent="0.25">
      <c r="A439" s="49"/>
      <c r="B439" t="s">
        <v>426</v>
      </c>
      <c r="D439" s="1">
        <f>(D437*D383)+D435</f>
        <v>1.6788519329082721E-2</v>
      </c>
    </row>
    <row r="440" spans="1:5" x14ac:dyDescent="0.25">
      <c r="A440" s="49"/>
      <c r="B440" t="s">
        <v>427</v>
      </c>
      <c r="D440" s="1">
        <f>(D437*D385)+D435</f>
        <v>1.9322126382463688E-2</v>
      </c>
    </row>
    <row r="441" spans="1:5" x14ac:dyDescent="0.25">
      <c r="A441" s="49"/>
      <c r="C441" t="s">
        <v>428</v>
      </c>
      <c r="D441">
        <f>1/D436</f>
        <v>17.543859649122805</v>
      </c>
    </row>
    <row r="442" spans="1:5" x14ac:dyDescent="0.25">
      <c r="A442" s="49"/>
      <c r="B442" t="s">
        <v>429</v>
      </c>
      <c r="D442" s="1">
        <f>D438*D439</f>
        <v>2.4120106663621586E-4</v>
      </c>
    </row>
    <row r="443" spans="1:5" x14ac:dyDescent="0.25">
      <c r="A443" s="49"/>
      <c r="B443" t="s">
        <v>430</v>
      </c>
      <c r="D443" s="1">
        <f>D439*D441</f>
        <v>0.29453542682601264</v>
      </c>
    </row>
    <row r="444" spans="1:5" x14ac:dyDescent="0.25">
      <c r="A444" s="49"/>
      <c r="B444" t="s">
        <v>431</v>
      </c>
      <c r="D444" s="1">
        <f>D440*D441</f>
        <v>0.33898467337655586</v>
      </c>
    </row>
    <row r="445" spans="1:5" x14ac:dyDescent="0.25">
      <c r="A445" s="49"/>
      <c r="B445" t="s">
        <v>429</v>
      </c>
      <c r="D445" s="1">
        <f>D442*100</f>
        <v>2.4120106663621587E-2</v>
      </c>
      <c r="E445" t="s">
        <v>168</v>
      </c>
    </row>
    <row r="446" spans="1:5" x14ac:dyDescent="0.25">
      <c r="A446" s="49"/>
      <c r="B446" t="s">
        <v>430</v>
      </c>
      <c r="D446" s="1">
        <f>(D443/D383)*100</f>
        <v>1.3033192637051061</v>
      </c>
      <c r="E446" t="s">
        <v>168</v>
      </c>
    </row>
    <row r="447" spans="1:5" x14ac:dyDescent="0.25">
      <c r="A447" s="49"/>
      <c r="B447" t="s">
        <v>431</v>
      </c>
      <c r="D447">
        <f>(D444/D385)*100</f>
        <v>0.75000358984562998</v>
      </c>
      <c r="E447" t="s">
        <v>168</v>
      </c>
    </row>
    <row r="449" spans="1:4" x14ac:dyDescent="0.25">
      <c r="A449" s="49" t="s">
        <v>451</v>
      </c>
      <c r="B449" t="s">
        <v>48</v>
      </c>
      <c r="C449" t="s">
        <v>47</v>
      </c>
      <c r="D449">
        <f>D3</f>
        <v>16000</v>
      </c>
    </row>
    <row r="450" spans="1:4" x14ac:dyDescent="0.25">
      <c r="A450" s="49"/>
      <c r="B450" t="s">
        <v>41</v>
      </c>
      <c r="C450" t="s">
        <v>434</v>
      </c>
      <c r="D450">
        <f>D105</f>
        <v>22.598870056497173</v>
      </c>
    </row>
    <row r="451" spans="1:4" x14ac:dyDescent="0.25">
      <c r="A451" s="49"/>
      <c r="B451" t="s">
        <v>39</v>
      </c>
      <c r="C451" t="s">
        <v>435</v>
      </c>
      <c r="D451">
        <f>D103</f>
        <v>0.5</v>
      </c>
    </row>
    <row r="452" spans="1:4" x14ac:dyDescent="0.25">
      <c r="A452" s="49"/>
      <c r="B452" t="s">
        <v>432</v>
      </c>
      <c r="C452" t="s">
        <v>433</v>
      </c>
      <c r="D452">
        <f>0.5*D450/D449</f>
        <v>7.0621468926553661E-4</v>
      </c>
    </row>
    <row r="453" spans="1:4" x14ac:dyDescent="0.25">
      <c r="A453" s="49"/>
      <c r="B453" t="s">
        <v>436</v>
      </c>
      <c r="D453">
        <v>0.5</v>
      </c>
    </row>
    <row r="454" spans="1:4" x14ac:dyDescent="0.25">
      <c r="A454" s="49"/>
      <c r="B454" t="s">
        <v>442</v>
      </c>
      <c r="D454">
        <f>D452/D453</f>
        <v>1.4124293785310732E-3</v>
      </c>
    </row>
    <row r="455" spans="1:4" x14ac:dyDescent="0.25">
      <c r="A455" s="49"/>
      <c r="C455" t="s">
        <v>437</v>
      </c>
      <c r="D455">
        <v>10</v>
      </c>
    </row>
    <row r="456" spans="1:4" x14ac:dyDescent="0.25">
      <c r="A456" s="49"/>
      <c r="B456" t="s">
        <v>441</v>
      </c>
      <c r="D456">
        <f>D455*D454</f>
        <v>1.4124293785310733E-2</v>
      </c>
    </row>
    <row r="457" spans="1:4" x14ac:dyDescent="0.25">
      <c r="A457" s="49"/>
      <c r="B457" t="s">
        <v>466</v>
      </c>
      <c r="C457" t="s">
        <v>467</v>
      </c>
      <c r="D457">
        <f>3*D479</f>
        <v>132.30000000000001</v>
      </c>
    </row>
    <row r="458" spans="1:4" x14ac:dyDescent="0.25">
      <c r="A458" s="49"/>
      <c r="B458" t="s">
        <v>468</v>
      </c>
      <c r="D458" s="1">
        <v>1E-3</v>
      </c>
    </row>
    <row r="459" spans="1:4" x14ac:dyDescent="0.25">
      <c r="A459" s="49"/>
      <c r="B459" t="s">
        <v>469</v>
      </c>
      <c r="D459">
        <v>20</v>
      </c>
    </row>
    <row r="460" spans="1:4" x14ac:dyDescent="0.25">
      <c r="A460" s="49"/>
      <c r="B460" t="s">
        <v>472</v>
      </c>
      <c r="C460" t="s">
        <v>473</v>
      </c>
      <c r="D460" s="30">
        <v>1.7000000000000001E-2</v>
      </c>
    </row>
    <row r="461" spans="1:4" x14ac:dyDescent="0.25">
      <c r="A461" s="49"/>
      <c r="B461" t="s">
        <v>474</v>
      </c>
      <c r="D461">
        <f>D460/D459</f>
        <v>8.5000000000000006E-4</v>
      </c>
    </row>
    <row r="462" spans="1:4" x14ac:dyDescent="0.25">
      <c r="A462" s="49"/>
      <c r="B462" t="s">
        <v>447</v>
      </c>
      <c r="C462" t="s">
        <v>448</v>
      </c>
      <c r="D462" s="1">
        <f>D458*D459</f>
        <v>0.02</v>
      </c>
    </row>
    <row r="463" spans="1:4" x14ac:dyDescent="0.25">
      <c r="A463" s="49"/>
      <c r="C463" t="s">
        <v>470</v>
      </c>
      <c r="D463" s="1">
        <f>0.2</f>
        <v>0.2</v>
      </c>
    </row>
    <row r="464" spans="1:4" x14ac:dyDescent="0.25">
      <c r="A464" s="49"/>
      <c r="B464" t="s">
        <v>471</v>
      </c>
      <c r="D464" s="1">
        <f>D462*(1-D463)</f>
        <v>1.6E-2</v>
      </c>
    </row>
    <row r="465" spans="1:4" x14ac:dyDescent="0.25">
      <c r="A465" s="49"/>
      <c r="B465" t="s">
        <v>507</v>
      </c>
      <c r="D465" s="1">
        <f>D461*D450</f>
        <v>1.9209039548022597E-2</v>
      </c>
    </row>
    <row r="466" spans="1:4" x14ac:dyDescent="0.25">
      <c r="A466" s="49"/>
      <c r="B466" t="s">
        <v>508</v>
      </c>
      <c r="D466" s="1">
        <f>D452/D462</f>
        <v>3.531073446327683E-2</v>
      </c>
    </row>
    <row r="467" spans="1:4" x14ac:dyDescent="0.25">
      <c r="A467" s="49"/>
      <c r="B467" t="s">
        <v>509</v>
      </c>
      <c r="D467" s="1">
        <f>D465+D466</f>
        <v>5.4519774011299427E-2</v>
      </c>
    </row>
    <row r="468" spans="1:4" x14ac:dyDescent="0.25">
      <c r="A468" s="49"/>
      <c r="B468" t="s">
        <v>475</v>
      </c>
      <c r="D468" s="1">
        <f>POWER(D465, 2)/D461</f>
        <v>0.43410258865587781</v>
      </c>
    </row>
    <row r="469" spans="1:4" x14ac:dyDescent="0.25">
      <c r="A469" s="49"/>
      <c r="B469" t="s">
        <v>476</v>
      </c>
      <c r="D469" s="1">
        <f>D468/D459</f>
        <v>2.1705129432793891E-2</v>
      </c>
    </row>
    <row r="470" spans="1:4" x14ac:dyDescent="0.25">
      <c r="A470" s="49"/>
      <c r="B470" t="s">
        <v>445</v>
      </c>
      <c r="C470" t="s">
        <v>439</v>
      </c>
      <c r="D470">
        <v>500</v>
      </c>
    </row>
    <row r="471" spans="1:4" x14ac:dyDescent="0.25">
      <c r="A471" s="49"/>
      <c r="B471" t="s">
        <v>443</v>
      </c>
      <c r="C471" t="s">
        <v>444</v>
      </c>
      <c r="D471">
        <f>1/(POWER(2*PI()*D470, 2)*D456)</f>
        <v>7.1735398018775158E-6</v>
      </c>
    </row>
    <row r="472" spans="1:4" x14ac:dyDescent="0.25">
      <c r="A472" s="49"/>
      <c r="B472" t="s">
        <v>440</v>
      </c>
      <c r="C472" t="s">
        <v>477</v>
      </c>
      <c r="D472" s="1">
        <v>2.1999999999999999E-5</v>
      </c>
    </row>
    <row r="473" spans="1:4" x14ac:dyDescent="0.25">
      <c r="A473" s="49"/>
      <c r="B473" t="s">
        <v>478</v>
      </c>
      <c r="D473" s="1">
        <f>D2*2/D5</f>
        <v>11.299435028248586</v>
      </c>
    </row>
    <row r="474" spans="1:4" x14ac:dyDescent="0.25">
      <c r="A474" s="49"/>
      <c r="B474" t="s">
        <v>479</v>
      </c>
      <c r="D474" s="1">
        <f>2*D473</f>
        <v>22.598870056497173</v>
      </c>
    </row>
    <row r="475" spans="1:4" x14ac:dyDescent="0.25">
      <c r="A475" s="49"/>
      <c r="B475" t="s">
        <v>438</v>
      </c>
      <c r="C475" t="s">
        <v>446</v>
      </c>
      <c r="D475" s="1">
        <f>1/(2*PI()*POWER(D462*D472, 0.5))</f>
        <v>239.93510443917407</v>
      </c>
    </row>
    <row r="476" spans="1:4" x14ac:dyDescent="0.25">
      <c r="A476" s="49"/>
      <c r="B476" t="s">
        <v>449</v>
      </c>
      <c r="D476" s="1">
        <f>40*LOG10(D449/D475)</f>
        <v>72.961047570285331</v>
      </c>
    </row>
    <row r="477" spans="1:4" x14ac:dyDescent="0.25">
      <c r="A477" s="49"/>
      <c r="C477" t="s">
        <v>450</v>
      </c>
      <c r="D477">
        <f>POWER(D7, 2)*0.5*D462</f>
        <v>19.448100000000004</v>
      </c>
    </row>
    <row r="478" spans="1:4" x14ac:dyDescent="0.25">
      <c r="A478" s="49"/>
      <c r="B478" t="s">
        <v>452</v>
      </c>
      <c r="C478" t="s">
        <v>453</v>
      </c>
      <c r="D478">
        <v>33</v>
      </c>
    </row>
    <row r="479" spans="1:4" x14ac:dyDescent="0.25">
      <c r="A479" s="49"/>
      <c r="B479" t="s">
        <v>38</v>
      </c>
      <c r="D479">
        <f>D7</f>
        <v>44.1</v>
      </c>
    </row>
    <row r="480" spans="1:4" x14ac:dyDescent="0.25">
      <c r="A480" s="49"/>
    </row>
    <row r="481" spans="1:4" x14ac:dyDescent="0.25">
      <c r="A481" s="49"/>
      <c r="B481" t="s">
        <v>455</v>
      </c>
      <c r="D481" s="1">
        <f>((-D478)+POWER(POWER(D478, 2)-(4*D472/D462), 0.5))/(2*D472)</f>
        <v>-1.5151530456139737</v>
      </c>
    </row>
    <row r="482" spans="1:4" x14ac:dyDescent="0.25">
      <c r="A482" s="49"/>
      <c r="B482" t="s">
        <v>456</v>
      </c>
      <c r="D482" s="1">
        <f>((-D478)-POWER(POWER(D478, 2)-(4*D472/D462), 0.5))/(2*D472)</f>
        <v>-1499998.4848469547</v>
      </c>
    </row>
    <row r="483" spans="1:4" x14ac:dyDescent="0.25">
      <c r="A483" s="49"/>
      <c r="B483" t="s">
        <v>457</v>
      </c>
      <c r="D483" s="1">
        <f>LN(D482/D481)/(D481-D482)</f>
        <v>9.2036573945350537E-6</v>
      </c>
    </row>
    <row r="484" spans="1:4" x14ac:dyDescent="0.25">
      <c r="A484" s="49"/>
      <c r="B484" t="s">
        <v>240</v>
      </c>
      <c r="D484" s="1">
        <f>(D479/(D472*(D481-D482)))*(EXP(D481*D483)-EXP(D482*D483))</f>
        <v>1.3363463508162678</v>
      </c>
    </row>
    <row r="485" spans="1:4" x14ac:dyDescent="0.25">
      <c r="A485" s="49"/>
      <c r="B485" t="s">
        <v>458</v>
      </c>
      <c r="D485" s="1">
        <f>D478*POWER(D484, 2)</f>
        <v>58.932111788218542</v>
      </c>
    </row>
    <row r="486" spans="1:4" x14ac:dyDescent="0.25">
      <c r="A486" s="49"/>
      <c r="C486" t="s">
        <v>454</v>
      </c>
      <c r="D486" s="1">
        <f>D485*D4</f>
        <v>70.71853414586225</v>
      </c>
    </row>
    <row r="487" spans="1:4" x14ac:dyDescent="0.25">
      <c r="A487" s="49"/>
      <c r="B487" t="s">
        <v>460</v>
      </c>
      <c r="C487" t="s">
        <v>459</v>
      </c>
      <c r="D487" t="b">
        <f>(POWER(D478, 2)/(4*POWER(D472, 2)))&lt;(1/(D472*D462))</f>
        <v>0</v>
      </c>
    </row>
    <row r="488" spans="1:4" x14ac:dyDescent="0.25">
      <c r="A488" s="49"/>
      <c r="B488" t="s">
        <v>461</v>
      </c>
      <c r="D488" s="1">
        <f>D478/(2*D472)</f>
        <v>750000</v>
      </c>
    </row>
    <row r="489" spans="1:4" x14ac:dyDescent="0.25">
      <c r="A489" s="49"/>
      <c r="B489" t="s">
        <v>462</v>
      </c>
      <c r="D489" s="1">
        <f>1/POWER(D472*D462, 0.5)</f>
        <v>1507.5567228888181</v>
      </c>
    </row>
    <row r="490" spans="1:4" x14ac:dyDescent="0.25">
      <c r="A490" s="49"/>
      <c r="B490" t="s">
        <v>463</v>
      </c>
      <c r="D490" t="str">
        <f>IF(D487, POWER(POWER(D489, 2)-POWER(D488, 2), 0.5),"NA")</f>
        <v>NA</v>
      </c>
    </row>
    <row r="491" spans="1:4" x14ac:dyDescent="0.25">
      <c r="A491" s="49"/>
      <c r="C491" t="s">
        <v>464</v>
      </c>
      <c r="D491" s="1" t="str">
        <f>IF(D487, 100*EXP(-PI()*D488/D490), "Not Under-damped")</f>
        <v>Not Under-damped</v>
      </c>
    </row>
    <row r="492" spans="1:4" x14ac:dyDescent="0.25">
      <c r="A492" s="49"/>
      <c r="B492" t="s">
        <v>465</v>
      </c>
      <c r="D492" s="1">
        <f>5/MIN(ABS(D481), ABS(D482))</f>
        <v>3.2999966666561322</v>
      </c>
    </row>
    <row r="493" spans="1:4" x14ac:dyDescent="0.25">
      <c r="A493" s="49"/>
      <c r="B493" t="s">
        <v>483</v>
      </c>
      <c r="C493" t="s">
        <v>480</v>
      </c>
      <c r="D493">
        <v>1600</v>
      </c>
    </row>
    <row r="494" spans="1:4" x14ac:dyDescent="0.25">
      <c r="A494" s="49"/>
      <c r="C494" t="s">
        <v>481</v>
      </c>
      <c r="D494">
        <v>0.1</v>
      </c>
    </row>
    <row r="495" spans="1:4" x14ac:dyDescent="0.25">
      <c r="A495" s="49"/>
      <c r="B495" t="s">
        <v>482</v>
      </c>
      <c r="D495">
        <f>D493*(1-D494)</f>
        <v>1440</v>
      </c>
    </row>
    <row r="496" spans="1:4" x14ac:dyDescent="0.25">
      <c r="A496" s="49"/>
      <c r="B496" t="s">
        <v>484</v>
      </c>
      <c r="D496">
        <f>D493*(1+D494)</f>
        <v>1760.0000000000002</v>
      </c>
    </row>
    <row r="497" spans="1:4" x14ac:dyDescent="0.25">
      <c r="A497" s="49"/>
      <c r="B497" t="s">
        <v>485</v>
      </c>
      <c r="D497">
        <v>24</v>
      </c>
    </row>
    <row r="498" spans="1:4" x14ac:dyDescent="0.25">
      <c r="A498" s="49"/>
      <c r="B498" t="s">
        <v>486</v>
      </c>
      <c r="D498">
        <v>1.4999999999999999E-2</v>
      </c>
    </row>
    <row r="499" spans="1:4" x14ac:dyDescent="0.25">
      <c r="A499" s="49"/>
      <c r="C499" t="s">
        <v>487</v>
      </c>
      <c r="D499" t="b">
        <f>(D497/D493)=D498</f>
        <v>1</v>
      </c>
    </row>
    <row r="500" spans="1:4" x14ac:dyDescent="0.25">
      <c r="A500" s="49"/>
      <c r="B500" t="s">
        <v>488</v>
      </c>
      <c r="C500" t="s">
        <v>489</v>
      </c>
      <c r="D500">
        <f>1.3*D497</f>
        <v>31.200000000000003</v>
      </c>
    </row>
    <row r="501" spans="1:4" x14ac:dyDescent="0.25">
      <c r="A501" s="49"/>
      <c r="B501" t="s">
        <v>490</v>
      </c>
      <c r="C501" t="s">
        <v>491</v>
      </c>
      <c r="D501">
        <f>0.75*D497</f>
        <v>18</v>
      </c>
    </row>
    <row r="502" spans="1:4" x14ac:dyDescent="0.25">
      <c r="A502" s="49"/>
      <c r="B502" t="s">
        <v>492</v>
      </c>
      <c r="D502">
        <f>D501/D496</f>
        <v>1.0227272727272725E-2</v>
      </c>
    </row>
    <row r="503" spans="1:4" x14ac:dyDescent="0.25">
      <c r="A503" s="49"/>
      <c r="B503" t="s">
        <v>493</v>
      </c>
      <c r="D503">
        <f>D500/D496</f>
        <v>1.7727272727272727E-2</v>
      </c>
    </row>
    <row r="504" spans="1:4" x14ac:dyDescent="0.25">
      <c r="A504" s="49"/>
      <c r="B504" t="s">
        <v>499</v>
      </c>
      <c r="D504">
        <v>1330</v>
      </c>
    </row>
    <row r="505" spans="1:4" x14ac:dyDescent="0.25">
      <c r="A505" s="49"/>
      <c r="C505" t="s">
        <v>503</v>
      </c>
      <c r="D505">
        <v>0.05</v>
      </c>
    </row>
    <row r="506" spans="1:4" x14ac:dyDescent="0.25">
      <c r="A506" s="49"/>
      <c r="B506" t="s">
        <v>504</v>
      </c>
      <c r="D506">
        <f>D504*(1-D505)</f>
        <v>1263.5</v>
      </c>
    </row>
    <row r="507" spans="1:4" x14ac:dyDescent="0.25">
      <c r="A507" s="49"/>
      <c r="B507" t="s">
        <v>505</v>
      </c>
      <c r="D507">
        <f>D504*(1+D505)</f>
        <v>1396.5</v>
      </c>
    </row>
    <row r="508" spans="1:4" x14ac:dyDescent="0.25">
      <c r="A508" s="49"/>
      <c r="C508" t="s">
        <v>496</v>
      </c>
      <c r="D508">
        <f>D6/(D493+D504)</f>
        <v>1.3003412969283274E-2</v>
      </c>
    </row>
    <row r="509" spans="1:4" x14ac:dyDescent="0.25">
      <c r="A509" s="49"/>
      <c r="C509" t="s">
        <v>497</v>
      </c>
      <c r="D509">
        <f>D5/(D495+D507)</f>
        <v>1.2480169222633529E-2</v>
      </c>
    </row>
    <row r="510" spans="1:4" x14ac:dyDescent="0.25">
      <c r="A510" s="49"/>
      <c r="C510" t="s">
        <v>498</v>
      </c>
      <c r="D510">
        <f>D7/(D495+D506)</f>
        <v>1.6312187904568152E-2</v>
      </c>
    </row>
    <row r="511" spans="1:4" x14ac:dyDescent="0.25">
      <c r="A511" s="49"/>
      <c r="C511" t="s">
        <v>500</v>
      </c>
      <c r="D511" t="b">
        <f>AND((D508&gt;D502), (D510&lt;D503))</f>
        <v>1</v>
      </c>
    </row>
    <row r="512" spans="1:4" x14ac:dyDescent="0.25">
      <c r="A512" s="49"/>
    </row>
    <row r="513" spans="1:4" x14ac:dyDescent="0.25">
      <c r="A513" s="49"/>
      <c r="B513" t="s">
        <v>501</v>
      </c>
      <c r="D513">
        <f xml:space="preserve"> POWER(D510, 2)*D504</f>
        <v>0.35389634073113957</v>
      </c>
    </row>
    <row r="514" spans="1:4" x14ac:dyDescent="0.25">
      <c r="A514" s="49"/>
      <c r="B514" t="s">
        <v>506</v>
      </c>
      <c r="D514">
        <f>POWER(D508, 2)*D493</f>
        <v>0.27054199815955915</v>
      </c>
    </row>
    <row r="515" spans="1:4" x14ac:dyDescent="0.25">
      <c r="A515" s="49"/>
      <c r="B515" t="s">
        <v>502</v>
      </c>
      <c r="D515">
        <f>POWER(D509, 2)*D496</f>
        <v>0.27412813793300184</v>
      </c>
    </row>
    <row r="516" spans="1:4" x14ac:dyDescent="0.25">
      <c r="A516" s="49"/>
      <c r="C516" t="s">
        <v>626</v>
      </c>
      <c r="D516" s="1">
        <f>0.5*D472*POWER(D517, 2)</f>
        <v>3.0311171733454588E-4</v>
      </c>
    </row>
    <row r="517" spans="1:4" x14ac:dyDescent="0.25">
      <c r="A517" s="49"/>
      <c r="C517" t="s">
        <v>627</v>
      </c>
      <c r="D517">
        <f>D2/D6</f>
        <v>5.2493438320209984</v>
      </c>
    </row>
    <row r="518" spans="1:4" x14ac:dyDescent="0.25">
      <c r="A518" s="49"/>
      <c r="C518" t="s">
        <v>628</v>
      </c>
      <c r="D518">
        <f>D6</f>
        <v>38.099999999999994</v>
      </c>
    </row>
    <row r="519" spans="1:4" x14ac:dyDescent="0.25">
      <c r="A519" s="49"/>
      <c r="C519" t="s">
        <v>629</v>
      </c>
      <c r="D519">
        <f>POWER(((0.5*D462*POWER(D518, 2))+D516)*2/D462, 0.5)</f>
        <v>38.100397782329424</v>
      </c>
    </row>
    <row r="520" spans="1:4" x14ac:dyDescent="0.25">
      <c r="A520" t="s">
        <v>737</v>
      </c>
      <c r="B520" t="s">
        <v>739</v>
      </c>
      <c r="C520" t="s">
        <v>738</v>
      </c>
      <c r="D520" s="1">
        <f>0.5*D462*POWER(D7, 2)</f>
        <v>19.448100000000004</v>
      </c>
    </row>
    <row r="521" spans="1:4" x14ac:dyDescent="0.25">
      <c r="B521" t="s">
        <v>740</v>
      </c>
      <c r="C521" t="s">
        <v>741</v>
      </c>
      <c r="D521">
        <f>(0.06*0.022*0.0018)+(2*(0.06*0.0129*0.001))+(0.06*0.0091*0.0018)</f>
        <v>4.9067999999999993E-6</v>
      </c>
    </row>
    <row r="522" spans="1:4" x14ac:dyDescent="0.25">
      <c r="B522" t="s">
        <v>742</v>
      </c>
      <c r="C522" t="s">
        <v>743</v>
      </c>
      <c r="D522">
        <v>850</v>
      </c>
    </row>
    <row r="523" spans="1:4" x14ac:dyDescent="0.25">
      <c r="B523" t="s">
        <v>744</v>
      </c>
      <c r="C523" t="s">
        <v>745</v>
      </c>
      <c r="D523">
        <v>2700</v>
      </c>
    </row>
    <row r="524" spans="1:4" x14ac:dyDescent="0.25">
      <c r="B524" t="s">
        <v>713</v>
      </c>
      <c r="D524">
        <f>D520/(D523*D521*D522)</f>
        <v>1.7270150907024588</v>
      </c>
    </row>
    <row r="525" spans="1:4" x14ac:dyDescent="0.25">
      <c r="B525" t="s">
        <v>746</v>
      </c>
      <c r="C525" t="s">
        <v>753</v>
      </c>
      <c r="D525">
        <v>0.2</v>
      </c>
    </row>
    <row r="526" spans="1:4" x14ac:dyDescent="0.25">
      <c r="B526" t="s">
        <v>751</v>
      </c>
      <c r="C526" t="s">
        <v>750</v>
      </c>
      <c r="D526">
        <f>D522*D521*D523</f>
        <v>11.261106</v>
      </c>
    </row>
    <row r="527" spans="1:4" x14ac:dyDescent="0.25">
      <c r="B527" t="s">
        <v>757</v>
      </c>
      <c r="C527" t="s">
        <v>756</v>
      </c>
      <c r="D527">
        <f>0.022*0.06</f>
        <v>1.3199999999999998E-3</v>
      </c>
    </row>
    <row r="528" spans="1:4" x14ac:dyDescent="0.25">
      <c r="B528" t="s">
        <v>758</v>
      </c>
      <c r="C528" t="s">
        <v>759</v>
      </c>
      <c r="D528">
        <f>0.002</f>
        <v>2E-3</v>
      </c>
    </row>
    <row r="529" spans="1:10" x14ac:dyDescent="0.25">
      <c r="B529" t="s">
        <v>747</v>
      </c>
      <c r="C529" t="s">
        <v>748</v>
      </c>
      <c r="D529">
        <v>0.5</v>
      </c>
    </row>
    <row r="530" spans="1:10" x14ac:dyDescent="0.25">
      <c r="B530" t="s">
        <v>752</v>
      </c>
      <c r="C530" t="s">
        <v>749</v>
      </c>
      <c r="D530">
        <f>4.605*D526/D529</f>
        <v>103.71478626000001</v>
      </c>
    </row>
    <row r="531" spans="1:10" x14ac:dyDescent="0.25">
      <c r="B531" t="s">
        <v>754</v>
      </c>
      <c r="C531" t="s">
        <v>755</v>
      </c>
      <c r="D531">
        <f>D528/(D525*D527)</f>
        <v>7.575757575757577</v>
      </c>
    </row>
    <row r="532" spans="1:10" x14ac:dyDescent="0.25">
      <c r="B532" t="s">
        <v>760</v>
      </c>
      <c r="D532">
        <f>D526*D524/D530</f>
        <v>0.18751521071687935</v>
      </c>
    </row>
    <row r="533" spans="1:10" x14ac:dyDescent="0.25">
      <c r="A533" s="42"/>
      <c r="B533" t="s">
        <v>761</v>
      </c>
      <c r="D533">
        <f>D532*D531</f>
        <v>1.4205697781581772</v>
      </c>
    </row>
    <row r="534" spans="1:10" x14ac:dyDescent="0.25">
      <c r="A534" s="49" t="s">
        <v>630</v>
      </c>
      <c r="C534" t="s">
        <v>634</v>
      </c>
      <c r="D534" t="s">
        <v>635</v>
      </c>
      <c r="E534" t="s">
        <v>637</v>
      </c>
      <c r="F534" t="s">
        <v>636</v>
      </c>
      <c r="G534" t="s">
        <v>638</v>
      </c>
    </row>
    <row r="535" spans="1:10" x14ac:dyDescent="0.25">
      <c r="A535" s="49"/>
      <c r="C535" t="s">
        <v>631</v>
      </c>
      <c r="D535">
        <f>D2/D5</f>
        <v>5.6497175141242932</v>
      </c>
      <c r="E535">
        <f>11*0.01</f>
        <v>0.11</v>
      </c>
      <c r="F535">
        <v>1</v>
      </c>
      <c r="G535">
        <v>22</v>
      </c>
      <c r="H535">
        <v>10</v>
      </c>
      <c r="I535">
        <v>10</v>
      </c>
      <c r="J535">
        <v>10</v>
      </c>
    </row>
    <row r="536" spans="1:10" x14ac:dyDescent="0.25">
      <c r="A536" s="49"/>
      <c r="C536" t="s">
        <v>632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</row>
    <row r="537" spans="1:10" x14ac:dyDescent="0.25">
      <c r="A537" s="49"/>
      <c r="C537" t="s">
        <v>633</v>
      </c>
      <c r="D537">
        <v>5</v>
      </c>
      <c r="E537">
        <v>5</v>
      </c>
      <c r="F537">
        <v>5</v>
      </c>
      <c r="G537">
        <v>5</v>
      </c>
      <c r="H537">
        <v>5</v>
      </c>
      <c r="I537">
        <v>5</v>
      </c>
      <c r="J537">
        <v>5</v>
      </c>
    </row>
    <row r="538" spans="1:10" x14ac:dyDescent="0.25">
      <c r="A538" s="49"/>
      <c r="C538" t="s">
        <v>641</v>
      </c>
      <c r="D538">
        <f>0.0254*POWER(D535/(0.048*POWER(D537, 0.44)), 1/0.725)/(D536*1.378)</f>
        <v>2.4923433704232472</v>
      </c>
      <c r="E538">
        <f t="shared" ref="E538:G538" si="20">0.0254*POWER(E535/(0.048*POWER(E537, 0.44)), 1/0.725)/(E536*1.378)</f>
        <v>1.0892125473680554E-2</v>
      </c>
      <c r="F538">
        <f t="shared" si="20"/>
        <v>0.22873341897835012</v>
      </c>
      <c r="G538">
        <f t="shared" si="20"/>
        <v>16.253508114154439</v>
      </c>
      <c r="H538">
        <f t="shared" ref="H538" si="21">0.0254*POWER(H535/(0.048*POWER(H537, 0.44)), 1/0.725)/(H536*1.378)</f>
        <v>5.4782262733389961</v>
      </c>
      <c r="I538">
        <f t="shared" ref="I538:J538" si="22">0.0254*POWER(I535/(0.048*POWER(I537, 0.44)), 1/0.725)/(I536*1.378)</f>
        <v>5.4782262733389961</v>
      </c>
      <c r="J538">
        <f t="shared" si="22"/>
        <v>5.4782262733389961</v>
      </c>
    </row>
    <row r="539" spans="1:10" x14ac:dyDescent="0.25">
      <c r="A539" s="49"/>
      <c r="C539" t="s">
        <v>642</v>
      </c>
      <c r="D539">
        <f>0.0254*POWER(D535/(0.024*POWER(D537, 0.44)), 1/0.725)/(D536*1.378)</f>
        <v>6.4836813405534928</v>
      </c>
      <c r="E539">
        <f t="shared" ref="E539:I539" si="23">0.0254*POWER(E535/(0.024*POWER(E537, 0.44)), 1/0.725)/(E536*1.378)</f>
        <v>2.8335209157266786E-2</v>
      </c>
      <c r="F539">
        <f t="shared" si="23"/>
        <v>0.59503622903255293</v>
      </c>
      <c r="G539">
        <f t="shared" si="23"/>
        <v>42.282523559497292</v>
      </c>
      <c r="H539">
        <f t="shared" si="23"/>
        <v>14.251276083899347</v>
      </c>
      <c r="I539">
        <f t="shared" si="23"/>
        <v>14.251276083899347</v>
      </c>
    </row>
    <row r="540" spans="1:10" x14ac:dyDescent="0.25">
      <c r="A540" s="49"/>
      <c r="C540" t="s">
        <v>640</v>
      </c>
      <c r="D540">
        <v>8</v>
      </c>
      <c r="E540">
        <v>1</v>
      </c>
      <c r="F540">
        <v>1</v>
      </c>
      <c r="G540">
        <v>8</v>
      </c>
      <c r="H540">
        <v>8</v>
      </c>
    </row>
    <row r="541" spans="1:10" x14ac:dyDescent="0.25">
      <c r="A541" s="49"/>
      <c r="C541" t="s">
        <v>645</v>
      </c>
      <c r="D541">
        <f>POWER(D535/POWER(D540*(D536*1.378)/0.0254, 0.725)/0.048, 1/0.44)</f>
        <v>0.7318559619713908</v>
      </c>
      <c r="E541">
        <f t="shared" ref="E541:H541" si="24">POWER(E535/POWER(E540*(E536*1.378)/0.0254, 0.725)/0.048, 1/0.44)</f>
        <v>2.9151906392472556E-3</v>
      </c>
      <c r="F541">
        <f t="shared" si="24"/>
        <v>0.43986554940209394</v>
      </c>
      <c r="G541">
        <f t="shared" si="24"/>
        <v>16.078094835159579</v>
      </c>
      <c r="H541">
        <f t="shared" si="24"/>
        <v>2.6791758539545092</v>
      </c>
    </row>
    <row r="542" spans="1:10" x14ac:dyDescent="0.25">
      <c r="A542" s="49"/>
      <c r="C542" t="s">
        <v>644</v>
      </c>
      <c r="D542">
        <f>POWER(D535/POWER(D540*(D536*1.378)/0.0254, 0.725)/0.024, 1/0.44)</f>
        <v>3.5365898499283999</v>
      </c>
      <c r="E542">
        <f t="shared" ref="E542:H542" si="25">POWER(E535/POWER(E540*(E536*1.378)/0.0254, 0.725)/0.024, 1/0.44)</f>
        <v>1.4087244158805046E-2</v>
      </c>
      <c r="F542">
        <f t="shared" si="25"/>
        <v>2.1255877087593311</v>
      </c>
      <c r="G542">
        <f t="shared" si="25"/>
        <v>77.695106625959824</v>
      </c>
      <c r="H542">
        <f t="shared" si="25"/>
        <v>12.946736275462857</v>
      </c>
    </row>
    <row r="543" spans="1:10" x14ac:dyDescent="0.25">
      <c r="A543" s="49"/>
      <c r="C543" t="s">
        <v>639</v>
      </c>
      <c r="D543">
        <v>100</v>
      </c>
      <c r="E543">
        <v>200</v>
      </c>
      <c r="F543">
        <v>120</v>
      </c>
      <c r="G543">
        <v>100</v>
      </c>
      <c r="H543">
        <v>100</v>
      </c>
    </row>
    <row r="544" spans="1:10" x14ac:dyDescent="0.25">
      <c r="A544" s="49"/>
      <c r="C544" t="s">
        <v>200</v>
      </c>
      <c r="D544">
        <f>(0.0000000168)*(D543/1000)/((D540/1000)*0.0000348*D536)</f>
        <v>3.0172413793103452E-3</v>
      </c>
      <c r="E544">
        <f>(0.0000000168)*(E543/1000)/((E540/1000)*0.0000348*E536)</f>
        <v>4.8275862068965524E-2</v>
      </c>
      <c r="F544">
        <f>(0.0000000168)*(F543/1000)/((F540/1000)*0.0000348*F536)</f>
        <v>2.8965517241379312E-2</v>
      </c>
      <c r="G544">
        <f>(0.0000000168)*(G543/1000)/((G540/1000)*0.0000348*G536)</f>
        <v>3.0172413793103452E-3</v>
      </c>
      <c r="H544">
        <f>(0.0000000168)*(H543/1000)/((H540/1000)*0.0000348*H536)</f>
        <v>3.0172413793103452E-3</v>
      </c>
    </row>
    <row r="545" spans="1:8" x14ac:dyDescent="0.25">
      <c r="A545" s="49"/>
      <c r="C545" t="s">
        <v>643</v>
      </c>
      <c r="D545">
        <f>POWER(D535, 2)*D544</f>
        <v>9.6308256864577377E-2</v>
      </c>
      <c r="E545">
        <f>POWER(E535, 2)*E544</f>
        <v>5.8413793103448278E-4</v>
      </c>
      <c r="F545">
        <f>POWER(F535, 2)*F544</f>
        <v>2.8965517241379312E-2</v>
      </c>
      <c r="G545">
        <f>POWER(G535, 2)*G544</f>
        <v>1.460344827586207</v>
      </c>
      <c r="H545">
        <f>POWER(H535, 2)*H544</f>
        <v>0.30172413793103453</v>
      </c>
    </row>
    <row r="546" spans="1:8" x14ac:dyDescent="0.25">
      <c r="A546" s="49"/>
      <c r="C546" t="s">
        <v>646</v>
      </c>
      <c r="D546">
        <f>D535*D544</f>
        <v>1.7046561465030197E-2</v>
      </c>
      <c r="E546">
        <f t="shared" ref="E546:H546" si="26">E535*E544</f>
        <v>5.3103448275862077E-3</v>
      </c>
      <c r="F546">
        <f t="shared" si="26"/>
        <v>2.8965517241379312E-2</v>
      </c>
      <c r="G546">
        <f t="shared" si="26"/>
        <v>6.6379310344827594E-2</v>
      </c>
      <c r="H546">
        <f t="shared" si="26"/>
        <v>3.0172413793103453E-2</v>
      </c>
    </row>
    <row r="547" spans="1:8" x14ac:dyDescent="0.25">
      <c r="A547" s="42"/>
    </row>
    <row r="548" spans="1:8" x14ac:dyDescent="0.25">
      <c r="A548" s="42"/>
    </row>
    <row r="553" spans="1:8" x14ac:dyDescent="0.25">
      <c r="A553" s="50" t="s">
        <v>719</v>
      </c>
    </row>
    <row r="554" spans="1:8" x14ac:dyDescent="0.25">
      <c r="A554" s="50"/>
      <c r="C554" t="s">
        <v>720</v>
      </c>
      <c r="D554" s="1">
        <v>1000000000</v>
      </c>
    </row>
    <row r="555" spans="1:8" x14ac:dyDescent="0.25">
      <c r="A555" s="50"/>
      <c r="C555" t="s">
        <v>721</v>
      </c>
      <c r="D555">
        <v>14</v>
      </c>
    </row>
    <row r="556" spans="1:8" x14ac:dyDescent="0.25">
      <c r="A556" s="50"/>
      <c r="C556" t="s">
        <v>219</v>
      </c>
      <c r="D556" s="1">
        <f>D554*D555</f>
        <v>14000000000</v>
      </c>
    </row>
    <row r="557" spans="1:8" x14ac:dyDescent="0.25">
      <c r="A557" s="50"/>
      <c r="C557" t="s">
        <v>722</v>
      </c>
      <c r="D557">
        <f>2.5</f>
        <v>2.5</v>
      </c>
    </row>
    <row r="558" spans="1:8" x14ac:dyDescent="0.25">
      <c r="A558" s="50"/>
      <c r="C558" t="s">
        <v>723</v>
      </c>
      <c r="D558">
        <f>D8/D557</f>
        <v>32000</v>
      </c>
    </row>
    <row r="559" spans="1:8" x14ac:dyDescent="0.25">
      <c r="A559" s="50"/>
      <c r="C559" t="s">
        <v>724</v>
      </c>
      <c r="D559">
        <f>D556/D558</f>
        <v>437500</v>
      </c>
    </row>
    <row r="560" spans="1:8" x14ac:dyDescent="0.25">
      <c r="A560" s="50"/>
      <c r="C560" t="s">
        <v>762</v>
      </c>
      <c r="D560" s="1">
        <v>130000</v>
      </c>
    </row>
    <row r="561" spans="1:4" x14ac:dyDescent="0.25">
      <c r="A561" s="50"/>
      <c r="C561" t="s">
        <v>725</v>
      </c>
      <c r="D561" s="1">
        <f>D8/D556</f>
        <v>5.7142857142857145E-6</v>
      </c>
    </row>
    <row r="562" spans="1:4" x14ac:dyDescent="0.25">
      <c r="A562" s="50"/>
      <c r="C562" t="s">
        <v>726</v>
      </c>
      <c r="D562" s="1">
        <f>D561*D561*D554</f>
        <v>3.2653061224489799E-2</v>
      </c>
    </row>
    <row r="563" spans="1:4" x14ac:dyDescent="0.25">
      <c r="A563" s="50"/>
      <c r="C563" t="s">
        <v>727</v>
      </c>
      <c r="D563" s="1">
        <f>D562*D555</f>
        <v>0.45714285714285718</v>
      </c>
    </row>
    <row r="564" spans="1:4" x14ac:dyDescent="0.25">
      <c r="A564" s="50"/>
      <c r="C564" t="s">
        <v>728</v>
      </c>
      <c r="D564" s="1">
        <f>POWER(D561, 2)*D560</f>
        <v>4.2448979591836746E-6</v>
      </c>
    </row>
    <row r="567" spans="1:4" x14ac:dyDescent="0.25">
      <c r="A567" s="50" t="s">
        <v>729</v>
      </c>
      <c r="C567" t="s">
        <v>720</v>
      </c>
      <c r="D567" s="1">
        <v>100000000</v>
      </c>
    </row>
    <row r="568" spans="1:4" x14ac:dyDescent="0.25">
      <c r="A568" s="50"/>
      <c r="C568" t="s">
        <v>721</v>
      </c>
      <c r="D568">
        <v>1</v>
      </c>
    </row>
    <row r="569" spans="1:4" x14ac:dyDescent="0.25">
      <c r="A569" s="50"/>
      <c r="C569" t="s">
        <v>219</v>
      </c>
      <c r="D569" s="1">
        <f>D567*D568</f>
        <v>100000000</v>
      </c>
    </row>
    <row r="570" spans="1:4" x14ac:dyDescent="0.25">
      <c r="A570" s="50"/>
      <c r="C570" t="s">
        <v>722</v>
      </c>
      <c r="D570">
        <v>2.5</v>
      </c>
    </row>
    <row r="571" spans="1:4" x14ac:dyDescent="0.25">
      <c r="A571" s="50"/>
      <c r="C571" t="s">
        <v>723</v>
      </c>
      <c r="D571">
        <f>D12/D570</f>
        <v>5600</v>
      </c>
    </row>
    <row r="572" spans="1:4" x14ac:dyDescent="0.25">
      <c r="A572" s="50"/>
      <c r="C572" t="s">
        <v>724</v>
      </c>
      <c r="D572">
        <f>D569/D571</f>
        <v>17857.142857142859</v>
      </c>
    </row>
    <row r="573" spans="1:4" x14ac:dyDescent="0.25">
      <c r="A573" s="50"/>
      <c r="C573" t="s">
        <v>763</v>
      </c>
      <c r="D573" s="1">
        <v>20000</v>
      </c>
    </row>
    <row r="574" spans="1:4" x14ac:dyDescent="0.25">
      <c r="A574" s="50"/>
      <c r="C574" t="s">
        <v>725</v>
      </c>
      <c r="D574" s="1">
        <f>D12/D569</f>
        <v>1.3999999999999999E-4</v>
      </c>
    </row>
    <row r="575" spans="1:4" x14ac:dyDescent="0.25">
      <c r="A575" s="50"/>
      <c r="C575" t="s">
        <v>726</v>
      </c>
      <c r="D575" s="1">
        <f>D574*D574*D567</f>
        <v>1.9599999999999997</v>
      </c>
    </row>
    <row r="576" spans="1:4" x14ac:dyDescent="0.25">
      <c r="A576" s="50"/>
      <c r="C576" t="s">
        <v>727</v>
      </c>
      <c r="D576" s="1">
        <f>D575*D568</f>
        <v>1.9599999999999997</v>
      </c>
    </row>
    <row r="577" spans="1:5" x14ac:dyDescent="0.25">
      <c r="C577" t="s">
        <v>728</v>
      </c>
      <c r="D577" s="1">
        <f>POWER(D574, 2)*D573</f>
        <v>3.9199999999999993E-4</v>
      </c>
    </row>
    <row r="579" spans="1:5" x14ac:dyDescent="0.25">
      <c r="A579" s="49" t="s">
        <v>730</v>
      </c>
      <c r="C579" t="s">
        <v>731</v>
      </c>
      <c r="D579">
        <v>3</v>
      </c>
    </row>
    <row r="580" spans="1:5" x14ac:dyDescent="0.25">
      <c r="A580" s="49"/>
      <c r="C580" t="s">
        <v>732</v>
      </c>
      <c r="D580">
        <v>550</v>
      </c>
      <c r="E580" t="s">
        <v>734</v>
      </c>
    </row>
    <row r="581" spans="1:5" x14ac:dyDescent="0.25">
      <c r="A581" s="49"/>
      <c r="C581" t="s">
        <v>733</v>
      </c>
      <c r="D581">
        <f>25.4*41.9*0.000001</f>
        <v>1.06426E-3</v>
      </c>
    </row>
    <row r="582" spans="1:5" x14ac:dyDescent="0.25">
      <c r="A582" s="49"/>
      <c r="C582" t="s">
        <v>735</v>
      </c>
      <c r="D582">
        <f>D581*D580*0.3048</f>
        <v>0.17841254640000004</v>
      </c>
      <c r="E582" t="s">
        <v>648</v>
      </c>
    </row>
    <row r="583" spans="1:5" x14ac:dyDescent="0.25">
      <c r="A583" s="49"/>
      <c r="C583" t="s">
        <v>736</v>
      </c>
      <c r="D583">
        <f>D582*50</f>
        <v>8.9206273200000012</v>
      </c>
    </row>
    <row r="584" spans="1:5" x14ac:dyDescent="0.25">
      <c r="A584" s="49"/>
    </row>
    <row r="585" spans="1:5" x14ac:dyDescent="0.25">
      <c r="A585" s="49"/>
    </row>
    <row r="586" spans="1:5" x14ac:dyDescent="0.25">
      <c r="A586" s="49"/>
    </row>
    <row r="587" spans="1:5" x14ac:dyDescent="0.25">
      <c r="A587" s="49"/>
    </row>
    <row r="588" spans="1:5" x14ac:dyDescent="0.25">
      <c r="A588" s="49"/>
    </row>
    <row r="589" spans="1:5" x14ac:dyDescent="0.25">
      <c r="A589" s="49"/>
    </row>
    <row r="590" spans="1:5" x14ac:dyDescent="0.25">
      <c r="A590" s="49"/>
    </row>
    <row r="591" spans="1:5" x14ac:dyDescent="0.25">
      <c r="A591" s="49"/>
    </row>
    <row r="593" spans="1:5" x14ac:dyDescent="0.25">
      <c r="A593" s="49" t="s">
        <v>764</v>
      </c>
      <c r="C593" t="s">
        <v>765</v>
      </c>
      <c r="E593" s="1">
        <f>D67</f>
        <v>0.15679999999999999</v>
      </c>
    </row>
    <row r="594" spans="1:5" x14ac:dyDescent="0.25">
      <c r="A594" s="49"/>
      <c r="C594" t="s">
        <v>766</v>
      </c>
      <c r="E594">
        <f>D27</f>
        <v>0.7</v>
      </c>
    </row>
    <row r="595" spans="1:5" x14ac:dyDescent="0.25">
      <c r="A595" s="49"/>
      <c r="C595" t="s">
        <v>767</v>
      </c>
      <c r="E595" s="1">
        <f>D163+D164</f>
        <v>3.2288346657248184</v>
      </c>
    </row>
    <row r="596" spans="1:5" x14ac:dyDescent="0.25">
      <c r="A596" s="49"/>
      <c r="C596" t="s">
        <v>768</v>
      </c>
      <c r="E596" s="1">
        <f>E593+E594+E595</f>
        <v>4.0856346657248181</v>
      </c>
    </row>
    <row r="597" spans="1:5" x14ac:dyDescent="0.25">
      <c r="A597" s="49"/>
    </row>
    <row r="598" spans="1:5" x14ac:dyDescent="0.25">
      <c r="A598" s="49"/>
    </row>
    <row r="599" spans="1:5" x14ac:dyDescent="0.25">
      <c r="A599" s="49"/>
      <c r="C599" t="s">
        <v>4</v>
      </c>
      <c r="E599">
        <v>2</v>
      </c>
    </row>
    <row r="600" spans="1:5" x14ac:dyDescent="0.25">
      <c r="A600" s="49"/>
      <c r="C600" t="s">
        <v>649</v>
      </c>
      <c r="D600" t="s">
        <v>212</v>
      </c>
      <c r="E600">
        <v>0.17399999999999999</v>
      </c>
    </row>
    <row r="601" spans="1:5" x14ac:dyDescent="0.25">
      <c r="A601" s="49"/>
      <c r="C601" t="s">
        <v>650</v>
      </c>
      <c r="D601" t="s">
        <v>212</v>
      </c>
      <c r="E601">
        <v>0.5</v>
      </c>
    </row>
    <row r="602" spans="1:5" x14ac:dyDescent="0.25">
      <c r="A602" s="49"/>
      <c r="C602" t="s">
        <v>647</v>
      </c>
      <c r="D602" t="s">
        <v>658</v>
      </c>
      <c r="E602">
        <f>POWER(E600/2, 2)*PI()*E601</f>
        <v>1.1889357397510571E-2</v>
      </c>
    </row>
    <row r="603" spans="1:5" x14ac:dyDescent="0.25">
      <c r="A603" s="49"/>
      <c r="C603" t="s">
        <v>651</v>
      </c>
      <c r="E603" s="1">
        <f>E596</f>
        <v>4.0856346657248181</v>
      </c>
    </row>
    <row r="604" spans="1:5" x14ac:dyDescent="0.25">
      <c r="A604" s="49"/>
      <c r="C604" t="s">
        <v>656</v>
      </c>
      <c r="D604" t="s">
        <v>652</v>
      </c>
      <c r="E604">
        <v>2300</v>
      </c>
    </row>
    <row r="605" spans="1:5" x14ac:dyDescent="0.25">
      <c r="A605" s="49"/>
      <c r="C605" t="s">
        <v>653</v>
      </c>
      <c r="D605" t="s">
        <v>654</v>
      </c>
      <c r="E605">
        <v>20</v>
      </c>
    </row>
    <row r="606" spans="1:5" x14ac:dyDescent="0.25">
      <c r="A606" s="49"/>
      <c r="C606" t="s">
        <v>655</v>
      </c>
      <c r="D606" t="s">
        <v>657</v>
      </c>
      <c r="E606">
        <v>800</v>
      </c>
    </row>
    <row r="607" spans="1:5" x14ac:dyDescent="0.25">
      <c r="A607" s="49"/>
      <c r="C607" t="s">
        <v>659</v>
      </c>
      <c r="D607" t="s">
        <v>660</v>
      </c>
      <c r="E607">
        <f>E606*E602</f>
        <v>9.5114859180084572</v>
      </c>
    </row>
    <row r="608" spans="1:5" x14ac:dyDescent="0.25">
      <c r="A608" s="49"/>
      <c r="C608" t="s">
        <v>661</v>
      </c>
      <c r="D608" t="s">
        <v>662</v>
      </c>
      <c r="E608">
        <f>E604*E607*E605</f>
        <v>437528.35222838906</v>
      </c>
    </row>
    <row r="609" spans="1:5" x14ac:dyDescent="0.25">
      <c r="A609" s="49"/>
      <c r="C609" t="s">
        <v>663</v>
      </c>
      <c r="D609" t="s">
        <v>342</v>
      </c>
      <c r="E609">
        <f>E608/E603</f>
        <v>107089.44583295695</v>
      </c>
    </row>
    <row r="610" spans="1:5" x14ac:dyDescent="0.25">
      <c r="A610" s="49"/>
      <c r="C610" t="s">
        <v>664</v>
      </c>
      <c r="D610" t="s">
        <v>342</v>
      </c>
      <c r="E610">
        <f>E609/E599</f>
        <v>53544.722916478473</v>
      </c>
    </row>
    <row r="611" spans="1:5" x14ac:dyDescent="0.25">
      <c r="A611" s="49"/>
      <c r="C611" t="s">
        <v>665</v>
      </c>
      <c r="D611" t="s">
        <v>666</v>
      </c>
      <c r="E611">
        <f>E602/E610</f>
        <v>2.2204536226765314E-7</v>
      </c>
    </row>
    <row r="612" spans="1:5" x14ac:dyDescent="0.25">
      <c r="A612" s="49"/>
      <c r="C612" t="s">
        <v>665</v>
      </c>
      <c r="D612" t="s">
        <v>667</v>
      </c>
      <c r="E612">
        <f>(1000000)*E611</f>
        <v>0.22204536226765315</v>
      </c>
    </row>
    <row r="613" spans="1:5" x14ac:dyDescent="0.25">
      <c r="A613" s="49"/>
      <c r="C613" t="s">
        <v>668</v>
      </c>
      <c r="D613" t="s">
        <v>669</v>
      </c>
      <c r="E613">
        <v>0.1</v>
      </c>
    </row>
    <row r="614" spans="1:5" x14ac:dyDescent="0.25">
      <c r="A614" s="49"/>
      <c r="C614" t="s">
        <v>670</v>
      </c>
      <c r="D614" t="s">
        <v>213</v>
      </c>
      <c r="E614">
        <f>E611/E613</f>
        <v>2.2204536226765314E-6</v>
      </c>
    </row>
    <row r="615" spans="1:5" x14ac:dyDescent="0.25">
      <c r="A615" s="49"/>
      <c r="C615" t="s">
        <v>671</v>
      </c>
      <c r="D615" t="s">
        <v>212</v>
      </c>
      <c r="E615">
        <f>2*POWER(E614/PI(), 0.5)</f>
        <v>1.681418853124411E-3</v>
      </c>
    </row>
    <row r="616" spans="1:5" x14ac:dyDescent="0.25">
      <c r="A616" s="49"/>
      <c r="C616" t="s">
        <v>673</v>
      </c>
      <c r="D616" t="s">
        <v>212</v>
      </c>
      <c r="E616">
        <f>CEILING(E615, 0.001)</f>
        <v>2E-3</v>
      </c>
    </row>
    <row r="617" spans="1:5" x14ac:dyDescent="0.25">
      <c r="A617" s="49"/>
      <c r="C617" t="s">
        <v>672</v>
      </c>
      <c r="D617" t="s">
        <v>139</v>
      </c>
      <c r="E617">
        <f>E616*1000</f>
        <v>2</v>
      </c>
    </row>
    <row r="618" spans="1:5" x14ac:dyDescent="0.25">
      <c r="A618" s="49"/>
      <c r="C618" t="s">
        <v>678</v>
      </c>
      <c r="D618" t="s">
        <v>139</v>
      </c>
      <c r="E618">
        <v>9</v>
      </c>
    </row>
    <row r="619" spans="1:5" x14ac:dyDescent="0.25">
      <c r="C619" t="s">
        <v>679</v>
      </c>
      <c r="E619">
        <f>E618/1000</f>
        <v>8.9999999999999993E-3</v>
      </c>
    </row>
    <row r="620" spans="1:5" x14ac:dyDescent="0.25">
      <c r="C620" t="s">
        <v>676</v>
      </c>
      <c r="E620">
        <f>0.00604</f>
        <v>6.0400000000000002E-3</v>
      </c>
    </row>
    <row r="621" spans="1:5" x14ac:dyDescent="0.25">
      <c r="C621" t="s">
        <v>675</v>
      </c>
      <c r="E621">
        <f>E620/E606</f>
        <v>7.5500000000000006E-6</v>
      </c>
    </row>
    <row r="622" spans="1:5" x14ac:dyDescent="0.25">
      <c r="C622" t="s">
        <v>674</v>
      </c>
      <c r="E622">
        <v>2300</v>
      </c>
    </row>
    <row r="623" spans="1:5" x14ac:dyDescent="0.25">
      <c r="C623" t="s">
        <v>677</v>
      </c>
      <c r="E623">
        <f>E606*E613*E619/E620</f>
        <v>119.20529801324503</v>
      </c>
    </row>
    <row r="624" spans="1:5" x14ac:dyDescent="0.25">
      <c r="C624" t="s">
        <v>680</v>
      </c>
      <c r="E624" t="b">
        <f>E623&lt;E622</f>
        <v>1</v>
      </c>
    </row>
    <row r="627" spans="1:15" x14ac:dyDescent="0.25">
      <c r="A627" s="49" t="s">
        <v>785</v>
      </c>
      <c r="B627" t="s">
        <v>37</v>
      </c>
      <c r="C627" t="s">
        <v>44</v>
      </c>
      <c r="D627" t="s">
        <v>21</v>
      </c>
      <c r="E627">
        <f>D5</f>
        <v>35.400000000000006</v>
      </c>
    </row>
    <row r="628" spans="1:15" x14ac:dyDescent="0.25">
      <c r="A628" s="49"/>
      <c r="B628" t="s">
        <v>494</v>
      </c>
      <c r="C628" t="s">
        <v>495</v>
      </c>
      <c r="D628" t="s">
        <v>21</v>
      </c>
      <c r="E628">
        <f>D6</f>
        <v>38.099999999999994</v>
      </c>
    </row>
    <row r="629" spans="1:15" x14ac:dyDescent="0.25">
      <c r="A629" s="49"/>
      <c r="B629" t="s">
        <v>38</v>
      </c>
      <c r="C629" t="s">
        <v>43</v>
      </c>
      <c r="D629" t="s">
        <v>21</v>
      </c>
      <c r="E629">
        <f>D7</f>
        <v>44.1</v>
      </c>
    </row>
    <row r="630" spans="1:15" x14ac:dyDescent="0.25">
      <c r="A630" s="49"/>
      <c r="C630" t="s">
        <v>786</v>
      </c>
      <c r="D630" t="s">
        <v>20</v>
      </c>
      <c r="E630">
        <v>3</v>
      </c>
    </row>
    <row r="631" spans="1:15" x14ac:dyDescent="0.25">
      <c r="A631" s="49"/>
      <c r="C631" t="s">
        <v>787</v>
      </c>
      <c r="E631">
        <f>(E629/E630)</f>
        <v>14.700000000000001</v>
      </c>
    </row>
    <row r="632" spans="1:15" x14ac:dyDescent="0.25">
      <c r="A632" s="49"/>
      <c r="C632" t="s">
        <v>788</v>
      </c>
      <c r="E632">
        <f>E627/E630</f>
        <v>11.800000000000002</v>
      </c>
    </row>
    <row r="633" spans="1:15" ht="18.75" customHeight="1" x14ac:dyDescent="0.25">
      <c r="A633" s="49"/>
      <c r="C633" t="s">
        <v>789</v>
      </c>
      <c r="E633">
        <f>E628/E630</f>
        <v>12.699999999999998</v>
      </c>
    </row>
    <row r="634" spans="1:15" hidden="1" x14ac:dyDescent="0.25">
      <c r="A634" s="49"/>
      <c r="C634" t="s">
        <v>790</v>
      </c>
      <c r="E634">
        <f>12</f>
        <v>12</v>
      </c>
    </row>
    <row r="635" spans="1:15" ht="115.5" customHeight="1" x14ac:dyDescent="0.25">
      <c r="A635" s="49"/>
      <c r="C635" t="s">
        <v>791</v>
      </c>
      <c r="E635">
        <f>E629*E629/E634</f>
        <v>162.06750000000002</v>
      </c>
      <c r="G635" s="18" t="s">
        <v>200</v>
      </c>
      <c r="H635" s="48" t="s">
        <v>797</v>
      </c>
      <c r="I635" s="48" t="s">
        <v>800</v>
      </c>
      <c r="J635" s="48" t="s">
        <v>799</v>
      </c>
      <c r="K635" s="48" t="s">
        <v>798</v>
      </c>
      <c r="L635" s="48" t="s">
        <v>801</v>
      </c>
      <c r="M635" s="48" t="s">
        <v>802</v>
      </c>
      <c r="N635" s="48" t="s">
        <v>804</v>
      </c>
      <c r="O635" s="47"/>
    </row>
    <row r="636" spans="1:15" x14ac:dyDescent="0.25">
      <c r="A636" s="49"/>
      <c r="C636" t="s">
        <v>792</v>
      </c>
      <c r="E636">
        <f>6</f>
        <v>6</v>
      </c>
      <c r="G636" s="18">
        <v>1</v>
      </c>
      <c r="H636" s="18">
        <f>E629/G636</f>
        <v>44.1</v>
      </c>
      <c r="I636" s="18">
        <f>H636*H636*G636</f>
        <v>1944.8100000000002</v>
      </c>
      <c r="J636" s="18">
        <f>I636/2</f>
        <v>972.40500000000009</v>
      </c>
      <c r="K636" s="18">
        <f>E627/G636</f>
        <v>35.400000000000006</v>
      </c>
      <c r="L636" s="18">
        <f>E627*E627/G636</f>
        <v>1253.1600000000003</v>
      </c>
      <c r="M636" s="18">
        <f>L636/2</f>
        <v>626.58000000000015</v>
      </c>
      <c r="N636" s="47"/>
    </row>
    <row r="637" spans="1:15" x14ac:dyDescent="0.25">
      <c r="A637" s="49"/>
      <c r="C637" t="s">
        <v>793</v>
      </c>
      <c r="E637">
        <v>2</v>
      </c>
      <c r="G637" s="18">
        <v>2</v>
      </c>
      <c r="H637" s="18">
        <f>E629/G637</f>
        <v>22.05</v>
      </c>
      <c r="I637" s="18">
        <f t="shared" ref="I637:I649" si="27">H637*H637*G637</f>
        <v>972.40500000000009</v>
      </c>
      <c r="J637" s="18">
        <f>I637/2</f>
        <v>486.20250000000004</v>
      </c>
      <c r="K637" s="18">
        <f>E627/G637</f>
        <v>17.700000000000003</v>
      </c>
      <c r="L637" s="18">
        <f>E627*E627/G637</f>
        <v>626.58000000000015</v>
      </c>
      <c r="M637" s="18">
        <f>L637/2</f>
        <v>313.29000000000008</v>
      </c>
      <c r="N637" s="47"/>
    </row>
    <row r="638" spans="1:15" x14ac:dyDescent="0.25">
      <c r="A638" s="49"/>
      <c r="C638" t="s">
        <v>794</v>
      </c>
      <c r="E638">
        <f xml:space="preserve"> E636*E637</f>
        <v>12</v>
      </c>
      <c r="G638" s="18">
        <v>3</v>
      </c>
      <c r="H638" s="18">
        <f>E629/G638</f>
        <v>14.700000000000001</v>
      </c>
      <c r="I638" s="18">
        <f t="shared" si="27"/>
        <v>648.2700000000001</v>
      </c>
      <c r="J638" s="18">
        <f>I638/2</f>
        <v>324.13500000000005</v>
      </c>
      <c r="K638" s="18">
        <f>E627/G638</f>
        <v>11.800000000000002</v>
      </c>
      <c r="L638" s="18">
        <f>E627*E627/G638</f>
        <v>417.72000000000008</v>
      </c>
      <c r="M638" s="18">
        <f>L638/2</f>
        <v>208.86000000000004</v>
      </c>
    </row>
    <row r="639" spans="1:15" x14ac:dyDescent="0.25">
      <c r="A639" s="49"/>
      <c r="G639" s="18">
        <v>4</v>
      </c>
      <c r="H639" s="18">
        <f>E629/G639</f>
        <v>11.025</v>
      </c>
      <c r="I639" s="18">
        <f t="shared" si="27"/>
        <v>486.20250000000004</v>
      </c>
      <c r="J639" s="18">
        <f t="shared" ref="J639:J649" si="28">I639/2</f>
        <v>243.10125000000002</v>
      </c>
      <c r="K639" s="18">
        <f>E627/G639</f>
        <v>8.8500000000000014</v>
      </c>
      <c r="L639" s="18">
        <f>E627*E627/G639</f>
        <v>313.29000000000008</v>
      </c>
      <c r="M639" s="18">
        <f t="shared" ref="M639:M649" si="29">L639/2</f>
        <v>156.64500000000004</v>
      </c>
    </row>
    <row r="640" spans="1:15" x14ac:dyDescent="0.25">
      <c r="A640" s="49"/>
      <c r="C640" t="s">
        <v>795</v>
      </c>
      <c r="E640">
        <f>(POWER(E629,2))/(200*2)</f>
        <v>4.862025</v>
      </c>
      <c r="G640" s="18">
        <v>5</v>
      </c>
      <c r="H640" s="18">
        <f>E629/G640</f>
        <v>8.82</v>
      </c>
      <c r="I640" s="18">
        <f t="shared" si="27"/>
        <v>388.96199999999999</v>
      </c>
      <c r="J640" s="18">
        <f t="shared" si="28"/>
        <v>194.48099999999999</v>
      </c>
      <c r="K640" s="18">
        <f>E627/G640</f>
        <v>7.080000000000001</v>
      </c>
      <c r="L640" s="18">
        <f>E627*E627/G640</f>
        <v>250.63200000000006</v>
      </c>
      <c r="M640" s="18">
        <f t="shared" si="29"/>
        <v>125.31600000000003</v>
      </c>
      <c r="N640" t="s">
        <v>803</v>
      </c>
    </row>
    <row r="641" spans="1:14" x14ac:dyDescent="0.25">
      <c r="A641" s="49"/>
      <c r="C641" t="s">
        <v>796</v>
      </c>
      <c r="E641">
        <f>E629/E640</f>
        <v>9.0702947845804989</v>
      </c>
      <c r="G641" s="18">
        <v>6</v>
      </c>
      <c r="H641" s="18">
        <f>E629/G641</f>
        <v>7.3500000000000005</v>
      </c>
      <c r="I641" s="18">
        <f t="shared" si="27"/>
        <v>324.13500000000005</v>
      </c>
      <c r="J641" s="18">
        <f t="shared" si="28"/>
        <v>162.06750000000002</v>
      </c>
      <c r="K641" s="18">
        <f>E627/G641</f>
        <v>5.9000000000000012</v>
      </c>
      <c r="L641" s="18">
        <f>E627*E627/G641</f>
        <v>208.86000000000004</v>
      </c>
      <c r="M641" s="18">
        <f t="shared" si="29"/>
        <v>104.43000000000002</v>
      </c>
      <c r="N641" t="s">
        <v>805</v>
      </c>
    </row>
    <row r="642" spans="1:14" x14ac:dyDescent="0.25">
      <c r="G642" s="18">
        <v>7</v>
      </c>
      <c r="H642" s="18">
        <f>E629/G642</f>
        <v>6.3</v>
      </c>
      <c r="I642" s="18">
        <f t="shared" si="27"/>
        <v>277.83</v>
      </c>
      <c r="J642" s="18">
        <f t="shared" si="28"/>
        <v>138.91499999999999</v>
      </c>
      <c r="K642" s="18">
        <f>E627/G642</f>
        <v>5.0571428571428578</v>
      </c>
      <c r="L642" s="18">
        <f>E627*E627/G642</f>
        <v>179.02285714285719</v>
      </c>
      <c r="M642" s="18">
        <f t="shared" si="29"/>
        <v>89.511428571428596</v>
      </c>
      <c r="N642" t="s">
        <v>806</v>
      </c>
    </row>
    <row r="643" spans="1:14" x14ac:dyDescent="0.25">
      <c r="G643" s="18">
        <v>8</v>
      </c>
      <c r="H643" s="18">
        <f>E629/G643</f>
        <v>5.5125000000000002</v>
      </c>
      <c r="I643" s="18">
        <f t="shared" si="27"/>
        <v>243.10125000000002</v>
      </c>
      <c r="J643" s="18">
        <f t="shared" si="28"/>
        <v>121.55062500000001</v>
      </c>
      <c r="K643" s="18">
        <f>E627/G643</f>
        <v>4.4250000000000007</v>
      </c>
      <c r="L643" s="18">
        <f>E627*E627/G643</f>
        <v>156.64500000000004</v>
      </c>
      <c r="M643" s="18">
        <f t="shared" si="29"/>
        <v>78.322500000000019</v>
      </c>
      <c r="N643" t="s">
        <v>807</v>
      </c>
    </row>
    <row r="644" spans="1:14" x14ac:dyDescent="0.25">
      <c r="G644" s="18">
        <v>9</v>
      </c>
      <c r="H644" s="18">
        <f>E629/G644</f>
        <v>4.9000000000000004</v>
      </c>
      <c r="I644" s="18">
        <f t="shared" si="27"/>
        <v>216.09000000000003</v>
      </c>
      <c r="J644" s="18">
        <f t="shared" si="28"/>
        <v>108.04500000000002</v>
      </c>
      <c r="K644" s="18">
        <f>E627/G644</f>
        <v>3.933333333333334</v>
      </c>
      <c r="L644" s="18">
        <f>E627*E627/G644</f>
        <v>139.24000000000004</v>
      </c>
      <c r="M644" s="18">
        <f t="shared" si="29"/>
        <v>69.620000000000019</v>
      </c>
      <c r="N644" t="s">
        <v>808</v>
      </c>
    </row>
    <row r="645" spans="1:14" x14ac:dyDescent="0.25">
      <c r="G645" s="18">
        <v>10</v>
      </c>
      <c r="H645" s="18">
        <f>E629/G645</f>
        <v>4.41</v>
      </c>
      <c r="I645" s="18">
        <f t="shared" si="27"/>
        <v>194.48099999999999</v>
      </c>
      <c r="J645" s="18">
        <f t="shared" si="28"/>
        <v>97.240499999999997</v>
      </c>
      <c r="K645" s="18">
        <f>E627/G645</f>
        <v>3.5400000000000005</v>
      </c>
      <c r="L645" s="18">
        <f>E627*E627/G645</f>
        <v>125.31600000000003</v>
      </c>
      <c r="M645" s="18">
        <f t="shared" si="29"/>
        <v>62.658000000000015</v>
      </c>
      <c r="N645" t="s">
        <v>809</v>
      </c>
    </row>
    <row r="646" spans="1:14" x14ac:dyDescent="0.25">
      <c r="G646" s="18">
        <v>11</v>
      </c>
      <c r="H646" s="18">
        <f>E629/G646</f>
        <v>4.0090909090909088</v>
      </c>
      <c r="I646" s="18">
        <f t="shared" si="27"/>
        <v>176.80090909090904</v>
      </c>
      <c r="J646" s="18">
        <f t="shared" si="28"/>
        <v>88.400454545454522</v>
      </c>
      <c r="K646" s="18">
        <f>E627/G646</f>
        <v>3.2181818181818187</v>
      </c>
      <c r="L646" s="18">
        <f>E627*E627/G646</f>
        <v>113.92363636363639</v>
      </c>
      <c r="M646" s="18">
        <f t="shared" si="29"/>
        <v>56.961818181818195</v>
      </c>
      <c r="N646" t="s">
        <v>810</v>
      </c>
    </row>
    <row r="647" spans="1:14" x14ac:dyDescent="0.25">
      <c r="G647" s="18">
        <v>12</v>
      </c>
      <c r="H647" s="18">
        <f>E629/G647</f>
        <v>3.6750000000000003</v>
      </c>
      <c r="I647" s="18">
        <f t="shared" si="27"/>
        <v>162.06750000000002</v>
      </c>
      <c r="J647" s="18">
        <f t="shared" si="28"/>
        <v>81.033750000000012</v>
      </c>
      <c r="K647" s="18">
        <f>E627/G647</f>
        <v>2.9500000000000006</v>
      </c>
      <c r="L647" s="18">
        <f>E627*E627/G647</f>
        <v>104.43000000000002</v>
      </c>
      <c r="M647" s="18">
        <f t="shared" si="29"/>
        <v>52.215000000000011</v>
      </c>
      <c r="N647" t="s">
        <v>812</v>
      </c>
    </row>
    <row r="648" spans="1:14" x14ac:dyDescent="0.25">
      <c r="G648" s="18">
        <v>13</v>
      </c>
      <c r="H648" s="18">
        <f>E629/G648</f>
        <v>3.3923076923076922</v>
      </c>
      <c r="I648" s="18">
        <f t="shared" si="27"/>
        <v>149.60076923076923</v>
      </c>
      <c r="J648" s="18">
        <f t="shared" si="28"/>
        <v>74.800384615384615</v>
      </c>
      <c r="K648" s="18">
        <f>E627/G648</f>
        <v>2.7230769230769236</v>
      </c>
      <c r="L648" s="18">
        <f>E627*E627/G648</f>
        <v>96.396923076923102</v>
      </c>
      <c r="M648" s="18">
        <f t="shared" si="29"/>
        <v>48.198461538461551</v>
      </c>
      <c r="N648" t="s">
        <v>811</v>
      </c>
    </row>
    <row r="649" spans="1:14" x14ac:dyDescent="0.25">
      <c r="G649" s="18">
        <v>14</v>
      </c>
      <c r="H649" s="18">
        <f>E629/G649</f>
        <v>3.15</v>
      </c>
      <c r="I649" s="18">
        <f t="shared" si="27"/>
        <v>138.91499999999999</v>
      </c>
      <c r="J649" s="18">
        <f t="shared" si="28"/>
        <v>69.457499999999996</v>
      </c>
      <c r="K649" s="18">
        <f>E627/G649</f>
        <v>2.5285714285714289</v>
      </c>
      <c r="L649" s="18">
        <f>E627*E627/G649</f>
        <v>89.511428571428596</v>
      </c>
      <c r="M649" s="18">
        <f t="shared" si="29"/>
        <v>44.755714285714298</v>
      </c>
      <c r="N649" t="s">
        <v>813</v>
      </c>
    </row>
  </sheetData>
  <mergeCells count="23">
    <mergeCell ref="A31:A59"/>
    <mergeCell ref="A593:A618"/>
    <mergeCell ref="A228:A279"/>
    <mergeCell ref="G19:J22"/>
    <mergeCell ref="G29:K34"/>
    <mergeCell ref="A381:A447"/>
    <mergeCell ref="A20:A29"/>
    <mergeCell ref="A61:A69"/>
    <mergeCell ref="A71:A95"/>
    <mergeCell ref="A327:A362"/>
    <mergeCell ref="A281:A302"/>
    <mergeCell ref="A316:A325"/>
    <mergeCell ref="A98:A169"/>
    <mergeCell ref="A171:A226"/>
    <mergeCell ref="A303:A315"/>
    <mergeCell ref="A579:A591"/>
    <mergeCell ref="A627:A641"/>
    <mergeCell ref="A364:A376"/>
    <mergeCell ref="A377:A380"/>
    <mergeCell ref="A553:A564"/>
    <mergeCell ref="A567:A576"/>
    <mergeCell ref="A449:A519"/>
    <mergeCell ref="A534:A546"/>
  </mergeCells>
  <conditionalFormatting sqref="D110">
    <cfRule type="cellIs" dxfId="9" priority="9" operator="notEqual">
      <formula>FALSE</formula>
    </cfRule>
    <cfRule type="cellIs" dxfId="8" priority="10" operator="equal">
      <formula>FALSE</formula>
    </cfRule>
  </conditionalFormatting>
  <conditionalFormatting sqref="E624">
    <cfRule type="cellIs" dxfId="7" priority="7" operator="notEqual">
      <formula>TRUE</formula>
    </cfRule>
    <cfRule type="cellIs" dxfId="6" priority="8" operator="equal">
      <formula>TRUE</formula>
    </cfRule>
  </conditionalFormatting>
  <conditionalFormatting sqref="D46">
    <cfRule type="cellIs" dxfId="5" priority="5" operator="equal">
      <formula>TRUE</formula>
    </cfRule>
    <cfRule type="cellIs" dxfId="4" priority="6" operator="notEqual">
      <formula>TRUE</formula>
    </cfRule>
  </conditionalFormatting>
  <conditionalFormatting sqref="D15">
    <cfRule type="cellIs" dxfId="3" priority="3" operator="notEqual">
      <formula>TRUE</formula>
    </cfRule>
    <cfRule type="cellIs" dxfId="2" priority="4" operator="equal">
      <formula>TRUE</formula>
    </cfRule>
  </conditionalFormatting>
  <conditionalFormatting sqref="D69">
    <cfRule type="cellIs" dxfId="1" priority="1" operator="notEqual">
      <formula>TRUE</formula>
    </cfRule>
    <cfRule type="cellIs" dxfId="0" priority="2" operator="equal">
      <formula>TRUE</formula>
    </cfRule>
  </conditionalFormatting>
  <hyperlinks>
    <hyperlink ref="G82" r:id="rId1"/>
    <hyperlink ref="D393" r:id="rId2" display="https://www.mouser.co.uk/ProductDetail/Microchip-Technology/MCP6021-E-P?qs=W2ndVjZwIIKVhoK39SuWRw%3D%3D"/>
    <hyperlink ref="G199" r:id="rId3"/>
    <hyperlink ref="G203" r:id="rId4"/>
    <hyperlink ref="F253" r:id="rId5"/>
    <hyperlink ref="E55" r:id="rId6" display="https://www.google.com/search?rlz=1C1OPNX_en-GBGB1133GB1133&amp;cs=1&amp;sca_esv=4f5104ed2b7290e9&amp;sxsrf=AE3TifMBc50EgN_UZeP2TYUaGrAgspuFug%3A1759801360140&amp;q=J%2Fkg%C2%B0C&amp;sa=X&amp;ved=2ahUKEwiAhqn3-pCQAxXbdUEAHcW_ATkQxccNegQIAhAB&amp;mstk=AUtExfBlWf-iKv0tU0x2ALq09kWMnBQLhxnNYa2XTpG6pPdO5k7aHSqqJ135od3xa3OduL5zCUbpNSJRrXFFi2dw0HVU1mc6M78ooul2ZfxT_QB8nPXg0tyJUQMbzMQIRGbDYMG4s69ONoPYyNMGJ4ikkBBv3C0ilHQb5nWaLEDP5a92kXZ-0-li7ATNT1MVYS4_Hl4CpA3jXt8GPmH5rd3Mpb8t8CJPQawnurIf3-5RlejN0Nh5c9e0jym_MrH_UTrMSq60HuFVQ1y4epwqdklQhthXgIM3ozc3jSicaYsJOPIstg&amp;csui=3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B20" sqref="B20:D20"/>
    </sheetView>
  </sheetViews>
  <sheetFormatPr defaultRowHeight="15" x14ac:dyDescent="0.25"/>
  <cols>
    <col min="2" max="2" width="30.85546875" customWidth="1"/>
  </cols>
  <sheetData>
    <row r="2" spans="2:4" x14ac:dyDescent="0.25">
      <c r="B2" t="s">
        <v>130</v>
      </c>
      <c r="C2" t="s">
        <v>70</v>
      </c>
      <c r="D2" t="s">
        <v>19</v>
      </c>
    </row>
    <row r="3" spans="2:4" x14ac:dyDescent="0.25">
      <c r="B3" t="s">
        <v>136</v>
      </c>
      <c r="C3">
        <v>0.02</v>
      </c>
    </row>
    <row r="4" spans="2:4" x14ac:dyDescent="0.25">
      <c r="B4" t="s">
        <v>137</v>
      </c>
      <c r="C4">
        <v>25.4</v>
      </c>
    </row>
    <row r="5" spans="2:4" x14ac:dyDescent="0.25">
      <c r="B5" t="s">
        <v>138</v>
      </c>
      <c r="C5">
        <f>0.6*C4</f>
        <v>15.239999999999998</v>
      </c>
      <c r="D5" t="s">
        <v>139</v>
      </c>
    </row>
    <row r="6" spans="2:4" x14ac:dyDescent="0.25">
      <c r="B6" t="s">
        <v>140</v>
      </c>
      <c r="C6">
        <f>C5*(1+C3)</f>
        <v>15.544799999999999</v>
      </c>
      <c r="D6" t="s">
        <v>139</v>
      </c>
    </row>
    <row r="7" spans="2:4" x14ac:dyDescent="0.25">
      <c r="B7" t="s">
        <v>141</v>
      </c>
      <c r="C7">
        <f>0.032*C4</f>
        <v>0.81279999999999997</v>
      </c>
      <c r="D7" t="s">
        <v>139</v>
      </c>
    </row>
    <row r="8" spans="2:4" x14ac:dyDescent="0.25">
      <c r="B8" t="s">
        <v>142</v>
      </c>
      <c r="C8">
        <f>C7*(1+C3)</f>
        <v>0.82905600000000002</v>
      </c>
      <c r="D8" t="s">
        <v>139</v>
      </c>
    </row>
    <row r="9" spans="2:4" x14ac:dyDescent="0.25">
      <c r="B9" t="s">
        <v>143</v>
      </c>
      <c r="C9">
        <f>0.17*C4</f>
        <v>4.3180000000000005</v>
      </c>
      <c r="D9" t="s">
        <v>139</v>
      </c>
    </row>
    <row r="10" spans="2:4" x14ac:dyDescent="0.25">
      <c r="B10" s="17" t="s">
        <v>39</v>
      </c>
      <c r="C10" s="17">
        <f>C9*(1+C3)</f>
        <v>4.4043600000000005</v>
      </c>
      <c r="D10" s="17" t="s">
        <v>139</v>
      </c>
    </row>
    <row r="11" spans="2:4" x14ac:dyDescent="0.25">
      <c r="B11" s="15" t="s">
        <v>144</v>
      </c>
      <c r="C11" s="15">
        <v>5</v>
      </c>
      <c r="D11" s="15" t="s">
        <v>139</v>
      </c>
    </row>
    <row r="12" spans="2:4" x14ac:dyDescent="0.25">
      <c r="B12" t="s">
        <v>145</v>
      </c>
      <c r="C12">
        <v>5</v>
      </c>
      <c r="D12" t="s">
        <v>139</v>
      </c>
    </row>
    <row r="13" spans="2:4" x14ac:dyDescent="0.25">
      <c r="B13" s="16" t="s">
        <v>146</v>
      </c>
      <c r="C13" s="16">
        <f>C6+(2*C12)</f>
        <v>25.544799999999999</v>
      </c>
      <c r="D13" s="16" t="s">
        <v>139</v>
      </c>
    </row>
    <row r="14" spans="2:4" x14ac:dyDescent="0.25">
      <c r="B14" t="s">
        <v>147</v>
      </c>
      <c r="C14">
        <f>C7+0.2</f>
        <v>1.0127999999999999</v>
      </c>
      <c r="D14" t="s">
        <v>139</v>
      </c>
    </row>
    <row r="15" spans="2:4" x14ac:dyDescent="0.25">
      <c r="B15" t="s">
        <v>148</v>
      </c>
      <c r="C15">
        <f>C8+0.3</f>
        <v>1.1290560000000001</v>
      </c>
      <c r="D15" t="s">
        <v>139</v>
      </c>
    </row>
    <row r="16" spans="2:4" x14ac:dyDescent="0.25">
      <c r="B16" s="16" t="s">
        <v>152</v>
      </c>
      <c r="C16" s="16">
        <v>1.1000000000000001</v>
      </c>
      <c r="D16" s="16" t="s">
        <v>139</v>
      </c>
    </row>
    <row r="17" spans="2:4" x14ac:dyDescent="0.25">
      <c r="B17" t="s">
        <v>149</v>
      </c>
      <c r="C17">
        <f>C16+(2*0.3)</f>
        <v>1.7000000000000002</v>
      </c>
      <c r="D17" t="s">
        <v>139</v>
      </c>
    </row>
    <row r="18" spans="2:4" x14ac:dyDescent="0.25">
      <c r="B18" t="s">
        <v>150</v>
      </c>
      <c r="C18">
        <f>C16+(2*0.5)</f>
        <v>2.1</v>
      </c>
      <c r="D18" t="s">
        <v>139</v>
      </c>
    </row>
    <row r="19" spans="2:4" x14ac:dyDescent="0.25">
      <c r="B19" t="s">
        <v>151</v>
      </c>
      <c r="C19">
        <f>C16+(2*0.7)</f>
        <v>2.5</v>
      </c>
      <c r="D19" t="s">
        <v>139</v>
      </c>
    </row>
    <row r="20" spans="2:4" x14ac:dyDescent="0.25">
      <c r="B20" s="16" t="s">
        <v>153</v>
      </c>
      <c r="C20" s="16">
        <v>2.5</v>
      </c>
      <c r="D20" s="16" t="s">
        <v>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B1" zoomScale="85" zoomScaleNormal="85" workbookViewId="0">
      <selection activeCell="F23" sqref="F23"/>
    </sheetView>
  </sheetViews>
  <sheetFormatPr defaultRowHeight="15" x14ac:dyDescent="0.25"/>
  <cols>
    <col min="3" max="3" width="36.140625" customWidth="1"/>
  </cols>
  <sheetData>
    <row r="1" spans="1:2" x14ac:dyDescent="0.25">
      <c r="A1" s="53" t="s">
        <v>155</v>
      </c>
      <c r="B1" s="53"/>
    </row>
    <row r="18" spans="3:5" x14ac:dyDescent="0.25">
      <c r="C18" s="54" t="s">
        <v>167</v>
      </c>
      <c r="D18" s="55"/>
      <c r="E18" s="56"/>
    </row>
    <row r="19" spans="3:5" x14ac:dyDescent="0.25">
      <c r="C19" s="18" t="s">
        <v>23</v>
      </c>
      <c r="D19" s="18">
        <v>12</v>
      </c>
      <c r="E19" s="18" t="s">
        <v>139</v>
      </c>
    </row>
    <row r="20" spans="3:5" x14ac:dyDescent="0.25">
      <c r="C20" s="18" t="s">
        <v>156</v>
      </c>
      <c r="D20" s="18">
        <f>D19+0.5</f>
        <v>12.5</v>
      </c>
      <c r="E20" s="18" t="s">
        <v>139</v>
      </c>
    </row>
    <row r="21" spans="3:5" x14ac:dyDescent="0.25">
      <c r="C21" s="18" t="s">
        <v>39</v>
      </c>
      <c r="D21" s="18">
        <v>19.399999999999999</v>
      </c>
      <c r="E21" s="18" t="s">
        <v>139</v>
      </c>
    </row>
    <row r="22" spans="3:5" x14ac:dyDescent="0.25">
      <c r="C22" s="18" t="s">
        <v>154</v>
      </c>
      <c r="D22" s="18">
        <v>7.9</v>
      </c>
      <c r="E22" s="18" t="s">
        <v>139</v>
      </c>
    </row>
    <row r="23" spans="3:5" x14ac:dyDescent="0.25">
      <c r="C23" s="18" t="s">
        <v>141</v>
      </c>
      <c r="D23" s="18">
        <v>0.8</v>
      </c>
      <c r="E23" s="18" t="s">
        <v>139</v>
      </c>
    </row>
    <row r="24" spans="3:5" x14ac:dyDescent="0.25">
      <c r="C24" s="18" t="s">
        <v>147</v>
      </c>
      <c r="D24" s="18">
        <f>D23+0.2</f>
        <v>1</v>
      </c>
      <c r="E24" s="18" t="s">
        <v>139</v>
      </c>
    </row>
    <row r="25" spans="3:5" x14ac:dyDescent="0.25">
      <c r="C25" s="18" t="s">
        <v>148</v>
      </c>
      <c r="D25" s="18">
        <f>D23+0.3</f>
        <v>1.1000000000000001</v>
      </c>
      <c r="E25" s="18" t="s">
        <v>139</v>
      </c>
    </row>
    <row r="26" spans="3:5" x14ac:dyDescent="0.25">
      <c r="C26" s="20" t="s">
        <v>152</v>
      </c>
      <c r="D26" s="20">
        <v>1.1000000000000001</v>
      </c>
      <c r="E26" s="20" t="s">
        <v>139</v>
      </c>
    </row>
    <row r="27" spans="3:5" x14ac:dyDescent="0.25">
      <c r="C27" s="18" t="s">
        <v>149</v>
      </c>
      <c r="D27" s="18">
        <f>D26+(2*0.3)</f>
        <v>1.7000000000000002</v>
      </c>
      <c r="E27" s="18" t="s">
        <v>139</v>
      </c>
    </row>
    <row r="28" spans="3:5" x14ac:dyDescent="0.25">
      <c r="C28" s="18" t="s">
        <v>150</v>
      </c>
      <c r="D28" s="18">
        <f>D26+(2*0.5)</f>
        <v>2.1</v>
      </c>
      <c r="E28" s="18" t="s">
        <v>139</v>
      </c>
    </row>
    <row r="29" spans="3:5" x14ac:dyDescent="0.25">
      <c r="C29" s="18" t="s">
        <v>151</v>
      </c>
      <c r="D29" s="18">
        <f>D26+(2*0.7)</f>
        <v>2.5</v>
      </c>
      <c r="E29" s="18" t="s">
        <v>139</v>
      </c>
    </row>
    <row r="30" spans="3:5" x14ac:dyDescent="0.25">
      <c r="C30" s="20" t="s">
        <v>153</v>
      </c>
      <c r="D30" s="20">
        <v>2.5</v>
      </c>
      <c r="E30" s="20" t="s">
        <v>139</v>
      </c>
    </row>
    <row r="31" spans="3:5" x14ac:dyDescent="0.25">
      <c r="C31" s="18" t="s">
        <v>157</v>
      </c>
      <c r="D31" s="18">
        <v>1</v>
      </c>
      <c r="E31" s="18" t="s">
        <v>139</v>
      </c>
    </row>
    <row r="32" spans="3:5" x14ac:dyDescent="0.25">
      <c r="C32" s="18" t="s">
        <v>158</v>
      </c>
      <c r="D32" s="18">
        <f>CEILING((2*D31)+D21, 1)</f>
        <v>22</v>
      </c>
      <c r="E32" s="18" t="s">
        <v>139</v>
      </c>
    </row>
    <row r="33" spans="3:5" x14ac:dyDescent="0.25">
      <c r="C33" s="18" t="s">
        <v>159</v>
      </c>
      <c r="D33" s="18">
        <f>CEILING((2*D31)+D22, 1)</f>
        <v>10</v>
      </c>
      <c r="E33" s="18" t="s">
        <v>139</v>
      </c>
    </row>
  </sheetData>
  <mergeCells count="2">
    <mergeCell ref="A1:B1"/>
    <mergeCell ref="C18:E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F34" sqref="F34"/>
    </sheetView>
  </sheetViews>
  <sheetFormatPr defaultRowHeight="15" x14ac:dyDescent="0.25"/>
  <cols>
    <col min="2" max="2" width="33.42578125" customWidth="1"/>
  </cols>
  <sheetData>
    <row r="1" spans="1:2" x14ac:dyDescent="0.25">
      <c r="A1" s="53" t="s">
        <v>166</v>
      </c>
      <c r="B1" s="53"/>
    </row>
    <row r="17" spans="1:4" x14ac:dyDescent="0.25">
      <c r="B17" s="54" t="s">
        <v>167</v>
      </c>
      <c r="C17" s="55"/>
      <c r="D17" s="56"/>
    </row>
    <row r="18" spans="1:4" x14ac:dyDescent="0.25">
      <c r="B18" s="18" t="s">
        <v>162</v>
      </c>
      <c r="C18" s="18">
        <v>8</v>
      </c>
      <c r="D18" s="18" t="s">
        <v>139</v>
      </c>
    </row>
    <row r="19" spans="1:4" x14ac:dyDescent="0.25">
      <c r="B19" s="18" t="s">
        <v>163</v>
      </c>
      <c r="C19" s="18">
        <f>C18+0.5</f>
        <v>8.5</v>
      </c>
      <c r="D19" s="18" t="s">
        <v>139</v>
      </c>
    </row>
    <row r="20" spans="1:4" x14ac:dyDescent="0.25">
      <c r="B20" s="18" t="s">
        <v>138</v>
      </c>
      <c r="C20" s="18">
        <v>10</v>
      </c>
      <c r="D20" s="18" t="s">
        <v>139</v>
      </c>
    </row>
    <row r="21" spans="1:4" x14ac:dyDescent="0.25">
      <c r="A21" s="19"/>
      <c r="B21" s="18" t="s">
        <v>140</v>
      </c>
      <c r="C21" s="18">
        <f>C20+2</f>
        <v>12</v>
      </c>
      <c r="D21" s="18" t="s">
        <v>139</v>
      </c>
    </row>
    <row r="22" spans="1:4" x14ac:dyDescent="0.25">
      <c r="B22" s="18" t="s">
        <v>160</v>
      </c>
      <c r="C22" s="18">
        <v>2</v>
      </c>
      <c r="D22" s="18"/>
    </row>
    <row r="23" spans="1:4" x14ac:dyDescent="0.25">
      <c r="B23" s="18" t="s">
        <v>161</v>
      </c>
      <c r="C23" s="18">
        <f>C22+1</f>
        <v>3</v>
      </c>
      <c r="D23" s="18" t="s">
        <v>139</v>
      </c>
    </row>
    <row r="24" spans="1:4" x14ac:dyDescent="0.25">
      <c r="B24" s="18" t="s">
        <v>141</v>
      </c>
      <c r="C24" s="18">
        <v>0.6</v>
      </c>
      <c r="D24" s="18" t="s">
        <v>139</v>
      </c>
    </row>
    <row r="25" spans="1:4" x14ac:dyDescent="0.25">
      <c r="B25" s="18" t="s">
        <v>142</v>
      </c>
      <c r="C25" s="18">
        <f>C24+0.2</f>
        <v>0.8</v>
      </c>
      <c r="D25" s="18" t="s">
        <v>139</v>
      </c>
    </row>
    <row r="26" spans="1:4" x14ac:dyDescent="0.25">
      <c r="B26" s="18" t="s">
        <v>147</v>
      </c>
      <c r="C26" s="18">
        <f>C25+0.2</f>
        <v>1</v>
      </c>
      <c r="D26" s="18" t="s">
        <v>139</v>
      </c>
    </row>
    <row r="27" spans="1:4" x14ac:dyDescent="0.25">
      <c r="B27" s="18" t="s">
        <v>148</v>
      </c>
      <c r="C27" s="18">
        <f>C25+0.3</f>
        <v>1.1000000000000001</v>
      </c>
      <c r="D27" s="18" t="s">
        <v>139</v>
      </c>
    </row>
    <row r="28" spans="1:4" x14ac:dyDescent="0.25">
      <c r="B28" s="20" t="s">
        <v>152</v>
      </c>
      <c r="C28" s="20">
        <v>1</v>
      </c>
      <c r="D28" s="20" t="s">
        <v>139</v>
      </c>
    </row>
    <row r="29" spans="1:4" x14ac:dyDescent="0.25">
      <c r="B29" s="18" t="s">
        <v>149</v>
      </c>
      <c r="C29" s="18">
        <f>C28+(2*0.3)</f>
        <v>1.6</v>
      </c>
      <c r="D29" s="18" t="s">
        <v>139</v>
      </c>
    </row>
    <row r="30" spans="1:4" x14ac:dyDescent="0.25">
      <c r="B30" s="18" t="s">
        <v>150</v>
      </c>
      <c r="C30" s="18">
        <f>C28+(2*0.5)</f>
        <v>2</v>
      </c>
      <c r="D30" s="18" t="s">
        <v>139</v>
      </c>
    </row>
    <row r="31" spans="1:4" x14ac:dyDescent="0.25">
      <c r="B31" s="18" t="s">
        <v>151</v>
      </c>
      <c r="C31" s="18">
        <f>C28+(2*0.7)</f>
        <v>2.4</v>
      </c>
      <c r="D31" s="18" t="s">
        <v>139</v>
      </c>
    </row>
    <row r="32" spans="1:4" x14ac:dyDescent="0.25">
      <c r="B32" s="20" t="s">
        <v>153</v>
      </c>
      <c r="C32" s="20">
        <v>2.4</v>
      </c>
      <c r="D32" s="20" t="s">
        <v>139</v>
      </c>
    </row>
    <row r="33" spans="2:4" x14ac:dyDescent="0.25">
      <c r="B33" s="18" t="s">
        <v>157</v>
      </c>
      <c r="C33" s="18">
        <v>1</v>
      </c>
      <c r="D33" s="18" t="s">
        <v>139</v>
      </c>
    </row>
    <row r="34" spans="2:4" x14ac:dyDescent="0.25">
      <c r="B34" s="18" t="s">
        <v>158</v>
      </c>
      <c r="C34" s="18">
        <f>CEILING((2*C33)+C21, 1)</f>
        <v>14</v>
      </c>
      <c r="D34" s="18" t="s">
        <v>139</v>
      </c>
    </row>
    <row r="35" spans="2:4" x14ac:dyDescent="0.25">
      <c r="B35" s="18" t="s">
        <v>159</v>
      </c>
      <c r="C35" s="18">
        <f>CEILING((2*C33)+C23, 1)</f>
        <v>5</v>
      </c>
      <c r="D35" s="18" t="s">
        <v>139</v>
      </c>
    </row>
    <row r="36" spans="2:4" x14ac:dyDescent="0.25">
      <c r="B36" s="21" t="s">
        <v>164</v>
      </c>
      <c r="C36" s="21">
        <f>C19</f>
        <v>8.5</v>
      </c>
      <c r="D36" s="21" t="s">
        <v>139</v>
      </c>
    </row>
    <row r="37" spans="2:4" x14ac:dyDescent="0.25">
      <c r="B37" s="22" t="s">
        <v>165</v>
      </c>
      <c r="C37" s="22">
        <f>C36-C32</f>
        <v>6.1</v>
      </c>
      <c r="D37" s="22" t="s">
        <v>139</v>
      </c>
    </row>
  </sheetData>
  <mergeCells count="2">
    <mergeCell ref="B17:D17"/>
    <mergeCell ref="A1: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D20" sqref="D20"/>
    </sheetView>
  </sheetViews>
  <sheetFormatPr defaultRowHeight="15" x14ac:dyDescent="0.25"/>
  <cols>
    <col min="2" max="2" width="33.42578125" customWidth="1"/>
  </cols>
  <sheetData>
    <row r="1" spans="1:2" x14ac:dyDescent="0.25">
      <c r="A1" s="53" t="s">
        <v>173</v>
      </c>
      <c r="B1" s="53"/>
    </row>
    <row r="17" spans="1:4" x14ac:dyDescent="0.25">
      <c r="B17" s="54" t="s">
        <v>167</v>
      </c>
      <c r="C17" s="55"/>
      <c r="D17" s="56"/>
    </row>
    <row r="18" spans="1:4" x14ac:dyDescent="0.25">
      <c r="B18" s="18" t="s">
        <v>162</v>
      </c>
      <c r="C18" s="18">
        <v>46</v>
      </c>
      <c r="D18" s="18" t="s">
        <v>139</v>
      </c>
    </row>
    <row r="19" spans="1:4" x14ac:dyDescent="0.25">
      <c r="B19" s="18" t="s">
        <v>163</v>
      </c>
      <c r="C19" s="18">
        <f>C18+0.5</f>
        <v>46.5</v>
      </c>
      <c r="D19" s="18" t="s">
        <v>139</v>
      </c>
    </row>
    <row r="20" spans="1:4" x14ac:dyDescent="0.25">
      <c r="B20" s="18" t="s">
        <v>138</v>
      </c>
      <c r="C20" s="18">
        <v>50</v>
      </c>
      <c r="D20" s="18" t="s">
        <v>139</v>
      </c>
    </row>
    <row r="21" spans="1:4" x14ac:dyDescent="0.25">
      <c r="A21" s="19"/>
      <c r="B21" s="18" t="s">
        <v>140</v>
      </c>
      <c r="C21" s="18">
        <f>C20+2</f>
        <v>52</v>
      </c>
      <c r="D21" s="18" t="s">
        <v>139</v>
      </c>
    </row>
    <row r="22" spans="1:4" x14ac:dyDescent="0.25">
      <c r="B22" s="18" t="s">
        <v>160</v>
      </c>
      <c r="C22" s="18">
        <v>2</v>
      </c>
      <c r="D22" s="18"/>
    </row>
    <row r="23" spans="1:4" x14ac:dyDescent="0.25">
      <c r="B23" s="18" t="s">
        <v>161</v>
      </c>
      <c r="C23" s="18">
        <f>C22+1</f>
        <v>3</v>
      </c>
      <c r="D23" s="18" t="s">
        <v>139</v>
      </c>
    </row>
    <row r="24" spans="1:4" x14ac:dyDescent="0.25">
      <c r="B24" s="18" t="s">
        <v>141</v>
      </c>
      <c r="C24" s="18">
        <v>0.8</v>
      </c>
      <c r="D24" s="18" t="s">
        <v>139</v>
      </c>
    </row>
    <row r="25" spans="1:4" x14ac:dyDescent="0.25">
      <c r="B25" s="18" t="s">
        <v>142</v>
      </c>
      <c r="C25" s="18">
        <f>C24+0.2</f>
        <v>1</v>
      </c>
      <c r="D25" s="18" t="s">
        <v>139</v>
      </c>
    </row>
    <row r="26" spans="1:4" x14ac:dyDescent="0.25">
      <c r="B26" s="18" t="s">
        <v>147</v>
      </c>
      <c r="C26" s="18">
        <f>C25+0.2</f>
        <v>1.2</v>
      </c>
      <c r="D26" s="18" t="s">
        <v>139</v>
      </c>
    </row>
    <row r="27" spans="1:4" x14ac:dyDescent="0.25">
      <c r="B27" s="18" t="s">
        <v>148</v>
      </c>
      <c r="C27" s="18">
        <f>C25+0.3</f>
        <v>1.3</v>
      </c>
      <c r="D27" s="18" t="s">
        <v>139</v>
      </c>
    </row>
    <row r="28" spans="1:4" x14ac:dyDescent="0.25">
      <c r="B28" s="20" t="s">
        <v>152</v>
      </c>
      <c r="C28" s="20">
        <v>1.2</v>
      </c>
      <c r="D28" s="20" t="s">
        <v>139</v>
      </c>
    </row>
    <row r="29" spans="1:4" x14ac:dyDescent="0.25">
      <c r="B29" s="18" t="s">
        <v>149</v>
      </c>
      <c r="C29" s="18">
        <f>C28+(2*0.3)</f>
        <v>1.7999999999999998</v>
      </c>
      <c r="D29" s="18" t="s">
        <v>139</v>
      </c>
    </row>
    <row r="30" spans="1:4" x14ac:dyDescent="0.25">
      <c r="B30" s="18" t="s">
        <v>150</v>
      </c>
      <c r="C30" s="18">
        <f>C28+(2*0.5)</f>
        <v>2.2000000000000002</v>
      </c>
      <c r="D30" s="18" t="s">
        <v>139</v>
      </c>
    </row>
    <row r="31" spans="1:4" x14ac:dyDescent="0.25">
      <c r="B31" s="18" t="s">
        <v>151</v>
      </c>
      <c r="C31" s="18">
        <f>C28+(2*0.7)</f>
        <v>2.5999999999999996</v>
      </c>
      <c r="D31" s="18" t="s">
        <v>139</v>
      </c>
    </row>
    <row r="32" spans="1:4" x14ac:dyDescent="0.25">
      <c r="B32" s="20" t="s">
        <v>153</v>
      </c>
      <c r="C32" s="20">
        <v>2.6</v>
      </c>
      <c r="D32" s="20" t="s">
        <v>139</v>
      </c>
    </row>
    <row r="33" spans="2:4" x14ac:dyDescent="0.25">
      <c r="B33" s="18" t="s">
        <v>157</v>
      </c>
      <c r="C33" s="18">
        <v>1</v>
      </c>
      <c r="D33" s="18" t="s">
        <v>139</v>
      </c>
    </row>
    <row r="34" spans="2:4" x14ac:dyDescent="0.25">
      <c r="B34" s="18" t="s">
        <v>158</v>
      </c>
      <c r="C34" s="18">
        <f>CEILING((2*C33)+C21, 1)</f>
        <v>54</v>
      </c>
      <c r="D34" s="18" t="s">
        <v>139</v>
      </c>
    </row>
    <row r="35" spans="2:4" x14ac:dyDescent="0.25">
      <c r="B35" s="18" t="s">
        <v>159</v>
      </c>
      <c r="C35" s="18">
        <f>CEILING((2*C33)+C23, 1)</f>
        <v>5</v>
      </c>
      <c r="D35" s="18" t="s">
        <v>139</v>
      </c>
    </row>
    <row r="36" spans="2:4" x14ac:dyDescent="0.25">
      <c r="B36" s="21" t="s">
        <v>164</v>
      </c>
      <c r="C36" s="21">
        <f>C19</f>
        <v>46.5</v>
      </c>
      <c r="D36" s="21" t="s">
        <v>139</v>
      </c>
    </row>
    <row r="37" spans="2:4" x14ac:dyDescent="0.25">
      <c r="B37" s="22" t="s">
        <v>165</v>
      </c>
      <c r="C37" s="22">
        <f>C36-C32</f>
        <v>43.9</v>
      </c>
      <c r="D37" s="22" t="s">
        <v>139</v>
      </c>
    </row>
  </sheetData>
  <mergeCells count="2">
    <mergeCell ref="A1:B1"/>
    <mergeCell ref="B17:D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:U18"/>
  <sheetViews>
    <sheetView topLeftCell="A7" zoomScale="115" zoomScaleNormal="115" workbookViewId="0">
      <selection activeCell="H19" sqref="H19"/>
    </sheetView>
  </sheetViews>
  <sheetFormatPr defaultRowHeight="15" x14ac:dyDescent="0.25"/>
  <sheetData>
    <row r="2" spans="19:20" x14ac:dyDescent="0.25">
      <c r="S2" t="s">
        <v>538</v>
      </c>
      <c r="T2">
        <v>399</v>
      </c>
    </row>
    <row r="3" spans="19:20" x14ac:dyDescent="0.25">
      <c r="S3" t="s">
        <v>551</v>
      </c>
      <c r="T3">
        <v>14000</v>
      </c>
    </row>
    <row r="4" spans="19:20" x14ac:dyDescent="0.25">
      <c r="S4" t="s">
        <v>572</v>
      </c>
      <c r="T4" s="1">
        <v>5.4399999999999996E-6</v>
      </c>
    </row>
    <row r="5" spans="19:20" x14ac:dyDescent="0.25">
      <c r="S5" t="s">
        <v>540</v>
      </c>
      <c r="T5">
        <v>40</v>
      </c>
    </row>
    <row r="6" spans="19:20" x14ac:dyDescent="0.25">
      <c r="S6" t="s">
        <v>541</v>
      </c>
      <c r="T6">
        <v>20</v>
      </c>
    </row>
    <row r="7" spans="19:20" x14ac:dyDescent="0.25">
      <c r="S7" t="s">
        <v>543</v>
      </c>
      <c r="T7">
        <v>1E-4</v>
      </c>
    </row>
    <row r="8" spans="19:20" x14ac:dyDescent="0.25">
      <c r="S8" t="s">
        <v>545</v>
      </c>
      <c r="T8">
        <f>POWER(T4/T7, 0.5)</f>
        <v>0.23323807579381201</v>
      </c>
    </row>
    <row r="9" spans="19:20" x14ac:dyDescent="0.25">
      <c r="S9" t="s">
        <v>544</v>
      </c>
      <c r="T9">
        <v>0.1</v>
      </c>
    </row>
    <row r="10" spans="19:20" x14ac:dyDescent="0.25">
      <c r="S10" t="s">
        <v>574</v>
      </c>
      <c r="T10">
        <f>T9/T12</f>
        <v>2.2471910112359553E-3</v>
      </c>
    </row>
    <row r="11" spans="19:20" x14ac:dyDescent="0.25">
      <c r="S11" t="s">
        <v>539</v>
      </c>
      <c r="T11">
        <f>T9/T12</f>
        <v>2.2471910112359553E-3</v>
      </c>
    </row>
    <row r="12" spans="19:20" x14ac:dyDescent="0.25">
      <c r="S12" t="s">
        <v>542</v>
      </c>
      <c r="T12">
        <v>44.5</v>
      </c>
    </row>
    <row r="13" spans="19:20" x14ac:dyDescent="0.25">
      <c r="S13" t="s">
        <v>568</v>
      </c>
      <c r="T13">
        <f>T6-POWER(POWER((T9-(T11*T12))/T8, 2)+POWER(T6, 2), 0.5)</f>
        <v>0</v>
      </c>
    </row>
    <row r="14" spans="19:20" x14ac:dyDescent="0.25">
      <c r="S14" t="s">
        <v>569</v>
      </c>
      <c r="T14">
        <f>(1/T11)*(T13-T6)</f>
        <v>-8899.9999999999982</v>
      </c>
    </row>
    <row r="15" spans="19:20" x14ac:dyDescent="0.25">
      <c r="S15" t="s">
        <v>570</v>
      </c>
      <c r="T15">
        <f>T13-T14</f>
        <v>8899.9999999999982</v>
      </c>
    </row>
    <row r="16" spans="19:20" x14ac:dyDescent="0.25">
      <c r="S16" t="s">
        <v>571</v>
      </c>
      <c r="T16">
        <f>T5</f>
        <v>40</v>
      </c>
    </row>
    <row r="17" spans="19:21" x14ac:dyDescent="0.25">
      <c r="S17" t="s">
        <v>543</v>
      </c>
      <c r="T17">
        <f>T4*POWER(T5, 2)/POWER(T9-(T3/T2), 2)</f>
        <v>7.1102949277174389E-6</v>
      </c>
    </row>
    <row r="18" spans="19:21" x14ac:dyDescent="0.25">
      <c r="S18" t="s">
        <v>573</v>
      </c>
      <c r="T18" t="str">
        <f>IF(T11&lt;T9/T12, "Decrease V_max by", "Increase V_max by")</f>
        <v>Increase V_max by</v>
      </c>
      <c r="U18">
        <f>T11/(T9/T12)</f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zoomScale="115" zoomScaleNormal="115" workbookViewId="0">
      <selection activeCell="D28" sqref="B3:D28"/>
    </sheetView>
  </sheetViews>
  <sheetFormatPr defaultRowHeight="15" x14ac:dyDescent="0.25"/>
  <cols>
    <col min="2" max="2" width="46.85546875" bestFit="1" customWidth="1"/>
    <col min="4" max="4" width="12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workbookViewId="0">
      <selection activeCell="E14" sqref="E14"/>
    </sheetView>
  </sheetViews>
  <sheetFormatPr defaultRowHeight="15" x14ac:dyDescent="0.25"/>
  <sheetData>
    <row r="3" spans="1:5" x14ac:dyDescent="0.25">
      <c r="A3" t="s">
        <v>683</v>
      </c>
      <c r="B3" t="s">
        <v>682</v>
      </c>
      <c r="C3" t="s">
        <v>129</v>
      </c>
      <c r="D3" t="s">
        <v>684</v>
      </c>
    </row>
    <row r="4" spans="1:5" x14ac:dyDescent="0.25">
      <c r="A4" t="s">
        <v>681</v>
      </c>
      <c r="B4" t="s">
        <v>686</v>
      </c>
      <c r="D4">
        <v>12</v>
      </c>
      <c r="E4" t="s">
        <v>693</v>
      </c>
    </row>
    <row r="5" spans="1:5" x14ac:dyDescent="0.25">
      <c r="A5" t="s">
        <v>685</v>
      </c>
      <c r="B5" t="s">
        <v>690</v>
      </c>
      <c r="D5">
        <v>5</v>
      </c>
      <c r="E5" t="s">
        <v>692</v>
      </c>
    </row>
    <row r="6" spans="1:5" x14ac:dyDescent="0.25">
      <c r="A6" t="s">
        <v>687</v>
      </c>
      <c r="B6" t="s">
        <v>689</v>
      </c>
      <c r="D6">
        <v>8</v>
      </c>
      <c r="E6" t="s">
        <v>694</v>
      </c>
    </row>
    <row r="7" spans="1:5" x14ac:dyDescent="0.25">
      <c r="A7" t="s">
        <v>688</v>
      </c>
      <c r="B7" t="s">
        <v>686</v>
      </c>
      <c r="D7">
        <v>4</v>
      </c>
      <c r="E7" t="s">
        <v>691</v>
      </c>
    </row>
    <row r="8" spans="1:5" x14ac:dyDescent="0.25">
      <c r="A8" t="s">
        <v>681</v>
      </c>
      <c r="B8" t="s">
        <v>689</v>
      </c>
      <c r="D8">
        <v>4</v>
      </c>
      <c r="E8" t="s">
        <v>693</v>
      </c>
    </row>
    <row r="9" spans="1:5" x14ac:dyDescent="0.25">
      <c r="A9" t="s">
        <v>687</v>
      </c>
      <c r="B9" t="s">
        <v>696</v>
      </c>
      <c r="D9">
        <v>4</v>
      </c>
      <c r="E9" t="s">
        <v>695</v>
      </c>
    </row>
    <row r="10" spans="1:5" x14ac:dyDescent="0.25">
      <c r="A10" t="s">
        <v>698</v>
      </c>
      <c r="E10" t="s">
        <v>697</v>
      </c>
    </row>
    <row r="11" spans="1:5" x14ac:dyDescent="0.25">
      <c r="A11" t="s">
        <v>685</v>
      </c>
      <c r="B11" t="s">
        <v>699</v>
      </c>
      <c r="D11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Driver And Controller</vt:lpstr>
      <vt:lpstr>Villard Diode PCB Calcs</vt:lpstr>
      <vt:lpstr>Villard Capacitor PCB Calcs</vt:lpstr>
      <vt:lpstr>Villard Capacitor Bleeder Calcs</vt:lpstr>
      <vt:lpstr>Output Series Compsite Resistor</vt:lpstr>
      <vt:lpstr>Regenerative snubber design</vt:lpstr>
      <vt:lpstr>Active Cooling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2024-11-04T21:29:48Z</dcterms:created>
  <dcterms:modified xsi:type="dcterms:W3CDTF">2026-01-11T07:18:39Z</dcterms:modified>
</cp:coreProperties>
</file>