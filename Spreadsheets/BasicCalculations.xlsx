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494" i="1" l="1"/>
  <c r="D493" i="1"/>
  <c r="D492" i="1"/>
  <c r="D795" i="1" l="1"/>
  <c r="D817" i="1"/>
  <c r="D794" i="1"/>
  <c r="D803" i="1"/>
  <c r="D812" i="1"/>
  <c r="D816" i="1" s="1"/>
  <c r="D808" i="1"/>
  <c r="D807" i="1"/>
  <c r="D813" i="1"/>
  <c r="D786" i="1"/>
  <c r="D785" i="1"/>
  <c r="D781" i="1"/>
  <c r="D791" i="1" s="1"/>
  <c r="D809" i="1" l="1"/>
  <c r="D811" i="1"/>
  <c r="D818" i="1" s="1"/>
  <c r="D814" i="1"/>
  <c r="D815" i="1" s="1"/>
  <c r="D821" i="1" s="1"/>
  <c r="D789" i="1"/>
  <c r="D796" i="1" s="1"/>
  <c r="D787" i="1"/>
  <c r="D390" i="1"/>
  <c r="D391" i="1" s="1"/>
  <c r="D392" i="1" s="1"/>
  <c r="D403" i="1"/>
  <c r="D402" i="1"/>
  <c r="D404" i="1" s="1"/>
  <c r="D819" i="1" l="1"/>
  <c r="D820" i="1"/>
  <c r="D406" i="1"/>
  <c r="D408" i="1" s="1"/>
  <c r="D405" i="1"/>
  <c r="D407" i="1" s="1"/>
  <c r="D409" i="1" s="1"/>
  <c r="D410" i="1" s="1"/>
  <c r="D104" i="1" l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491" i="1"/>
  <c r="D496" i="1" s="1"/>
  <c r="D501" i="1"/>
  <c r="D479" i="1"/>
  <c r="D480" i="1" s="1"/>
  <c r="D478" i="1"/>
  <c r="D458" i="1"/>
  <c r="D525" i="1" s="1"/>
  <c r="D457" i="1"/>
  <c r="D475" i="1" s="1"/>
  <c r="D456" i="1"/>
  <c r="D510" i="1" s="1"/>
  <c r="D414" i="1"/>
  <c r="D415" i="1"/>
  <c r="D416" i="1"/>
  <c r="D157" i="1" l="1"/>
  <c r="D154" i="1"/>
  <c r="D155" i="1" s="1"/>
  <c r="D156" i="1" s="1"/>
  <c r="D482" i="1"/>
  <c r="D483" i="1" s="1"/>
  <c r="D512" i="1"/>
  <c r="D515" i="1" s="1"/>
  <c r="D523" i="1" s="1"/>
  <c r="D486" i="1"/>
  <c r="D505" i="1" s="1"/>
  <c r="D506" i="1" s="1"/>
  <c r="D507" i="1" s="1"/>
  <c r="D497" i="1"/>
  <c r="D481" i="1"/>
  <c r="D544" i="1"/>
  <c r="D545" i="1" s="1"/>
  <c r="D546" i="1" s="1"/>
  <c r="D469" i="1"/>
  <c r="D471" i="1" s="1"/>
  <c r="D485" i="1"/>
  <c r="D533" i="1" s="1"/>
  <c r="E914" i="1"/>
  <c r="E915" i="1" s="1"/>
  <c r="E917" i="1" s="1"/>
  <c r="E901" i="1"/>
  <c r="E902" i="1" s="1"/>
  <c r="E903" i="1" s="1"/>
  <c r="E907" i="1"/>
  <c r="E908" i="1" s="1"/>
  <c r="E910" i="1" s="1"/>
  <c r="E896" i="1"/>
  <c r="E897" i="1" s="1"/>
  <c r="E898" i="1" s="1"/>
  <c r="E891" i="1"/>
  <c r="E892" i="1" s="1"/>
  <c r="E893" i="1" s="1"/>
  <c r="C671" i="1"/>
  <c r="D164" i="1" l="1"/>
  <c r="D158" i="1"/>
  <c r="D162" i="1"/>
  <c r="D163" i="1" s="1"/>
  <c r="D153" i="1"/>
  <c r="D502" i="1"/>
  <c r="D503" i="1" s="1"/>
  <c r="D504" i="1" s="1"/>
  <c r="D516" i="1"/>
  <c r="D508" i="1"/>
  <c r="D511" i="1" s="1"/>
  <c r="D540" i="1"/>
  <c r="D542" i="1" s="1"/>
  <c r="D499" i="1"/>
  <c r="D538" i="1"/>
  <c r="E909" i="1"/>
  <c r="E916" i="1"/>
  <c r="D675" i="1"/>
  <c r="D635" i="1" l="1"/>
  <c r="D637" i="1"/>
  <c r="D662" i="1" s="1"/>
  <c r="D664" i="1" s="1"/>
  <c r="D640" i="1" l="1"/>
  <c r="D658" i="1" s="1"/>
  <c r="D665" i="1"/>
  <c r="C665" i="1"/>
  <c r="C667" i="1" s="1"/>
  <c r="C668" i="1" s="1"/>
  <c r="D636" i="1"/>
  <c r="D576" i="1"/>
  <c r="E880" i="1"/>
  <c r="E882" i="1" s="1"/>
  <c r="E878" i="1"/>
  <c r="E873" i="1"/>
  <c r="H887" i="1" s="1"/>
  <c r="I887" i="1" s="1"/>
  <c r="J887" i="1" s="1"/>
  <c r="E665" i="1" l="1"/>
  <c r="D667" i="1"/>
  <c r="D668" i="1" s="1"/>
  <c r="D645" i="1"/>
  <c r="D646" i="1" s="1"/>
  <c r="D656" i="1" s="1"/>
  <c r="D653" i="1"/>
  <c r="D649" i="1"/>
  <c r="E879" i="1"/>
  <c r="E884" i="1"/>
  <c r="E885" i="1" s="1"/>
  <c r="H880" i="1"/>
  <c r="I880" i="1" s="1"/>
  <c r="J880" i="1" s="1"/>
  <c r="H881" i="1"/>
  <c r="I881" i="1" s="1"/>
  <c r="J881" i="1" s="1"/>
  <c r="H882" i="1"/>
  <c r="I882" i="1" s="1"/>
  <c r="J882" i="1" s="1"/>
  <c r="H888" i="1"/>
  <c r="I888" i="1" s="1"/>
  <c r="J888" i="1" s="1"/>
  <c r="H889" i="1"/>
  <c r="I889" i="1" s="1"/>
  <c r="J889" i="1" s="1"/>
  <c r="H890" i="1"/>
  <c r="I890" i="1" s="1"/>
  <c r="J890" i="1" s="1"/>
  <c r="H891" i="1"/>
  <c r="I891" i="1" s="1"/>
  <c r="J891" i="1" s="1"/>
  <c r="H892" i="1"/>
  <c r="I892" i="1" s="1"/>
  <c r="J892" i="1" s="1"/>
  <c r="H894" i="1"/>
  <c r="I894" i="1" s="1"/>
  <c r="J894" i="1" s="1"/>
  <c r="H885" i="1"/>
  <c r="I885" i="1" s="1"/>
  <c r="J885" i="1" s="1"/>
  <c r="H883" i="1"/>
  <c r="I883" i="1" s="1"/>
  <c r="J883" i="1" s="1"/>
  <c r="E875" i="1"/>
  <c r="H884" i="1"/>
  <c r="I884" i="1" s="1"/>
  <c r="J884" i="1" s="1"/>
  <c r="H886" i="1"/>
  <c r="I886" i="1" s="1"/>
  <c r="J886" i="1" s="1"/>
  <c r="D52" i="1"/>
  <c r="D54" i="1" s="1"/>
  <c r="D57" i="1" s="1"/>
  <c r="D58" i="1"/>
  <c r="D49" i="1"/>
  <c r="C669" i="1" l="1"/>
  <c r="D669" i="1"/>
  <c r="F665" i="1"/>
  <c r="E667" i="1"/>
  <c r="E668" i="1" s="1"/>
  <c r="E669" i="1" s="1"/>
  <c r="D59" i="1"/>
  <c r="D53" i="1"/>
  <c r="D47" i="1"/>
  <c r="G665" i="1" l="1"/>
  <c r="F667" i="1"/>
  <c r="F668" i="1" s="1"/>
  <c r="F669" i="1" s="1"/>
  <c r="E846" i="1"/>
  <c r="E851" i="1" s="1"/>
  <c r="E852" i="1" s="1"/>
  <c r="E863" i="1"/>
  <c r="E864" i="1"/>
  <c r="E865" i="1" s="1"/>
  <c r="H665" i="1" l="1"/>
  <c r="G667" i="1"/>
  <c r="G668" i="1" s="1"/>
  <c r="G669" i="1" s="1"/>
  <c r="E867" i="1"/>
  <c r="E868" i="1" s="1"/>
  <c r="D754" i="1"/>
  <c r="D753" i="1"/>
  <c r="D747" i="1"/>
  <c r="D752" i="1" s="1"/>
  <c r="H667" i="1" l="1"/>
  <c r="H668" i="1" s="1"/>
  <c r="H669" i="1" s="1"/>
  <c r="I665" i="1"/>
  <c r="D757" i="1"/>
  <c r="D756" i="1"/>
  <c r="D825" i="1"/>
  <c r="D826" i="1" s="1"/>
  <c r="D827" i="1" s="1"/>
  <c r="D790" i="1"/>
  <c r="D553" i="1"/>
  <c r="D552" i="1"/>
  <c r="I667" i="1" l="1"/>
  <c r="I668" i="1" s="1"/>
  <c r="I669" i="1" s="1"/>
  <c r="J665" i="1"/>
  <c r="D792" i="1"/>
  <c r="D793" i="1" s="1"/>
  <c r="D799" i="1" s="1"/>
  <c r="D555" i="1"/>
  <c r="D798" i="1" l="1"/>
  <c r="D797" i="1"/>
  <c r="K665" i="1"/>
  <c r="J667" i="1"/>
  <c r="J668" i="1" s="1"/>
  <c r="J669" i="1" s="1"/>
  <c r="F767" i="1"/>
  <c r="G767" i="1"/>
  <c r="H767" i="1"/>
  <c r="F768" i="1"/>
  <c r="G768" i="1"/>
  <c r="H768" i="1"/>
  <c r="E770" i="1"/>
  <c r="F770" i="1"/>
  <c r="F772" i="1" s="1"/>
  <c r="G770" i="1"/>
  <c r="G772" i="1" s="1"/>
  <c r="H770" i="1"/>
  <c r="H771" i="1" s="1"/>
  <c r="D770" i="1"/>
  <c r="E761" i="1"/>
  <c r="E764" i="1" s="1"/>
  <c r="J764" i="1"/>
  <c r="F765" i="1"/>
  <c r="G765" i="1"/>
  <c r="H765" i="1"/>
  <c r="I765" i="1"/>
  <c r="H764" i="1"/>
  <c r="I764" i="1"/>
  <c r="F764" i="1"/>
  <c r="G764" i="1"/>
  <c r="F771" i="1" l="1"/>
  <c r="L665" i="1"/>
  <c r="K667" i="1"/>
  <c r="K668" i="1" s="1"/>
  <c r="K669" i="1" s="1"/>
  <c r="G771" i="1"/>
  <c r="E768" i="1"/>
  <c r="E771" i="1"/>
  <c r="E765" i="1"/>
  <c r="H772" i="1"/>
  <c r="E767" i="1"/>
  <c r="E772" i="1"/>
  <c r="M665" i="1" l="1"/>
  <c r="L667" i="1"/>
  <c r="L668" i="1" s="1"/>
  <c r="L669" i="1" s="1"/>
  <c r="D324" i="1"/>
  <c r="N665" i="1" l="1"/>
  <c r="M667" i="1"/>
  <c r="M668" i="1" s="1"/>
  <c r="M669" i="1" s="1"/>
  <c r="D365" i="1"/>
  <c r="O665" i="1" l="1"/>
  <c r="N667" i="1"/>
  <c r="N668" i="1" s="1"/>
  <c r="N669" i="1" s="1"/>
  <c r="D372" i="1"/>
  <c r="E305" i="1"/>
  <c r="F305" i="1" s="1"/>
  <c r="G305" i="1" s="1"/>
  <c r="P665" i="1" l="1"/>
  <c r="O667" i="1"/>
  <c r="O668" i="1" s="1"/>
  <c r="O669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65" i="1" l="1"/>
  <c r="P667" i="1"/>
  <c r="P668" i="1" s="1"/>
  <c r="P669" i="1" s="1"/>
  <c r="F302" i="1"/>
  <c r="H302" i="1" s="1"/>
  <c r="J302" i="1" s="1"/>
  <c r="Q667" i="1" l="1"/>
  <c r="Q668" i="1" s="1"/>
  <c r="Q669" i="1" s="1"/>
  <c r="R665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65" i="1" l="1"/>
  <c r="R667" i="1"/>
  <c r="R668" i="1" s="1"/>
  <c r="R669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33" i="1"/>
  <c r="D732" i="1"/>
  <c r="D727" i="1"/>
  <c r="D726" i="1"/>
  <c r="D721" i="1"/>
  <c r="D6" i="1"/>
  <c r="E872" i="1" s="1"/>
  <c r="E877" i="1" s="1"/>
  <c r="D5" i="1"/>
  <c r="D725" i="1"/>
  <c r="D722" i="1"/>
  <c r="D103" i="1" l="1"/>
  <c r="D378" i="1"/>
  <c r="D112" i="1"/>
  <c r="D123" i="1"/>
  <c r="T665" i="1"/>
  <c r="S667" i="1"/>
  <c r="S668" i="1" s="1"/>
  <c r="S669" i="1" s="1"/>
  <c r="D761" i="1"/>
  <c r="D765" i="1" s="1"/>
  <c r="E871" i="1"/>
  <c r="D772" i="1"/>
  <c r="D764" i="1"/>
  <c r="D768" i="1"/>
  <c r="D767" i="1"/>
  <c r="D771" i="1"/>
  <c r="D734" i="1"/>
  <c r="D740" i="1" s="1"/>
  <c r="D744" i="1"/>
  <c r="D743" i="1"/>
  <c r="D742" i="1" s="1"/>
  <c r="H294" i="1"/>
  <c r="I303" i="1"/>
  <c r="K298" i="1"/>
  <c r="K303" i="1" s="1"/>
  <c r="J303" i="1"/>
  <c r="D699" i="1"/>
  <c r="D700" i="1" s="1"/>
  <c r="F294" i="1"/>
  <c r="D303" i="1"/>
  <c r="D736" i="1"/>
  <c r="D739" i="1" s="1"/>
  <c r="D735" i="1"/>
  <c r="D741" i="1" s="1"/>
  <c r="D728" i="1"/>
  <c r="D729" i="1"/>
  <c r="D113" i="1" l="1"/>
  <c r="D118" i="1" s="1"/>
  <c r="D463" i="1"/>
  <c r="D421" i="1"/>
  <c r="U665" i="1"/>
  <c r="T667" i="1"/>
  <c r="T668" i="1" s="1"/>
  <c r="T669" i="1" s="1"/>
  <c r="D114" i="1"/>
  <c r="L894" i="1"/>
  <c r="M894" i="1" s="1"/>
  <c r="K891" i="1"/>
  <c r="L891" i="1"/>
  <c r="M891" i="1" s="1"/>
  <c r="E876" i="1"/>
  <c r="L890" i="1"/>
  <c r="M890" i="1" s="1"/>
  <c r="K888" i="1"/>
  <c r="L889" i="1"/>
  <c r="M889" i="1" s="1"/>
  <c r="K887" i="1"/>
  <c r="K886" i="1"/>
  <c r="L887" i="1"/>
  <c r="M887" i="1" s="1"/>
  <c r="K885" i="1"/>
  <c r="K882" i="1"/>
  <c r="L882" i="1"/>
  <c r="M882" i="1" s="1"/>
  <c r="L881" i="1"/>
  <c r="M881" i="1" s="1"/>
  <c r="L880" i="1"/>
  <c r="M880" i="1" s="1"/>
  <c r="K894" i="1"/>
  <c r="K892" i="1"/>
  <c r="L892" i="1"/>
  <c r="M892" i="1" s="1"/>
  <c r="K890" i="1"/>
  <c r="K889" i="1"/>
  <c r="L888" i="1"/>
  <c r="M888" i="1" s="1"/>
  <c r="L886" i="1"/>
  <c r="M886" i="1" s="1"/>
  <c r="K884" i="1"/>
  <c r="L885" i="1"/>
  <c r="M885" i="1" s="1"/>
  <c r="K883" i="1"/>
  <c r="L884" i="1"/>
  <c r="M884" i="1" s="1"/>
  <c r="L883" i="1"/>
  <c r="M883" i="1" s="1"/>
  <c r="K880" i="1"/>
  <c r="K881" i="1"/>
  <c r="I294" i="1"/>
  <c r="G294" i="1"/>
  <c r="D737" i="1"/>
  <c r="D687" i="1"/>
  <c r="D689" i="1"/>
  <c r="D688" i="1"/>
  <c r="D714" i="1"/>
  <c r="D119" i="1" l="1"/>
  <c r="D120" i="1" s="1"/>
  <c r="D199" i="1"/>
  <c r="D203" i="1" s="1"/>
  <c r="D115" i="1"/>
  <c r="D116" i="1" s="1"/>
  <c r="D201" i="1"/>
  <c r="V665" i="1"/>
  <c r="U667" i="1"/>
  <c r="U668" i="1" s="1"/>
  <c r="U669" i="1" s="1"/>
  <c r="D633" i="1"/>
  <c r="D746" i="1"/>
  <c r="D750" i="1" s="1"/>
  <c r="D758" i="1" s="1"/>
  <c r="D759" i="1" s="1"/>
  <c r="D745" i="1"/>
  <c r="J294" i="1"/>
  <c r="D690" i="1"/>
  <c r="D713" i="1"/>
  <c r="D717" i="1" s="1"/>
  <c r="D715" i="1"/>
  <c r="D708" i="1"/>
  <c r="D707" i="1"/>
  <c r="D705" i="1"/>
  <c r="D683" i="1" s="1"/>
  <c r="D703" i="1"/>
  <c r="D701" i="1"/>
  <c r="D677" i="1"/>
  <c r="D594" i="1"/>
  <c r="D593" i="1"/>
  <c r="D595" i="1"/>
  <c r="D592" i="1"/>
  <c r="D613" i="1"/>
  <c r="D614" i="1"/>
  <c r="D566" i="1"/>
  <c r="D603" i="1"/>
  <c r="D582" i="1"/>
  <c r="D565" i="1"/>
  <c r="D454" i="1"/>
  <c r="D449" i="1"/>
  <c r="D439" i="1"/>
  <c r="D437" i="1"/>
  <c r="D434" i="1"/>
  <c r="D435" i="1" s="1"/>
  <c r="D270" i="1"/>
  <c r="D441" i="1" l="1"/>
  <c r="D431" i="1"/>
  <c r="W665" i="1"/>
  <c r="V667" i="1"/>
  <c r="V668" i="1" s="1"/>
  <c r="V669" i="1" s="1"/>
  <c r="D639" i="1"/>
  <c r="D657" i="1" s="1"/>
  <c r="D634" i="1"/>
  <c r="D641" i="1" s="1"/>
  <c r="D652" i="1" s="1"/>
  <c r="D654" i="1"/>
  <c r="D651" i="1"/>
  <c r="D642" i="1"/>
  <c r="D650" i="1" s="1"/>
  <c r="D597" i="1"/>
  <c r="K294" i="1"/>
  <c r="D596" i="1"/>
  <c r="D617" i="1"/>
  <c r="D702" i="1"/>
  <c r="D716" i="1"/>
  <c r="D718" i="1"/>
  <c r="D709" i="1"/>
  <c r="D710" i="1" s="1"/>
  <c r="D711" i="1" s="1"/>
  <c r="D712" i="1" s="1"/>
  <c r="D610" i="1"/>
  <c r="D611" i="1" s="1"/>
  <c r="D590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D388" i="1" s="1"/>
  <c r="X665" i="1"/>
  <c r="W667" i="1"/>
  <c r="W668" i="1" s="1"/>
  <c r="W669" i="1" s="1"/>
  <c r="D340" i="1"/>
  <c r="D339" i="1"/>
  <c r="D352" i="1"/>
  <c r="D620" i="1"/>
  <c r="D618" i="1"/>
  <c r="D619" i="1" s="1"/>
  <c r="D598" i="1"/>
  <c r="D599" i="1" s="1"/>
  <c r="D612" i="1"/>
  <c r="D607" i="1"/>
  <c r="D606" i="1"/>
  <c r="D608" i="1" s="1"/>
  <c r="D600" i="1"/>
  <c r="D602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98" i="1" l="1"/>
  <c r="D395" i="1"/>
  <c r="D397" i="1"/>
  <c r="D394" i="1"/>
  <c r="Y665" i="1"/>
  <c r="X667" i="1"/>
  <c r="X668" i="1" s="1"/>
  <c r="X669" i="1" s="1"/>
  <c r="D647" i="1"/>
  <c r="D342" i="1"/>
  <c r="D625" i="1"/>
  <c r="D621" i="1"/>
  <c r="D346" i="1"/>
  <c r="D209" i="1"/>
  <c r="D174" i="1"/>
  <c r="D175" i="1" s="1"/>
  <c r="D181" i="1" s="1"/>
  <c r="D208" i="1"/>
  <c r="C26" i="5"/>
  <c r="D396" i="1" l="1"/>
  <c r="D399" i="1"/>
  <c r="D400" i="1" s="1"/>
  <c r="Z665" i="1"/>
  <c r="Y667" i="1"/>
  <c r="Y668" i="1" s="1"/>
  <c r="Y669" i="1" s="1"/>
  <c r="D622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65" i="1"/>
  <c r="Z667" i="1"/>
  <c r="Z668" i="1" s="1"/>
  <c r="Z669" i="1" s="1"/>
  <c r="D75" i="1"/>
  <c r="D76" i="1" s="1"/>
  <c r="C8" i="2"/>
  <c r="C15" i="2" s="1"/>
  <c r="R64" i="1"/>
  <c r="R66" i="1" s="1"/>
  <c r="R65" i="1"/>
  <c r="R67" i="1" s="1"/>
  <c r="AB665" i="1" l="1"/>
  <c r="AA667" i="1"/>
  <c r="AA668" i="1" s="1"/>
  <c r="AA669" i="1" s="1"/>
  <c r="D77" i="1"/>
  <c r="D78" i="1" s="1"/>
  <c r="D79" i="1" s="1"/>
  <c r="D91" i="1" s="1"/>
  <c r="AC665" i="1" l="1"/>
  <c r="AB667" i="1"/>
  <c r="AB668" i="1" s="1"/>
  <c r="AB669" i="1" s="1"/>
  <c r="D88" i="1"/>
  <c r="D89" i="1"/>
  <c r="D90" i="1"/>
  <c r="AD665" i="1" l="1"/>
  <c r="AC667" i="1"/>
  <c r="AC668" i="1" s="1"/>
  <c r="AC669" i="1" s="1"/>
  <c r="D23" i="1"/>
  <c r="D13" i="1"/>
  <c r="AE665" i="1" l="1"/>
  <c r="AD667" i="1"/>
  <c r="AD668" i="1" s="1"/>
  <c r="AD669" i="1" s="1"/>
  <c r="D32" i="1"/>
  <c r="D35" i="1" s="1"/>
  <c r="D38" i="1" s="1"/>
  <c r="D39" i="1" s="1"/>
  <c r="D139" i="1" s="1"/>
  <c r="D102" i="1"/>
  <c r="D234" i="1"/>
  <c r="D676" i="1"/>
  <c r="D232" i="1"/>
  <c r="D295" i="1" s="1"/>
  <c r="H295" i="1" s="1"/>
  <c r="D133" i="1" l="1"/>
  <c r="D121" i="1"/>
  <c r="D124" i="1" s="1"/>
  <c r="D459" i="1"/>
  <c r="D417" i="1"/>
  <c r="D450" i="1" s="1"/>
  <c r="AF665" i="1"/>
  <c r="AE667" i="1"/>
  <c r="AE668" i="1" s="1"/>
  <c r="AE669" i="1" s="1"/>
  <c r="D37" i="1"/>
  <c r="D40" i="1" s="1"/>
  <c r="D41" i="1" s="1"/>
  <c r="D46" i="1" s="1"/>
  <c r="D567" i="1"/>
  <c r="D623" i="1" s="1"/>
  <c r="D626" i="1" s="1"/>
  <c r="D629" i="1" s="1"/>
  <c r="D292" i="1"/>
  <c r="D309" i="1" s="1"/>
  <c r="D132" i="1"/>
  <c r="D264" i="1"/>
  <c r="D212" i="1"/>
  <c r="D678" i="1"/>
  <c r="D692" i="1" s="1"/>
  <c r="D691" i="1"/>
  <c r="D694" i="1" s="1"/>
  <c r="D695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27" i="1"/>
  <c r="D630" i="1" s="1"/>
  <c r="D526" i="1"/>
  <c r="D466" i="1"/>
  <c r="D468" i="1" s="1"/>
  <c r="D465" i="1"/>
  <c r="D534" i="1"/>
  <c r="D43" i="1"/>
  <c r="AG665" i="1"/>
  <c r="AF667" i="1"/>
  <c r="AF668" i="1" s="1"/>
  <c r="AF669" i="1" s="1"/>
  <c r="D571" i="1"/>
  <c r="D572" i="1"/>
  <c r="D569" i="1"/>
  <c r="D624" i="1" s="1"/>
  <c r="D628" i="1" s="1"/>
  <c r="D631" i="1" s="1"/>
  <c r="D574" i="1"/>
  <c r="D205" i="1"/>
  <c r="D180" i="1"/>
  <c r="D182" i="1" s="1"/>
  <c r="D183" i="1" s="1"/>
  <c r="D184" i="1" s="1"/>
  <c r="D185" i="1" s="1"/>
  <c r="D192" i="1" s="1"/>
  <c r="D193" i="1" s="1"/>
  <c r="D213" i="1"/>
  <c r="D604" i="1"/>
  <c r="D605" i="1" s="1"/>
  <c r="D214" i="1"/>
  <c r="D453" i="1"/>
  <c r="D443" i="1"/>
  <c r="D444" i="1" s="1"/>
  <c r="D423" i="1"/>
  <c r="D680" i="1"/>
  <c r="D682" i="1" s="1"/>
  <c r="D697" i="1" s="1"/>
  <c r="E292" i="1"/>
  <c r="F292" i="1" s="1"/>
  <c r="G292" i="1" s="1"/>
  <c r="H292" i="1" s="1"/>
  <c r="I292" i="1" s="1"/>
  <c r="J292" i="1" s="1"/>
  <c r="K292" i="1" s="1"/>
  <c r="D693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39" i="1" s="1"/>
  <c r="D537" i="1"/>
  <c r="D536" i="1"/>
  <c r="D527" i="1"/>
  <c r="D528" i="1" s="1"/>
  <c r="D529" i="1" s="1"/>
  <c r="AH665" i="1"/>
  <c r="AG667" i="1"/>
  <c r="AG668" i="1" s="1"/>
  <c r="AG669" i="1" s="1"/>
  <c r="D445" i="1"/>
  <c r="D548" i="1" s="1"/>
  <c r="D556" i="1" s="1"/>
  <c r="D558" i="1" s="1"/>
  <c r="D560" i="1" s="1"/>
  <c r="D170" i="1"/>
  <c r="D573" i="1"/>
  <c r="D575" i="1"/>
  <c r="D584" i="1" s="1"/>
  <c r="D601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37" i="1" s="1"/>
  <c r="D27" i="1"/>
  <c r="E838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65" i="1"/>
  <c r="AH667" i="1"/>
  <c r="AH668" i="1" s="1"/>
  <c r="AH669" i="1" s="1"/>
  <c r="D220" i="1"/>
  <c r="D585" i="1"/>
  <c r="D588" i="1" s="1"/>
  <c r="E840" i="1"/>
  <c r="E847" i="1" s="1"/>
  <c r="E853" i="1" s="1"/>
  <c r="E854" i="1" s="1"/>
  <c r="E855" i="1" s="1"/>
  <c r="E856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65" i="1"/>
  <c r="AI667" i="1"/>
  <c r="AI668" i="1" s="1"/>
  <c r="AI669" i="1" s="1"/>
  <c r="D586" i="1"/>
  <c r="E858" i="1"/>
  <c r="E859" i="1" s="1"/>
  <c r="E860" i="1" s="1"/>
  <c r="E861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65" i="1"/>
  <c r="AJ667" i="1"/>
  <c r="AJ668" i="1" s="1"/>
  <c r="AJ669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65" i="1"/>
  <c r="AK667" i="1"/>
  <c r="AK668" i="1" s="1"/>
  <c r="AK669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65" i="1"/>
  <c r="AL667" i="1"/>
  <c r="AL668" i="1" s="1"/>
  <c r="AL669" i="1" s="1"/>
  <c r="F306" i="1"/>
  <c r="J290" i="1"/>
  <c r="I304" i="1"/>
  <c r="I306" i="1" s="1"/>
  <c r="G306" i="1"/>
  <c r="T13" i="6"/>
  <c r="AN665" i="1" l="1"/>
  <c r="AM667" i="1"/>
  <c r="AM668" i="1" s="1"/>
  <c r="AM669" i="1" s="1"/>
  <c r="K290" i="1"/>
  <c r="K304" i="1" s="1"/>
  <c r="K306" i="1" s="1"/>
  <c r="J304" i="1"/>
  <c r="J306" i="1" s="1"/>
  <c r="T14" i="6"/>
  <c r="T15" i="6" s="1"/>
  <c r="AO665" i="1" l="1"/>
  <c r="AN667" i="1"/>
  <c r="AN668" i="1" s="1"/>
  <c r="AN669" i="1" s="1"/>
  <c r="AP665" i="1" l="1"/>
  <c r="AO667" i="1"/>
  <c r="AO668" i="1" s="1"/>
  <c r="AO669" i="1" s="1"/>
  <c r="AQ665" i="1" l="1"/>
  <c r="AP667" i="1"/>
  <c r="AP668" i="1" s="1"/>
  <c r="AP669" i="1" s="1"/>
  <c r="AR665" i="1" l="1"/>
  <c r="AQ667" i="1"/>
  <c r="AQ668" i="1" s="1"/>
  <c r="AQ669" i="1" s="1"/>
  <c r="AS665" i="1" l="1"/>
  <c r="AR667" i="1"/>
  <c r="AR668" i="1" s="1"/>
  <c r="AR669" i="1" s="1"/>
  <c r="AT665" i="1" l="1"/>
  <c r="AS667" i="1"/>
  <c r="AS668" i="1" s="1"/>
  <c r="AS669" i="1" s="1"/>
  <c r="AU665" i="1" l="1"/>
  <c r="AT667" i="1"/>
  <c r="AT668" i="1" s="1"/>
  <c r="AT669" i="1" s="1"/>
  <c r="AV665" i="1" l="1"/>
  <c r="AU667" i="1"/>
  <c r="AU668" i="1" s="1"/>
  <c r="AU669" i="1" s="1"/>
  <c r="AW665" i="1" l="1"/>
  <c r="AV667" i="1"/>
  <c r="AV668" i="1" s="1"/>
  <c r="AV669" i="1" s="1"/>
  <c r="AX665" i="1" l="1"/>
  <c r="AW667" i="1"/>
  <c r="AW668" i="1" s="1"/>
  <c r="AW669" i="1" s="1"/>
  <c r="AY665" i="1" l="1"/>
  <c r="AX667" i="1"/>
  <c r="AX668" i="1" s="1"/>
  <c r="AX669" i="1" s="1"/>
  <c r="AZ665" i="1" l="1"/>
  <c r="AY667" i="1"/>
  <c r="AY668" i="1" s="1"/>
  <c r="AY669" i="1" s="1"/>
  <c r="BA665" i="1" l="1"/>
  <c r="AZ667" i="1"/>
  <c r="AZ668" i="1" s="1"/>
  <c r="AZ669" i="1" s="1"/>
  <c r="BB665" i="1" l="1"/>
  <c r="BA667" i="1"/>
  <c r="BA668" i="1" s="1"/>
  <c r="BA669" i="1" s="1"/>
  <c r="BC665" i="1" l="1"/>
  <c r="BB667" i="1"/>
  <c r="BB668" i="1" s="1"/>
  <c r="BB669" i="1" s="1"/>
  <c r="BD665" i="1" l="1"/>
  <c r="BC667" i="1"/>
  <c r="BC668" i="1" s="1"/>
  <c r="BC669" i="1" s="1"/>
  <c r="BE665" i="1" l="1"/>
  <c r="BD667" i="1"/>
  <c r="BD668" i="1" s="1"/>
  <c r="BD669" i="1" s="1"/>
  <c r="BF665" i="1" l="1"/>
  <c r="BE667" i="1"/>
  <c r="BE668" i="1" s="1"/>
  <c r="BE669" i="1" s="1"/>
  <c r="BG665" i="1" l="1"/>
  <c r="BF667" i="1"/>
  <c r="BF668" i="1" s="1"/>
  <c r="BF669" i="1" s="1"/>
  <c r="BH665" i="1" l="1"/>
  <c r="BG667" i="1"/>
  <c r="BG668" i="1" s="1"/>
  <c r="BG669" i="1" s="1"/>
  <c r="BI665" i="1" l="1"/>
  <c r="BH667" i="1"/>
  <c r="BH668" i="1" s="1"/>
  <c r="BH669" i="1" s="1"/>
  <c r="BJ665" i="1" l="1"/>
  <c r="BI667" i="1"/>
  <c r="BI668" i="1" s="1"/>
  <c r="BI669" i="1" s="1"/>
  <c r="BK665" i="1" l="1"/>
  <c r="BJ667" i="1"/>
  <c r="BJ668" i="1" s="1"/>
  <c r="BJ669" i="1" s="1"/>
  <c r="BL665" i="1" l="1"/>
  <c r="BK667" i="1"/>
  <c r="BK668" i="1" s="1"/>
  <c r="BK669" i="1" s="1"/>
  <c r="BM665" i="1" l="1"/>
  <c r="BL667" i="1"/>
  <c r="BL668" i="1" s="1"/>
  <c r="BL669" i="1" s="1"/>
  <c r="BN665" i="1" l="1"/>
  <c r="BM667" i="1"/>
  <c r="BM668" i="1" s="1"/>
  <c r="BM669" i="1" s="1"/>
  <c r="BO665" i="1" l="1"/>
  <c r="BN667" i="1"/>
  <c r="BN668" i="1" s="1"/>
  <c r="BN669" i="1" s="1"/>
  <c r="BP665" i="1" l="1"/>
  <c r="BO667" i="1"/>
  <c r="BO668" i="1" s="1"/>
  <c r="BO669" i="1" s="1"/>
  <c r="BQ665" i="1" l="1"/>
  <c r="BP667" i="1"/>
  <c r="BP668" i="1" s="1"/>
  <c r="BP669" i="1" s="1"/>
  <c r="BR665" i="1" l="1"/>
  <c r="BQ667" i="1"/>
  <c r="BQ668" i="1" s="1"/>
  <c r="BQ669" i="1" s="1"/>
  <c r="BS665" i="1" l="1"/>
  <c r="BR667" i="1"/>
  <c r="BR668" i="1" s="1"/>
  <c r="BR669" i="1" s="1"/>
  <c r="BT665" i="1" l="1"/>
  <c r="BS667" i="1"/>
  <c r="BS668" i="1" s="1"/>
  <c r="BS669" i="1" s="1"/>
  <c r="BU665" i="1" l="1"/>
  <c r="BT667" i="1"/>
  <c r="BT668" i="1" s="1"/>
  <c r="BT669" i="1" s="1"/>
  <c r="BV665" i="1" l="1"/>
  <c r="BU667" i="1"/>
  <c r="BU668" i="1" s="1"/>
  <c r="BU669" i="1" s="1"/>
  <c r="BW665" i="1" l="1"/>
  <c r="BV667" i="1"/>
  <c r="BV668" i="1" s="1"/>
  <c r="BV669" i="1" s="1"/>
  <c r="BX665" i="1" l="1"/>
  <c r="BW667" i="1"/>
  <c r="BW668" i="1" s="1"/>
  <c r="BW669" i="1" s="1"/>
  <c r="BY665" i="1" l="1"/>
  <c r="BX667" i="1"/>
  <c r="BX668" i="1" s="1"/>
  <c r="BX669" i="1" s="1"/>
  <c r="BZ665" i="1" l="1"/>
  <c r="BY667" i="1"/>
  <c r="BY668" i="1" s="1"/>
  <c r="BY669" i="1" s="1"/>
  <c r="CA665" i="1" l="1"/>
  <c r="BZ667" i="1"/>
  <c r="BZ668" i="1" s="1"/>
  <c r="BZ669" i="1" s="1"/>
  <c r="CB665" i="1" l="1"/>
  <c r="CA667" i="1"/>
  <c r="CA668" i="1" s="1"/>
  <c r="CA669" i="1" s="1"/>
  <c r="CC665" i="1" l="1"/>
  <c r="CB667" i="1"/>
  <c r="CB668" i="1" s="1"/>
  <c r="CB669" i="1" s="1"/>
  <c r="CD665" i="1" l="1"/>
  <c r="CC667" i="1"/>
  <c r="CC668" i="1" s="1"/>
  <c r="CC669" i="1" s="1"/>
  <c r="CE665" i="1" l="1"/>
  <c r="CD667" i="1"/>
  <c r="CD668" i="1" s="1"/>
  <c r="CD669" i="1" s="1"/>
  <c r="CF665" i="1" l="1"/>
  <c r="CE667" i="1"/>
  <c r="CE668" i="1" s="1"/>
  <c r="CE669" i="1" s="1"/>
  <c r="CG665" i="1" l="1"/>
  <c r="CF667" i="1"/>
  <c r="CF668" i="1" s="1"/>
  <c r="CF669" i="1" s="1"/>
  <c r="CH665" i="1" l="1"/>
  <c r="CG667" i="1"/>
  <c r="CG668" i="1" s="1"/>
  <c r="CG669" i="1" s="1"/>
  <c r="CI665" i="1" l="1"/>
  <c r="CH667" i="1"/>
  <c r="CH668" i="1" s="1"/>
  <c r="CH669" i="1" s="1"/>
  <c r="CJ665" i="1" l="1"/>
  <c r="CI667" i="1"/>
  <c r="CI668" i="1" s="1"/>
  <c r="CI669" i="1" s="1"/>
  <c r="CK665" i="1" l="1"/>
  <c r="CJ667" i="1"/>
  <c r="CJ668" i="1" s="1"/>
  <c r="CJ669" i="1" s="1"/>
  <c r="CL665" i="1" l="1"/>
  <c r="CK667" i="1"/>
  <c r="CK668" i="1" s="1"/>
  <c r="CK669" i="1" s="1"/>
  <c r="CM665" i="1" l="1"/>
  <c r="CL667" i="1"/>
  <c r="CL668" i="1" s="1"/>
  <c r="CL669" i="1" s="1"/>
  <c r="CN665" i="1" l="1"/>
  <c r="CM667" i="1"/>
  <c r="CM668" i="1" s="1"/>
  <c r="CM669" i="1" s="1"/>
  <c r="CO665" i="1" l="1"/>
  <c r="CN667" i="1"/>
  <c r="CN668" i="1" s="1"/>
  <c r="CN669" i="1" s="1"/>
  <c r="CP665" i="1" l="1"/>
  <c r="CO667" i="1"/>
  <c r="CO668" i="1" s="1"/>
  <c r="CO669" i="1" s="1"/>
  <c r="CQ665" i="1" l="1"/>
  <c r="CP667" i="1"/>
  <c r="CP668" i="1" s="1"/>
  <c r="CP669" i="1" s="1"/>
  <c r="CR665" i="1" l="1"/>
  <c r="CQ667" i="1"/>
  <c r="CQ668" i="1" s="1"/>
  <c r="CQ669" i="1" s="1"/>
  <c r="CS665" i="1" l="1"/>
  <c r="CR667" i="1"/>
  <c r="CR668" i="1" s="1"/>
  <c r="CR669" i="1" s="1"/>
  <c r="CT665" i="1" l="1"/>
  <c r="CS667" i="1"/>
  <c r="CS668" i="1" s="1"/>
  <c r="CS669" i="1" s="1"/>
  <c r="CU665" i="1" l="1"/>
  <c r="CT667" i="1"/>
  <c r="CT668" i="1" s="1"/>
  <c r="CT669" i="1" s="1"/>
  <c r="CV665" i="1" l="1"/>
  <c r="CU667" i="1"/>
  <c r="CU668" i="1" s="1"/>
  <c r="CU669" i="1" s="1"/>
  <c r="CW665" i="1" l="1"/>
  <c r="CV667" i="1"/>
  <c r="CV668" i="1" s="1"/>
  <c r="CV669" i="1" s="1"/>
  <c r="CX665" i="1" l="1"/>
  <c r="CX667" i="1" s="1"/>
  <c r="CX668" i="1" s="1"/>
  <c r="CX669" i="1" s="1"/>
  <c r="CW667" i="1"/>
  <c r="CW668" i="1" s="1"/>
  <c r="CW669" i="1" s="1"/>
  <c r="C670" i="1" l="1"/>
  <c r="D672" i="1" s="1"/>
  <c r="D520" i="1"/>
  <c r="D524" i="1" s="1"/>
</calcChain>
</file>

<file path=xl/sharedStrings.xml><?xml version="1.0" encoding="utf-8"?>
<sst xmlns="http://schemas.openxmlformats.org/spreadsheetml/2006/main" count="1710" uniqueCount="1086">
  <si>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</si>
  <si>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</si>
  <si>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</si>
  <si>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</si>
  <si>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</si>
  <si>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</si>
  <si>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</si>
  <si>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</si>
  <si>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</si>
  <si>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</si>
  <si>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</si>
  <si>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</si>
  <si>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</si>
  <si>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</si>
  <si>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</si>
  <si>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</si>
  <si>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</si>
  <si>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</si>
  <si>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</si>
  <si>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</si>
  <si>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</si>
  <si>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</si>
  <si>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</si>
  <si>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</si>
  <si>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</si>
  <si>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</si>
  <si>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</si>
  <si>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</si>
  <si>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</si>
  <si>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</si>
  <si>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</si>
  <si>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</si>
  <si>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</si>
  <si>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</si>
  <si>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</si>
  <si>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</si>
  <si>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</si>
  <si>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</si>
  <si>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</si>
  <si>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</si>
  <si>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</si>
  <si>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</si>
  <si>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</si>
  <si>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</si>
  <si>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</si>
  <si>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</si>
  <si>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</si>
  <si>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</si>
  <si>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</si>
  <si>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</si>
  <si>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</si>
  <si>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</si>
  <si>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</si>
  <si>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</si>
  <si>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</si>
  <si>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</si>
  <si>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</si>
  <si>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</si>
  <si>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</si>
  <si>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</si>
  <si>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</si>
  <si>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</si>
  <si>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</si>
  <si>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</si>
  <si>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</si>
  <si>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</si>
  <si>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</si>
  <si>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</si>
  <si>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</si>
  <si>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</si>
  <si>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</si>
  <si>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</si>
  <si>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</si>
  <si>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</si>
  <si>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</si>
  <si>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</si>
  <si>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</si>
  <si>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</si>
  <si>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</si>
  <si>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</si>
  <si>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</si>
  <si>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</si>
  <si>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</si>
  <si>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</si>
  <si>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</si>
  <si>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</si>
  <si>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</si>
  <si>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</si>
  <si>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</si>
  <si>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</si>
  <si>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</si>
  <si>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</si>
  <si>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</si>
  <si>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</si>
  <si>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</si>
  <si>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</si>
  <si>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</si>
  <si>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</si>
  <si>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</si>
  <si>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</si>
  <si>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</si>
  <si>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</si>
  <si>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</si>
  <si>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</si>
  <si>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</si>
  <si>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</si>
  <si>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</si>
  <si>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</si>
  <si>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</si>
  <si>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</si>
  <si>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</si>
  <si>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</si>
  <si>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</si>
  <si>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</si>
  <si>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</si>
  <si>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</si>
  <si>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</si>
  <si>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</si>
  <si>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</si>
  <si>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</si>
  <si>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</si>
  <si>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</si>
  <si>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</si>
  <si>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</si>
  <si>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</si>
  <si>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</si>
  <si>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</si>
  <si>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</si>
  <si>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</si>
  <si>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</si>
  <si>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</si>
  <si>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</si>
  <si>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</si>
  <si>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</si>
  <si>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</si>
  <si>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</si>
  <si>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</si>
  <si>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</si>
  <si>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</si>
  <si>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</si>
  <si>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</si>
  <si>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</si>
  <si>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</si>
  <si>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</si>
  <si>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</si>
  <si>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</si>
  <si>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</si>
  <si>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</si>
  <si>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</si>
  <si>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</si>
  <si>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</si>
  <si>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</si>
  <si>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</si>
  <si>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</si>
  <si>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</si>
  <si>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</si>
  <si>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</si>
  <si>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</si>
  <si>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</si>
  <si>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</si>
  <si>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</si>
  <si>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</si>
  <si>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</si>
  <si>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</si>
  <si>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</si>
  <si>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</si>
  <si>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</si>
  <si>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</si>
  <si>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</si>
  <si>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</si>
  <si>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</si>
  <si>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</si>
  <si>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</si>
  <si>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</si>
  <si>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</si>
  <si>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</si>
  <si>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</si>
  <si>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</si>
  <si>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</si>
  <si>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</si>
  <si>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</si>
  <si>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</si>
  <si>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</si>
  <si>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</si>
  <si>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</si>
  <si>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</si>
  <si>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</si>
  <si>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</si>
  <si>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</si>
  <si>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</si>
  <si>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</si>
  <si>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</si>
  <si>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</si>
  <si>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</si>
  <si>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</si>
  <si>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</si>
  <si>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</si>
  <si>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</si>
  <si>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</si>
  <si>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</si>
  <si>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</si>
  <si>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</si>
  <si>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</si>
  <si>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</si>
  <si>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</si>
  <si>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</si>
  <si>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</si>
  <si>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</si>
  <si>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</si>
  <si>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</si>
  <si>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</si>
  <si>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</si>
  <si>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</si>
  <si>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</si>
  <si>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</si>
  <si>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</si>
  <si>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</si>
  <si>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</si>
  <si>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</si>
  <si>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</si>
  <si>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</si>
  <si>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</si>
  <si>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</si>
  <si>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</si>
  <si>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</si>
  <si>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</si>
  <si>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</si>
  <si>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</si>
  <si>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</si>
  <si>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</si>
  <si>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</si>
  <si>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</si>
  <si>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</si>
  <si>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</si>
  <si>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</si>
  <si>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</si>
  <si>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</si>
  <si>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</si>
  <si>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</si>
  <si>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</si>
  <si>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</si>
  <si>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</si>
  <si>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</si>
  <si>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</si>
  <si>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</si>
  <si>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</si>
  <si>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</si>
  <si>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</si>
  <si>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</si>
  <si>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</si>
  <si>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</si>
  <si>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</si>
  <si>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</si>
  <si>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</si>
  <si>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</si>
  <si>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</si>
  <si>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</si>
  <si>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</si>
  <si>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</si>
  <si>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</si>
  <si>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</si>
  <si>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</si>
  <si>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</si>
  <si>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</si>
  <si>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</si>
  <si>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</si>
  <si>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</si>
  <si>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</si>
  <si>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</si>
  <si>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</si>
  <si>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</si>
  <si>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</si>
  <si>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</si>
  <si>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</si>
  <si>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</si>
  <si>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</si>
  <si>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</si>
  <si>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</si>
  <si>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</si>
  <si>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</si>
  <si>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</si>
  <si>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</si>
  <si>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</si>
  <si>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</si>
  <si>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</si>
  <si>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</si>
  <si>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</si>
  <si>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</si>
  <si>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</si>
  <si>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</si>
  <si>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</si>
  <si>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</si>
  <si>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</si>
  <si>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</si>
  <si>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</si>
  <si>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</si>
  <si>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</si>
  <si>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</si>
  <si>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</si>
  <si>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</si>
  <si>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</si>
  <si>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</si>
  <si>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</si>
  <si>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</si>
  <si>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</si>
  <si>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</si>
  <si>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</si>
  <si>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</si>
  <si>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</si>
  <si>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</si>
  <si>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</si>
  <si>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</si>
  <si>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</si>
  <si>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</si>
  <si>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</si>
  <si>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</si>
  <si>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</si>
  <si>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</si>
  <si>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</si>
  <si>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</si>
  <si>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</si>
  <si>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</si>
  <si>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</si>
  <si>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</si>
  <si>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</si>
  <si>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</si>
  <si>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</si>
  <si>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</si>
  <si>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</si>
  <si>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</si>
  <si>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</si>
  <si>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</si>
  <si>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</si>
  <si>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</si>
  <si>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</si>
  <si>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</si>
  <si>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</si>
  <si>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</si>
  <si>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</si>
  <si>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</si>
  <si>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</si>
  <si>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</si>
  <si>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</si>
  <si>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</si>
  <si>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</si>
  <si>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</si>
  <si>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</si>
  <si>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</si>
  <si>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</si>
  <si>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</si>
  <si>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</si>
  <si>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</si>
  <si>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</si>
  <si>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</si>
  <si>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</si>
  <si>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</si>
  <si>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</si>
  <si>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</si>
  <si>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</si>
  <si>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</si>
  <si>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</si>
  <si>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</si>
  <si>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</si>
  <si>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</si>
  <si>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</si>
  <si>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</si>
  <si>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</si>
  <si>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</si>
  <si>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</si>
  <si>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</si>
  <si>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</si>
  <si>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</si>
  <si>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</si>
  <si>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</si>
  <si>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</si>
  <si>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</si>
  <si>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</si>
  <si>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</si>
  <si>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</si>
  <si>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</si>
  <si>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</si>
  <si>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</si>
  <si>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</si>
  <si>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</si>
  <si>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</si>
  <si>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</si>
  <si>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</si>
  <si>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</si>
  <si>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</si>
  <si>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</si>
  <si>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</si>
  <si>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</si>
  <si>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</si>
  <si>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</si>
  <si>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</si>
  <si>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</si>
  <si>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</si>
  <si>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</si>
  <si>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</si>
  <si>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</si>
  <si>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</si>
  <si>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</si>
  <si>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</si>
  <si>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</si>
  <si>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</si>
  <si>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</si>
  <si>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</si>
  <si>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</si>
  <si>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</si>
  <si>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</si>
  <si>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</si>
  <si>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</si>
  <si>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</si>
  <si>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</si>
  <si>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</si>
  <si>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</si>
  <si>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</si>
  <si>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</si>
  <si>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</si>
  <si>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</si>
  <si>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</si>
  <si>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</si>
  <si>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</si>
  <si>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</si>
  <si>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</si>
  <si>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</si>
  <si>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</si>
  <si>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</si>
  <si>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</si>
  <si>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</si>
  <si>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</si>
  <si>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</si>
  <si>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</si>
  <si>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</si>
  <si>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</si>
  <si>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</si>
  <si>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</si>
  <si>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</si>
  <si>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</si>
  <si>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</si>
  <si>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</si>
  <si>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</si>
  <si>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</si>
  <si>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</si>
  <si>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</si>
  <si>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</si>
  <si>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</si>
  <si>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</si>
  <si>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</si>
  <si>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</si>
  <si>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</si>
  <si>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</si>
  <si>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</si>
  <si>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</si>
  <si>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</si>
  <si>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</si>
  <si>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</si>
  <si>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</si>
  <si>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</si>
  <si>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</si>
  <si>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</si>
  <si>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</si>
  <si>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</si>
  <si>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</si>
  <si>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</si>
  <si>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</si>
  <si>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</si>
  <si>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</si>
  <si>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</si>
  <si>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</si>
  <si>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</si>
  <si>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</si>
  <si>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</si>
  <si>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</si>
  <si>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</si>
  <si>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</si>
  <si>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</si>
  <si>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</si>
  <si>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</si>
  <si>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</si>
  <si>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</si>
  <si>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</si>
  <si>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</si>
  <si>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</si>
  <si>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</si>
  <si>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</si>
  <si>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</si>
  <si>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</si>
  <si>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</si>
  <si>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</si>
  <si>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</si>
  <si>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</si>
  <si>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</si>
  <si>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</si>
  <si>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</si>
  <si>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</si>
  <si>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</si>
  <si>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</si>
  <si>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</si>
  <si>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</si>
  <si>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</si>
  <si>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</si>
  <si>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</si>
  <si>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</si>
  <si>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</si>
  <si>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</si>
  <si>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</si>
  <si>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</si>
  <si>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</si>
  <si>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</si>
  <si>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</si>
  <si>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</si>
  <si>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</si>
  <si>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</si>
  <si>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</si>
  <si>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</si>
  <si>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</si>
  <si>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</si>
  <si>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</si>
  <si>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</si>
  <si>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</si>
  <si>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</si>
  <si>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</si>
  <si>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</si>
  <si>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</si>
  <si>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</si>
  <si>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</si>
  <si>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</si>
  <si>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</si>
  <si>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</si>
  <si>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</si>
  <si>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</si>
  <si>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</si>
  <si>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</si>
  <si>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</si>
  <si>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</si>
  <si>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</si>
  <si>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</si>
  <si>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</si>
  <si>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</si>
  <si>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</si>
  <si>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</si>
  <si>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</si>
  <si>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</si>
  <si>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</si>
  <si>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</si>
  <si>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</si>
  <si>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</si>
  <si>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</si>
  <si>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</si>
  <si>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</si>
  <si>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</si>
  <si>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</si>
  <si>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</si>
  <si>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</si>
  <si>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</si>
  <si>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</si>
  <si>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</si>
  <si>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</si>
  <si>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</si>
  <si>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</si>
  <si>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</si>
  <si>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</si>
  <si>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</si>
  <si>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</si>
  <si>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</si>
  <si>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</si>
  <si>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</si>
  <si>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</si>
  <si>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</si>
  <si>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</si>
  <si>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</si>
  <si>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</si>
  <si>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</si>
  <si>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</si>
  <si>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</si>
  <si>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</si>
  <si>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</si>
  <si>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</si>
  <si>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</si>
  <si>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</si>
  <si>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</si>
  <si>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</si>
  <si>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</si>
  <si>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</si>
  <si>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</si>
  <si>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</si>
  <si>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</si>
  <si>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</si>
  <si>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</si>
  <si>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</si>
  <si>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</si>
  <si>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</si>
  <si>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</si>
  <si>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</si>
  <si>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</si>
  <si>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</si>
  <si>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</si>
  <si>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</si>
  <si>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</si>
  <si>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</si>
  <si>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</si>
  <si>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</si>
  <si>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</si>
  <si>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</si>
  <si>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</si>
  <si>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</si>
  <si>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</si>
  <si>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</si>
  <si>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</si>
  <si>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</si>
  <si>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</si>
  <si>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</si>
  <si>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</si>
  <si>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</si>
  <si>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</si>
  <si>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</si>
  <si>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</si>
  <si>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</si>
  <si>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</si>
  <si>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</si>
  <si>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</si>
  <si>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</si>
  <si>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</si>
  <si>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</si>
  <si>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</si>
  <si>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</si>
  <si>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</si>
  <si>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</si>
  <si>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</si>
  <si>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</si>
  <si>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</si>
  <si>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</si>
  <si>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</si>
  <si>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</si>
  <si>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</si>
  <si>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</si>
  <si>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</si>
  <si>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</si>
  <si>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</si>
  <si>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</si>
  <si>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</si>
  <si>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</si>
  <si>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</si>
  <si>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</si>
  <si>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</si>
  <si>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</si>
  <si>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</si>
  <si>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</si>
  <si>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</si>
  <si>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</si>
  <si>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</si>
  <si>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</si>
  <si>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</si>
  <si>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</si>
  <si>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</si>
  <si>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</si>
  <si>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</si>
  <si>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</si>
  <si>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</si>
  <si>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</si>
  <si>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</si>
  <si>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</si>
  <si>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</si>
  <si>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</si>
  <si>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</si>
  <si>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</si>
  <si>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</si>
  <si>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</si>
  <si>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</si>
  <si>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</si>
  <si>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</si>
  <si>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</si>
  <si>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</si>
  <si>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</si>
  <si>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</si>
  <si>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</si>
  <si>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</si>
  <si>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</si>
  <si>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</si>
  <si>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</si>
  <si>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</si>
  <si>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</si>
  <si>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</si>
  <si>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</si>
  <si>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</si>
  <si>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</si>
  <si>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</si>
  <si>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</si>
  <si>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</si>
  <si>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</si>
  <si>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</si>
  <si>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</si>
  <si>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</si>
  <si>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</si>
  <si>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</si>
  <si>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</si>
  <si>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</si>
  <si>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</si>
  <si>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</si>
  <si>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</si>
  <si>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</si>
  <si>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</si>
  <si>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</si>
  <si>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</si>
  <si>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</si>
  <si>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</si>
  <si>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</si>
  <si>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</si>
  <si>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</si>
  <si>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</si>
  <si>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</si>
  <si>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</si>
  <si>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</si>
  <si>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</si>
  <si>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</si>
  <si>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</si>
  <si>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</si>
  <si>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</si>
  <si>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</si>
  <si>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</si>
  <si>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</si>
  <si>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</si>
  <si>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</si>
  <si>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</si>
  <si>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</si>
  <si>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</si>
  <si>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</si>
  <si>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</si>
  <si>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</si>
  <si>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</si>
  <si>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</si>
  <si>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</si>
  <si>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</si>
  <si>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</si>
  <si>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</si>
  <si>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</si>
  <si>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</si>
  <si>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</si>
  <si>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</si>
  <si>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</si>
  <si>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</si>
  <si>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</si>
  <si>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</si>
  <si>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</si>
  <si>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</si>
  <si>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</si>
  <si>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</si>
  <si>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</si>
  <si>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</si>
  <si>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</si>
  <si>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</si>
  <si>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</si>
  <si>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</si>
  <si>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</si>
  <si>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</si>
  <si>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</si>
  <si>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</si>
  <si>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</si>
  <si>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</si>
  <si>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</si>
  <si>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</si>
  <si>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</si>
  <si>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</si>
  <si>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</si>
  <si>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</si>
  <si>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</si>
  <si>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</si>
  <si>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</si>
  <si>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</si>
  <si>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</si>
  <si>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</si>
  <si>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</si>
  <si>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</si>
  <si>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</si>
  <si>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</si>
  <si>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</si>
  <si>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</si>
  <si>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</si>
  <si>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</si>
  <si>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</si>
  <si>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</si>
  <si>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</si>
  <si>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</si>
  <si>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</si>
  <si>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</si>
  <si>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</si>
  <si>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</si>
  <si>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</si>
  <si>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</si>
  <si>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</si>
  <si>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</si>
  <si>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</si>
  <si>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</si>
  <si>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</si>
  <si>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</si>
  <si>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</si>
  <si>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</si>
  <si>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</si>
  <si>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</si>
  <si>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</si>
  <si>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</si>
  <si>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</si>
  <si>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</si>
  <si>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</si>
  <si>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</si>
  <si>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</si>
  <si>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</si>
  <si>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</si>
  <si>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</si>
  <si>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</si>
  <si>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</si>
  <si>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</si>
  <si>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</si>
  <si>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</si>
  <si>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</si>
  <si>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</si>
  <si>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</si>
  <si>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</si>
  <si>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</si>
  <si>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</si>
  <si>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</si>
  <si>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</si>
  <si>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</si>
  <si>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</si>
  <si>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</si>
  <si>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</si>
  <si>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</si>
  <si>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</si>
  <si>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</si>
  <si>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</si>
  <si>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</si>
  <si>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</si>
  <si>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</si>
  <si>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</si>
  <si>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</si>
  <si>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</si>
  <si>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</si>
  <si>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</si>
  <si>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</si>
  <si>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</si>
  <si>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</si>
  <si>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</si>
  <si>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</si>
  <si>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</si>
  <si>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</si>
  <si>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</si>
  <si>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</si>
  <si>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</si>
  <si>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</si>
  <si>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</si>
  <si>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</si>
  <si>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</si>
  <si>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</si>
  <si>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</si>
  <si>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</si>
  <si>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</si>
  <si>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</si>
  <si>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</si>
  <si>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</si>
  <si>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</si>
  <si>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</si>
  <si>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</si>
  <si>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</si>
  <si>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</si>
  <si>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</si>
  <si>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</si>
  <si>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</si>
  <si>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</si>
  <si>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</si>
  <si>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</si>
  <si>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</si>
  <si>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</si>
  <si>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</si>
  <si>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</si>
  <si>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</si>
  <si>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</si>
  <si>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</si>
  <si>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</si>
  <si>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</si>
  <si>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</si>
  <si>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</si>
  <si>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</si>
  <si>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</si>
  <si>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</si>
  <si>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</si>
  <si>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Maximum drive current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</si>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</sst>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4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709268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512266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322861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415638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13820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789</xdr:row>
      <xdr:rowOff>81643</xdr:rowOff>
    </xdr:from>
    <xdr:to>
      <xdr:col>7</xdr:col>
      <xdr:colOff>1282200</xdr:colOff>
      <xdr:row>811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538</xdr:row>
      <xdr:rowOff>27214</xdr:rowOff>
    </xdr:from>
    <xdr:to>
      <xdr:col>7</xdr:col>
      <xdr:colOff>293081</xdr:colOff>
      <xdr:row>539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539</xdr:row>
      <xdr:rowOff>176892</xdr:rowOff>
    </xdr:from>
    <xdr:to>
      <xdr:col>6</xdr:col>
      <xdr:colOff>228966</xdr:colOff>
      <xdr:row>543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507</xdr:row>
      <xdr:rowOff>176891</xdr:rowOff>
    </xdr:from>
    <xdr:to>
      <xdr:col>10</xdr:col>
      <xdr:colOff>286453</xdr:colOff>
      <xdr:row>514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514</xdr:row>
      <xdr:rowOff>81643</xdr:rowOff>
    </xdr:from>
    <xdr:to>
      <xdr:col>8</xdr:col>
      <xdr:colOff>458947</xdr:colOff>
      <xdr:row>522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524</xdr:row>
      <xdr:rowOff>27214</xdr:rowOff>
    </xdr:from>
    <xdr:to>
      <xdr:col>8</xdr:col>
      <xdr:colOff>1407499</xdr:colOff>
      <xdr:row>543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524</xdr:row>
      <xdr:rowOff>27215</xdr:rowOff>
    </xdr:from>
    <xdr:to>
      <xdr:col>15</xdr:col>
      <xdr:colOff>557086</xdr:colOff>
      <xdr:row>543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488</xdr:row>
      <xdr:rowOff>13608</xdr:rowOff>
    </xdr:from>
    <xdr:to>
      <xdr:col>8</xdr:col>
      <xdr:colOff>975913</xdr:colOff>
      <xdr:row>491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17"/>
  <sheetViews>
    <sheetView tabSelected="1" topLeftCell="A480" zoomScale="85" zoomScaleNormal="85" workbookViewId="0">
      <selection activeCell="E487" sqref="E487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974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7" t="s">
        <v>569</v>
      </c>
      <c r="H19" s="77"/>
      <c r="I19" s="77"/>
      <c r="J19" s="77"/>
    </row>
    <row r="20" spans="1:11" x14ac:dyDescent="0.25">
      <c r="A20" s="75" t="s">
        <v>98</v>
      </c>
      <c r="B20" t="s">
        <v>96</v>
      </c>
      <c r="C20" t="s">
        <v>2</v>
      </c>
      <c r="D20">
        <v>0.3</v>
      </c>
      <c r="E20" t="s">
        <v>20</v>
      </c>
      <c r="G20" s="77"/>
      <c r="H20" s="77"/>
      <c r="I20" s="77"/>
      <c r="J20" s="77"/>
    </row>
    <row r="21" spans="1:11" x14ac:dyDescent="0.25">
      <c r="A21" s="75"/>
      <c r="B21" s="5"/>
      <c r="C21" s="5" t="s">
        <v>3</v>
      </c>
      <c r="D21" s="5">
        <f>D20/D4</f>
        <v>0.25</v>
      </c>
      <c r="E21" s="5" t="s">
        <v>20</v>
      </c>
      <c r="G21" s="77"/>
      <c r="H21" s="77"/>
      <c r="I21" s="77"/>
      <c r="J21" s="77"/>
    </row>
    <row r="22" spans="1:11" x14ac:dyDescent="0.25">
      <c r="A22" s="75"/>
      <c r="B22" t="s">
        <v>64</v>
      </c>
      <c r="C22" t="s">
        <v>97</v>
      </c>
      <c r="D22">
        <v>0.1</v>
      </c>
      <c r="G22" s="77"/>
      <c r="H22" s="77"/>
      <c r="I22" s="77"/>
      <c r="J22" s="77"/>
    </row>
    <row r="23" spans="1:11" x14ac:dyDescent="0.25">
      <c r="A23" s="75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5"/>
      <c r="C24" t="s">
        <v>7</v>
      </c>
      <c r="D24">
        <v>35</v>
      </c>
    </row>
    <row r="25" spans="1:11" x14ac:dyDescent="0.25">
      <c r="A25" s="75"/>
      <c r="B25" s="5"/>
      <c r="C25" s="5" t="s">
        <v>28</v>
      </c>
      <c r="D25" s="5"/>
      <c r="E25" s="5"/>
    </row>
    <row r="26" spans="1:11" x14ac:dyDescent="0.25">
      <c r="A26" s="75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5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5"/>
      <c r="C28" t="s">
        <v>8</v>
      </c>
      <c r="D28">
        <v>100</v>
      </c>
      <c r="E28" t="s">
        <v>21</v>
      </c>
    </row>
    <row r="29" spans="1:11" x14ac:dyDescent="0.25">
      <c r="A29" s="75"/>
      <c r="C29" t="s">
        <v>10</v>
      </c>
      <c r="D29" s="1">
        <f>D71/D14</f>
        <v>0</v>
      </c>
      <c r="E29" t="s">
        <v>25</v>
      </c>
      <c r="G29" s="77" t="s">
        <v>570</v>
      </c>
      <c r="H29" s="78"/>
      <c r="I29" s="78"/>
      <c r="J29" s="78"/>
      <c r="K29" s="78"/>
    </row>
    <row r="30" spans="1:11" x14ac:dyDescent="0.25">
      <c r="B30" s="7"/>
      <c r="C30" s="9"/>
      <c r="D30" s="7"/>
      <c r="E30" s="7"/>
      <c r="G30" s="78"/>
      <c r="H30" s="78"/>
      <c r="I30" s="78"/>
      <c r="J30" s="78"/>
      <c r="K30" s="78"/>
    </row>
    <row r="31" spans="1:11" ht="15" customHeight="1" x14ac:dyDescent="0.25">
      <c r="A31" s="75" t="s">
        <v>126</v>
      </c>
      <c r="B31" s="5"/>
      <c r="C31" s="5"/>
      <c r="D31" s="5"/>
      <c r="E31" s="6"/>
      <c r="G31" s="78"/>
      <c r="H31" s="78"/>
      <c r="I31" s="78"/>
      <c r="J31" s="78"/>
      <c r="K31" s="78"/>
    </row>
    <row r="32" spans="1:11" x14ac:dyDescent="0.25">
      <c r="A32" s="75"/>
      <c r="B32" s="5"/>
      <c r="C32" s="5" t="s">
        <v>120</v>
      </c>
      <c r="D32" s="5">
        <f>D8/D23</f>
        <v>959999.99999999988</v>
      </c>
      <c r="E32" s="6" t="s">
        <v>24</v>
      </c>
      <c r="G32" s="78"/>
      <c r="H32" s="78"/>
      <c r="I32" s="78"/>
      <c r="J32" s="78"/>
      <c r="K32" s="78"/>
    </row>
    <row r="33" spans="1:11" x14ac:dyDescent="0.25">
      <c r="A33" s="75"/>
      <c r="B33" s="7"/>
      <c r="C33" s="7" t="s">
        <v>121</v>
      </c>
      <c r="D33" s="7">
        <v>200000</v>
      </c>
      <c r="E33" s="8" t="s">
        <v>24</v>
      </c>
      <c r="G33" s="78"/>
      <c r="H33" s="78"/>
      <c r="I33" s="78"/>
      <c r="J33" s="78"/>
      <c r="K33" s="78"/>
    </row>
    <row r="34" spans="1:11" x14ac:dyDescent="0.25">
      <c r="A34" s="75"/>
      <c r="B34" s="7"/>
      <c r="C34" s="7" t="s">
        <v>122</v>
      </c>
      <c r="D34" s="7">
        <v>5</v>
      </c>
      <c r="E34" s="8"/>
      <c r="G34" s="78"/>
      <c r="H34" s="78"/>
      <c r="I34" s="78"/>
      <c r="J34" s="78"/>
      <c r="K34" s="78"/>
    </row>
    <row r="35" spans="1:11" x14ac:dyDescent="0.25">
      <c r="A35" s="75"/>
      <c r="C35" t="s">
        <v>127</v>
      </c>
      <c r="D35">
        <f>D33*D34</f>
        <v>1000000</v>
      </c>
    </row>
    <row r="36" spans="1:11" x14ac:dyDescent="0.25">
      <c r="A36" s="75"/>
      <c r="C36" t="s">
        <v>130</v>
      </c>
      <c r="D36">
        <v>5</v>
      </c>
      <c r="E36" t="s">
        <v>162</v>
      </c>
    </row>
    <row r="37" spans="1:11" x14ac:dyDescent="0.25">
      <c r="A37" s="75"/>
      <c r="C37" t="s">
        <v>163</v>
      </c>
      <c r="D37">
        <f>(1+(D36/200))*D35</f>
        <v>1024999.9999999999</v>
      </c>
    </row>
    <row r="38" spans="1:11" x14ac:dyDescent="0.25">
      <c r="A38" s="75"/>
      <c r="C38" t="s">
        <v>164</v>
      </c>
      <c r="D38">
        <f>(1-(D36/200))*D35</f>
        <v>975000</v>
      </c>
    </row>
    <row r="39" spans="1:11" x14ac:dyDescent="0.25">
      <c r="A39" s="75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5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5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5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5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5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5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5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5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5"/>
      <c r="B48" s="5"/>
      <c r="C48" s="5"/>
      <c r="D48" s="10"/>
      <c r="E48" s="5"/>
    </row>
    <row r="49" spans="1:18" x14ac:dyDescent="0.25">
      <c r="A49" s="75"/>
      <c r="B49" s="7"/>
      <c r="C49" s="7" t="s">
        <v>752</v>
      </c>
      <c r="D49" s="12">
        <f>22000</f>
        <v>22000</v>
      </c>
      <c r="E49" s="7"/>
    </row>
    <row r="50" spans="1:18" x14ac:dyDescent="0.25">
      <c r="A50" s="75"/>
      <c r="B50" s="7"/>
      <c r="C50" s="7" t="s">
        <v>662</v>
      </c>
      <c r="D50" s="12">
        <v>0.1</v>
      </c>
      <c r="E50" s="7"/>
    </row>
    <row r="51" spans="1:18" x14ac:dyDescent="0.25">
      <c r="A51" s="75"/>
      <c r="B51" s="7"/>
      <c r="C51" s="7" t="s">
        <v>663</v>
      </c>
      <c r="D51" s="12">
        <v>0.06</v>
      </c>
      <c r="E51" s="7"/>
    </row>
    <row r="52" spans="1:18" x14ac:dyDescent="0.25">
      <c r="A52" s="75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5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5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5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5"/>
      <c r="B56" s="5"/>
      <c r="C56" s="5" t="s">
        <v>758</v>
      </c>
      <c r="D56" s="10">
        <v>1020</v>
      </c>
      <c r="E56" s="5"/>
    </row>
    <row r="57" spans="1:18" x14ac:dyDescent="0.25">
      <c r="A57" s="75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5"/>
      <c r="B58" s="5"/>
      <c r="C58" s="5" t="s">
        <v>759</v>
      </c>
      <c r="D58" s="10">
        <f>20</f>
        <v>20</v>
      </c>
      <c r="E58" s="5"/>
    </row>
    <row r="59" spans="1:18" x14ac:dyDescent="0.25">
      <c r="A59" s="75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5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5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5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5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5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5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5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5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5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6" t="s">
        <v>104</v>
      </c>
      <c r="C71" s="5"/>
      <c r="D71" s="10"/>
      <c r="E71" s="5"/>
    </row>
    <row r="72" spans="1:18" x14ac:dyDescent="0.25">
      <c r="A72" s="76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6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6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6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6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6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6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6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6"/>
      <c r="C80" t="s">
        <v>89</v>
      </c>
      <c r="D80">
        <v>0.01</v>
      </c>
    </row>
    <row r="81" spans="1:8" x14ac:dyDescent="0.25">
      <c r="A81" s="76"/>
      <c r="C81" t="s">
        <v>90</v>
      </c>
      <c r="D81">
        <v>0.03</v>
      </c>
    </row>
    <row r="82" spans="1:8" x14ac:dyDescent="0.25">
      <c r="A82" s="76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6"/>
      <c r="C83" t="s">
        <v>92</v>
      </c>
      <c r="D83">
        <v>1E-3</v>
      </c>
      <c r="G83" s="4"/>
    </row>
    <row r="84" spans="1:8" x14ac:dyDescent="0.25">
      <c r="A84" s="76"/>
      <c r="C84" t="s">
        <v>93</v>
      </c>
      <c r="D84">
        <v>5.0000000000000001E-3</v>
      </c>
    </row>
    <row r="85" spans="1:8" x14ac:dyDescent="0.25">
      <c r="A85" s="76"/>
      <c r="C85" t="s">
        <v>94</v>
      </c>
      <c r="D85">
        <v>1.4999999999999999E-2</v>
      </c>
    </row>
    <row r="86" spans="1:8" x14ac:dyDescent="0.25">
      <c r="A86" s="76"/>
      <c r="C86" t="s">
        <v>95</v>
      </c>
      <c r="D86">
        <v>0.01</v>
      </c>
    </row>
    <row r="87" spans="1:8" x14ac:dyDescent="0.25">
      <c r="A87" s="76"/>
      <c r="C87" t="s">
        <v>108</v>
      </c>
      <c r="D87">
        <v>0.02</v>
      </c>
    </row>
    <row r="88" spans="1:8" x14ac:dyDescent="0.25">
      <c r="A88" s="76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6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6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6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6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6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6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6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5" t="s">
        <v>1015</v>
      </c>
      <c r="B99" s="7" t="s">
        <v>994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5"/>
      <c r="B100" s="7" t="s">
        <v>995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5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5"/>
      <c r="B102" t="s">
        <v>987</v>
      </c>
      <c r="C102" t="s">
        <v>988</v>
      </c>
      <c r="D102">
        <f>D23</f>
        <v>8.3333333333333343E-2</v>
      </c>
      <c r="E102" t="s">
        <v>20</v>
      </c>
    </row>
    <row r="103" spans="1:11" x14ac:dyDescent="0.25">
      <c r="A103" s="75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5"/>
      <c r="B104" t="s">
        <v>38</v>
      </c>
      <c r="C104" t="s">
        <v>42</v>
      </c>
      <c r="D104">
        <f>D7</f>
        <v>44.1</v>
      </c>
    </row>
    <row r="105" spans="1:11" x14ac:dyDescent="0.25">
      <c r="A105" s="75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5"/>
      <c r="B106" t="s">
        <v>56</v>
      </c>
      <c r="C106" s="7" t="s">
        <v>57</v>
      </c>
      <c r="D106" s="52">
        <v>0.38</v>
      </c>
      <c r="E106" t="s">
        <v>985</v>
      </c>
    </row>
    <row r="107" spans="1:11" x14ac:dyDescent="0.25">
      <c r="A107" s="75"/>
      <c r="B107" t="s">
        <v>55</v>
      </c>
      <c r="D107" s="52">
        <v>6.9999999999999999E-4</v>
      </c>
      <c r="E107" t="s">
        <v>207</v>
      </c>
    </row>
    <row r="108" spans="1:11" x14ac:dyDescent="0.25">
      <c r="A108" s="75"/>
      <c r="B108" t="s">
        <v>49</v>
      </c>
      <c r="C108" t="s">
        <v>50</v>
      </c>
      <c r="D108" s="54">
        <f>K118*10^9</f>
        <v>552.77777777777771</v>
      </c>
      <c r="E108" t="s">
        <v>986</v>
      </c>
    </row>
    <row r="109" spans="1:11" x14ac:dyDescent="0.25">
      <c r="A109" s="75"/>
      <c r="C109" t="s">
        <v>36</v>
      </c>
      <c r="D109" s="52">
        <v>0.9</v>
      </c>
    </row>
    <row r="110" spans="1:11" x14ac:dyDescent="0.25">
      <c r="A110" s="75"/>
      <c r="B110" t="s">
        <v>39</v>
      </c>
      <c r="C110" s="57" t="s">
        <v>41</v>
      </c>
      <c r="D110" s="52">
        <v>0.5</v>
      </c>
    </row>
    <row r="111" spans="1:11" x14ac:dyDescent="0.25">
      <c r="A111" s="75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74" t="s">
        <v>1014</v>
      </c>
      <c r="H111" s="74"/>
      <c r="I111" s="74"/>
      <c r="J111" s="74"/>
      <c r="K111" s="74"/>
    </row>
    <row r="112" spans="1:11" x14ac:dyDescent="0.25">
      <c r="A112" s="75"/>
      <c r="B112" t="s">
        <v>1030</v>
      </c>
      <c r="C112" s="57" t="s">
        <v>1021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5"/>
      <c r="B113" t="s">
        <v>1031</v>
      </c>
      <c r="C113" t="s">
        <v>1020</v>
      </c>
      <c r="D113" s="51">
        <f>D112</f>
        <v>4.8951562500000008E-5</v>
      </c>
      <c r="E113" t="s">
        <v>154</v>
      </c>
      <c r="G113" t="s">
        <v>1010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5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1011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5"/>
      <c r="C115" s="57" t="s">
        <v>1033</v>
      </c>
      <c r="D115" s="51">
        <f>0.5*D113*POWER(D114, 2)</f>
        <v>1.2499999999999999E-2</v>
      </c>
    </row>
    <row r="116" spans="1:26" x14ac:dyDescent="0.25">
      <c r="A116" s="75"/>
      <c r="C116" s="57" t="s">
        <v>1034</v>
      </c>
      <c r="D116" s="51" t="b">
        <f>D115&gt;=D111</f>
        <v>1</v>
      </c>
    </row>
    <row r="117" spans="1:26" x14ac:dyDescent="0.25">
      <c r="A117" s="75"/>
      <c r="B117" t="s">
        <v>62</v>
      </c>
      <c r="D117">
        <f>D114/D124</f>
        <v>8.3333333333333343E-2</v>
      </c>
      <c r="G117" t="s">
        <v>1012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5"/>
      <c r="B118" t="s">
        <v>51</v>
      </c>
      <c r="C118" t="s">
        <v>52</v>
      </c>
      <c r="D118" s="27">
        <f>POWER(D113*(1000000000)/D108, 0.5)</f>
        <v>9.4103979964856599</v>
      </c>
      <c r="G118" t="s">
        <v>1013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5"/>
      <c r="B119" t="s">
        <v>53</v>
      </c>
      <c r="C119" t="s">
        <v>54</v>
      </c>
      <c r="D119" s="27">
        <f>(D7 * D110) / (D118 * D107 * D101)</f>
        <v>0.20921006749504489</v>
      </c>
      <c r="E119" t="s">
        <v>985</v>
      </c>
    </row>
    <row r="120" spans="1:26" x14ac:dyDescent="0.25">
      <c r="A120" s="75"/>
      <c r="C120" t="s">
        <v>58</v>
      </c>
      <c r="D120" s="27" t="b">
        <f>D119&gt;D106</f>
        <v>0</v>
      </c>
    </row>
    <row r="121" spans="1:26" x14ac:dyDescent="0.25">
      <c r="A121" s="75"/>
      <c r="B121" t="s">
        <v>1022</v>
      </c>
      <c r="C121" t="s">
        <v>1023</v>
      </c>
      <c r="D121" s="27">
        <f>D114/D102</f>
        <v>271.18644067796606</v>
      </c>
    </row>
    <row r="122" spans="1:26" x14ac:dyDescent="0.25">
      <c r="A122" s="75"/>
      <c r="B122" t="s">
        <v>1025</v>
      </c>
      <c r="C122" t="s">
        <v>1026</v>
      </c>
      <c r="D122" s="27">
        <f>D99/(2*D104)</f>
        <v>158.73015873015873</v>
      </c>
    </row>
    <row r="123" spans="1:26" x14ac:dyDescent="0.25">
      <c r="A123" s="75"/>
      <c r="B123" t="s">
        <v>1024</v>
      </c>
      <c r="C123" t="s">
        <v>1027</v>
      </c>
      <c r="D123" s="27">
        <f>D99/(2*D103)</f>
        <v>197.74011299435026</v>
      </c>
    </row>
    <row r="124" spans="1:26" x14ac:dyDescent="0.25">
      <c r="A124" s="75"/>
      <c r="B124" t="s">
        <v>1028</v>
      </c>
      <c r="C124" t="s">
        <v>1029</v>
      </c>
      <c r="D124" s="27">
        <f>D121</f>
        <v>271.18644067796606</v>
      </c>
    </row>
    <row r="125" spans="1:26" x14ac:dyDescent="0.25">
      <c r="A125" s="75"/>
      <c r="B125" t="s">
        <v>1038</v>
      </c>
      <c r="C125" t="s">
        <v>562</v>
      </c>
      <c r="D125" s="27">
        <f>1/D124</f>
        <v>3.6875000000000007E-3</v>
      </c>
    </row>
    <row r="126" spans="1:26" x14ac:dyDescent="0.25">
      <c r="A126" s="75"/>
      <c r="C126" t="s">
        <v>1032</v>
      </c>
      <c r="D126" s="27" t="b">
        <f>D124&gt;=D121</f>
        <v>1</v>
      </c>
    </row>
    <row r="127" spans="1:26" x14ac:dyDescent="0.25">
      <c r="A127" s="75"/>
      <c r="C127" t="s">
        <v>1035</v>
      </c>
      <c r="D127" s="27">
        <f>(D105/D103)/D121</f>
        <v>0.72916666666666663</v>
      </c>
    </row>
    <row r="128" spans="1:26" x14ac:dyDescent="0.25">
      <c r="A128" s="75"/>
      <c r="C128" t="s">
        <v>1036</v>
      </c>
      <c r="D128" s="27">
        <f>(D105/D104)/D121</f>
        <v>0.58531746031746046</v>
      </c>
    </row>
    <row r="129" spans="1:6" x14ac:dyDescent="0.25">
      <c r="A129" s="75"/>
      <c r="C129" t="s">
        <v>1037</v>
      </c>
      <c r="D129" t="b">
        <f>OR(D127&lt;1, D128&lt;1)</f>
        <v>1</v>
      </c>
    </row>
    <row r="130" spans="1:6" x14ac:dyDescent="0.25">
      <c r="A130" s="75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5"/>
      <c r="D131" s="27"/>
    </row>
    <row r="132" spans="1:6" x14ac:dyDescent="0.25">
      <c r="A132" s="75"/>
      <c r="C132" t="s">
        <v>63</v>
      </c>
      <c r="D132" s="27" t="b">
        <f>D102&lt;=D23</f>
        <v>1</v>
      </c>
    </row>
    <row r="133" spans="1:6" x14ac:dyDescent="0.25">
      <c r="A133" s="75"/>
      <c r="B133" s="58" t="s">
        <v>989</v>
      </c>
      <c r="C133" s="58" t="s">
        <v>993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5"/>
      <c r="B134" s="70" t="s">
        <v>990</v>
      </c>
      <c r="C134" s="70" t="s">
        <v>991</v>
      </c>
      <c r="D134" s="71">
        <f>D113*POWER(D124,2)</f>
        <v>3.6</v>
      </c>
      <c r="E134" s="70"/>
    </row>
    <row r="135" spans="1:6" x14ac:dyDescent="0.25">
      <c r="A135" s="75"/>
      <c r="B135" s="70" t="s">
        <v>791</v>
      </c>
      <c r="C135" s="70" t="s">
        <v>992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5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5" t="s">
        <v>1016</v>
      </c>
      <c r="B138" s="7" t="s">
        <v>1009</v>
      </c>
      <c r="C138" t="s">
        <v>4</v>
      </c>
      <c r="D138">
        <v>1.2</v>
      </c>
    </row>
    <row r="139" spans="1:6" x14ac:dyDescent="0.25">
      <c r="A139" s="75"/>
      <c r="B139" s="7" t="s">
        <v>994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5"/>
      <c r="B140" s="7" t="s">
        <v>995</v>
      </c>
      <c r="C140" s="7" t="s">
        <v>72</v>
      </c>
      <c r="D140" s="7">
        <v>200</v>
      </c>
      <c r="E140" t="s">
        <v>22</v>
      </c>
    </row>
    <row r="141" spans="1:6" x14ac:dyDescent="0.25">
      <c r="A141" s="75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5"/>
      <c r="B142" t="s">
        <v>987</v>
      </c>
      <c r="C142" t="s">
        <v>988</v>
      </c>
      <c r="D142">
        <f>8/D138</f>
        <v>6.666666666666667</v>
      </c>
      <c r="E142" t="s">
        <v>20</v>
      </c>
    </row>
    <row r="143" spans="1:6" x14ac:dyDescent="0.25">
      <c r="A143" s="75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5"/>
      <c r="B144" s="7" t="s">
        <v>1017</v>
      </c>
      <c r="C144" s="7" t="s">
        <v>1018</v>
      </c>
      <c r="D144" s="9">
        <f>600/(D138*2)</f>
        <v>250</v>
      </c>
      <c r="E144" s="7" t="s">
        <v>21</v>
      </c>
    </row>
    <row r="145" spans="1:5" x14ac:dyDescent="0.25">
      <c r="A145" s="75"/>
      <c r="B145" t="s">
        <v>56</v>
      </c>
      <c r="C145" s="7" t="s">
        <v>57</v>
      </c>
      <c r="D145" s="52">
        <v>0.38</v>
      </c>
      <c r="E145" t="s">
        <v>985</v>
      </c>
    </row>
    <row r="146" spans="1:5" x14ac:dyDescent="0.25">
      <c r="A146" s="75"/>
      <c r="B146" t="s">
        <v>55</v>
      </c>
      <c r="D146" s="52">
        <v>6.9999999999999999E-4</v>
      </c>
      <c r="E146" t="s">
        <v>207</v>
      </c>
    </row>
    <row r="147" spans="1:5" x14ac:dyDescent="0.25">
      <c r="A147" s="75"/>
      <c r="B147" t="s">
        <v>49</v>
      </c>
      <c r="C147" t="s">
        <v>50</v>
      </c>
      <c r="D147" s="52">
        <f>(1000000000)*K118</f>
        <v>552.77777777777771</v>
      </c>
      <c r="E147" t="s">
        <v>986</v>
      </c>
    </row>
    <row r="148" spans="1:5" x14ac:dyDescent="0.25">
      <c r="A148" s="75"/>
      <c r="C148" t="s">
        <v>36</v>
      </c>
      <c r="D148" s="52">
        <v>0.9</v>
      </c>
    </row>
    <row r="149" spans="1:5" x14ac:dyDescent="0.25">
      <c r="A149" s="75"/>
      <c r="B149" t="s">
        <v>137</v>
      </c>
      <c r="C149" s="57" t="s">
        <v>1019</v>
      </c>
      <c r="D149" s="52">
        <v>0.5</v>
      </c>
    </row>
    <row r="150" spans="1:5" x14ac:dyDescent="0.25">
      <c r="A150" s="75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5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5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5"/>
      <c r="B153" t="s">
        <v>62</v>
      </c>
      <c r="D153">
        <f>D152/D157</f>
        <v>6.666666666666667</v>
      </c>
    </row>
    <row r="154" spans="1:5" x14ac:dyDescent="0.25">
      <c r="A154" s="75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5"/>
      <c r="B155" t="s">
        <v>53</v>
      </c>
      <c r="C155" t="s">
        <v>54</v>
      </c>
      <c r="D155" s="27">
        <f>(D34 * D149) / (D154 * D146 * D141)</f>
        <v>1.9040513955925233E-2</v>
      </c>
      <c r="E155" t="s">
        <v>985</v>
      </c>
    </row>
    <row r="156" spans="1:5" x14ac:dyDescent="0.25">
      <c r="A156" s="75"/>
      <c r="C156" t="s">
        <v>58</v>
      </c>
      <c r="D156" s="27" t="b">
        <f>D155&gt;D145</f>
        <v>0</v>
      </c>
    </row>
    <row r="157" spans="1:5" x14ac:dyDescent="0.25">
      <c r="A157" s="75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5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5"/>
    </row>
    <row r="160" spans="1:5" x14ac:dyDescent="0.25">
      <c r="A160" s="75"/>
      <c r="C160" t="s">
        <v>63</v>
      </c>
      <c r="D160" s="27" t="b">
        <f>D142&lt;=D142</f>
        <v>1</v>
      </c>
    </row>
    <row r="161" spans="1:5" x14ac:dyDescent="0.25">
      <c r="A161" s="75"/>
      <c r="B161" s="58" t="s">
        <v>989</v>
      </c>
      <c r="C161" s="58" t="s">
        <v>993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5"/>
      <c r="B162" t="s">
        <v>990</v>
      </c>
      <c r="C162" t="s">
        <v>991</v>
      </c>
      <c r="D162" s="27">
        <f>D151*POWER(D157,2)</f>
        <v>5.6249999999999996E-4</v>
      </c>
    </row>
    <row r="163" spans="1:5" x14ac:dyDescent="0.25">
      <c r="A163" s="75"/>
      <c r="B163" t="s">
        <v>791</v>
      </c>
      <c r="C163" t="s">
        <v>992</v>
      </c>
      <c r="D163" s="52">
        <f>D162</f>
        <v>5.6249999999999996E-4</v>
      </c>
      <c r="E163" t="s">
        <v>154</v>
      </c>
    </row>
    <row r="164" spans="1:5" x14ac:dyDescent="0.25">
      <c r="A164" s="75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5" t="s">
        <v>1006</v>
      </c>
      <c r="B167" t="s">
        <v>62</v>
      </c>
      <c r="D167" s="35">
        <f>D117</f>
        <v>8.3333333333333343E-2</v>
      </c>
    </row>
    <row r="168" spans="1:5" x14ac:dyDescent="0.25">
      <c r="A168" s="75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5"/>
      <c r="B169" t="s">
        <v>1002</v>
      </c>
      <c r="C169" t="s">
        <v>170</v>
      </c>
      <c r="D169" s="52">
        <v>6</v>
      </c>
    </row>
    <row r="170" spans="1:5" x14ac:dyDescent="0.25">
      <c r="A170" s="75"/>
      <c r="B170" t="s">
        <v>1003</v>
      </c>
      <c r="C170" t="s">
        <v>218</v>
      </c>
      <c r="D170" s="27">
        <f>D168/D169</f>
        <v>425.32872300500156</v>
      </c>
    </row>
    <row r="171" spans="1:5" x14ac:dyDescent="0.25">
      <c r="A171" s="75"/>
      <c r="C171" t="s">
        <v>181</v>
      </c>
      <c r="D171" s="52">
        <v>33</v>
      </c>
      <c r="E171" t="s">
        <v>133</v>
      </c>
    </row>
    <row r="172" spans="1:5" x14ac:dyDescent="0.25">
      <c r="A172" s="75"/>
      <c r="C172" t="s">
        <v>179</v>
      </c>
      <c r="D172" s="52">
        <v>74</v>
      </c>
      <c r="E172" t="s">
        <v>133</v>
      </c>
    </row>
    <row r="173" spans="1:5" x14ac:dyDescent="0.25">
      <c r="A173" s="75"/>
      <c r="C173" t="s">
        <v>178</v>
      </c>
      <c r="D173" s="52">
        <v>4</v>
      </c>
    </row>
    <row r="174" spans="1:5" x14ac:dyDescent="0.25">
      <c r="A174" s="75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5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5"/>
      <c r="C176" t="s">
        <v>174</v>
      </c>
      <c r="D176" s="52">
        <v>0.25</v>
      </c>
      <c r="E176" t="s">
        <v>133</v>
      </c>
    </row>
    <row r="177" spans="1:5" x14ac:dyDescent="0.25">
      <c r="A177" s="75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5"/>
      <c r="C178" t="s">
        <v>175</v>
      </c>
      <c r="D178" s="52">
        <f>0.1</f>
        <v>0.1</v>
      </c>
      <c r="E178" t="s">
        <v>133</v>
      </c>
    </row>
    <row r="179" spans="1:5" x14ac:dyDescent="0.25">
      <c r="A179" s="75"/>
      <c r="C179" t="s">
        <v>176</v>
      </c>
      <c r="D179" s="27">
        <f>D176*(1+D178)</f>
        <v>0.27500000000000002</v>
      </c>
    </row>
    <row r="180" spans="1:5" x14ac:dyDescent="0.25">
      <c r="A180" s="75"/>
      <c r="C180" t="s">
        <v>171</v>
      </c>
      <c r="D180" s="27">
        <f>D168/D169</f>
        <v>425.32872300500156</v>
      </c>
    </row>
    <row r="181" spans="1:5" x14ac:dyDescent="0.25">
      <c r="A181" s="75"/>
      <c r="C181" t="s">
        <v>177</v>
      </c>
      <c r="D181" s="27">
        <f>D175/D179</f>
        <v>40</v>
      </c>
    </row>
    <row r="182" spans="1:5" x14ac:dyDescent="0.25">
      <c r="A182" s="75"/>
      <c r="C182" t="s">
        <v>189</v>
      </c>
      <c r="D182" s="27">
        <f>D180/D181</f>
        <v>10.63321807512504</v>
      </c>
    </row>
    <row r="183" spans="1:5" x14ac:dyDescent="0.25">
      <c r="A183" s="75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5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5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5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5"/>
      <c r="C187" t="s">
        <v>184</v>
      </c>
      <c r="D187" s="27">
        <f>PI()*POWER(D186, 2)*D185</f>
        <v>1.4033190586624595E-5</v>
      </c>
    </row>
    <row r="188" spans="1:5" x14ac:dyDescent="0.25">
      <c r="A188" s="75"/>
      <c r="C188" t="s">
        <v>185</v>
      </c>
      <c r="D188" s="52">
        <v>8960</v>
      </c>
      <c r="E188" t="s">
        <v>186</v>
      </c>
    </row>
    <row r="189" spans="1:5" x14ac:dyDescent="0.25">
      <c r="A189" s="75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5"/>
      <c r="C190" t="s">
        <v>216</v>
      </c>
      <c r="D190" s="27">
        <f>(D177^2)*PI()</f>
        <v>4.9087385212340514E-8</v>
      </c>
    </row>
    <row r="191" spans="1:5" x14ac:dyDescent="0.25">
      <c r="A191" s="75"/>
      <c r="C191" t="s">
        <v>195</v>
      </c>
      <c r="D191" s="54">
        <v>1.6800000000000002E-8</v>
      </c>
      <c r="E191" t="s">
        <v>996</v>
      </c>
    </row>
    <row r="192" spans="1:5" ht="15.75" x14ac:dyDescent="0.25">
      <c r="A192" s="75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5"/>
      <c r="B193" t="s">
        <v>1004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5" t="s">
        <v>1005</v>
      </c>
      <c r="C196" t="s">
        <v>193</v>
      </c>
      <c r="D196" s="52">
        <v>2</v>
      </c>
      <c r="E196" t="s">
        <v>199</v>
      </c>
    </row>
    <row r="197" spans="1:6" x14ac:dyDescent="0.25">
      <c r="A197" s="75"/>
      <c r="C197" t="s">
        <v>192</v>
      </c>
      <c r="D197" s="52">
        <v>21</v>
      </c>
      <c r="E197" t="s">
        <v>133</v>
      </c>
    </row>
    <row r="198" spans="1:6" x14ac:dyDescent="0.25">
      <c r="A198" s="75"/>
      <c r="C198" t="s">
        <v>197</v>
      </c>
      <c r="D198" s="52">
        <v>0.05</v>
      </c>
      <c r="E198" t="s">
        <v>206</v>
      </c>
    </row>
    <row r="199" spans="1:6" x14ac:dyDescent="0.25">
      <c r="A199" s="75"/>
      <c r="B199" t="s">
        <v>1000</v>
      </c>
      <c r="C199" t="s">
        <v>999</v>
      </c>
      <c r="D199" s="35">
        <f>D118</f>
        <v>9.4103979964856599</v>
      </c>
    </row>
    <row r="200" spans="1:6" x14ac:dyDescent="0.25">
      <c r="A200" s="75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5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5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5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5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5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5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5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5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5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5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5"/>
      <c r="C211" t="s">
        <v>195</v>
      </c>
      <c r="D211" s="51">
        <v>1.6800000000000002E-8</v>
      </c>
      <c r="E211" t="s">
        <v>996</v>
      </c>
    </row>
    <row r="212" spans="1:5" x14ac:dyDescent="0.25">
      <c r="A212" s="75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5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5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5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5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5"/>
      <c r="C217" t="s">
        <v>1001</v>
      </c>
      <c r="D217" s="51">
        <f>POWER(D201/POWER(3, 0.5), 2)*D214</f>
        <v>1.476686901430504</v>
      </c>
      <c r="E217" t="s">
        <v>22</v>
      </c>
    </row>
    <row r="218" spans="1:5" x14ac:dyDescent="0.25">
      <c r="A218" s="75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5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5"/>
      <c r="C220" t="s">
        <v>215</v>
      </c>
      <c r="D220" s="55">
        <f>D217/D213</f>
        <v>189.2785496906501</v>
      </c>
      <c r="E220" t="s">
        <v>998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997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79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79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79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79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79"/>
      <c r="B233" s="61" t="s">
        <v>511</v>
      </c>
      <c r="C233" s="61" t="s">
        <v>1007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79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79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79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79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79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79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79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79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79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79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79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79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79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79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79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79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79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79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79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79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79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79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79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79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79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79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79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79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79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79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79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79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79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79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79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79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79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79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79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79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79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79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79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79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79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79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79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79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79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79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79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6" t="s">
        <v>751</v>
      </c>
    </row>
    <row r="287" spans="1:14" x14ac:dyDescent="0.25">
      <c r="A287" s="76"/>
      <c r="B287" t="s">
        <v>556</v>
      </c>
      <c r="C287" t="s">
        <v>557</v>
      </c>
    </row>
    <row r="288" spans="1:14" x14ac:dyDescent="0.25">
      <c r="A288" s="76"/>
    </row>
    <row r="289" spans="1:12" x14ac:dyDescent="0.25">
      <c r="A289" s="76"/>
      <c r="B289" t="s">
        <v>512</v>
      </c>
      <c r="D289">
        <v>2.5</v>
      </c>
    </row>
    <row r="290" spans="1:12" x14ac:dyDescent="0.25">
      <c r="A290" s="76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6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6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6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6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6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6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6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6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6"/>
      <c r="C299" s="31"/>
    </row>
    <row r="300" spans="1:12" x14ac:dyDescent="0.25">
      <c r="A300" s="76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6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6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6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6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6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6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6"/>
      <c r="B307" t="s">
        <v>566</v>
      </c>
      <c r="D307">
        <v>8.4999999999999995E-4</v>
      </c>
    </row>
    <row r="308" spans="1:13" x14ac:dyDescent="0.25">
      <c r="A308" s="76"/>
      <c r="B308" t="s">
        <v>284</v>
      </c>
      <c r="D308">
        <f>POWER(D292, 2)*D290/2</f>
        <v>2.5000000000000001E-3</v>
      </c>
    </row>
    <row r="309" spans="1:13" x14ac:dyDescent="0.25">
      <c r="A309" s="76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6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6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6"/>
      <c r="B312" t="s">
        <v>574</v>
      </c>
      <c r="D312">
        <f>POWER(2*D308/D310, 0.5)</f>
        <v>29.052405428187488</v>
      </c>
    </row>
    <row r="313" spans="1:13" x14ac:dyDescent="0.25">
      <c r="A313" s="76"/>
      <c r="B313" t="s">
        <v>575</v>
      </c>
      <c r="D313">
        <f>D312</f>
        <v>29.052405428187488</v>
      </c>
    </row>
    <row r="314" spans="1:13" x14ac:dyDescent="0.25">
      <c r="A314" s="76"/>
      <c r="B314" t="s">
        <v>573</v>
      </c>
      <c r="D314" s="1">
        <f>SQRT(D308*2/D302)</f>
        <v>61.545745489666373</v>
      </c>
    </row>
    <row r="315" spans="1:13" x14ac:dyDescent="0.25">
      <c r="A315" s="76"/>
      <c r="B315" t="s">
        <v>576</v>
      </c>
      <c r="D315" s="1">
        <f>D314+D7</f>
        <v>105.64574548966638</v>
      </c>
    </row>
    <row r="316" spans="1:13" x14ac:dyDescent="0.25">
      <c r="A316" s="76"/>
      <c r="B316" t="s">
        <v>577</v>
      </c>
      <c r="D316" s="1">
        <f>D314</f>
        <v>61.545745489666373</v>
      </c>
    </row>
    <row r="317" spans="1:13" x14ac:dyDescent="0.25">
      <c r="A317" s="76"/>
      <c r="B317" t="s">
        <v>580</v>
      </c>
      <c r="D317">
        <f>D289*D313</f>
        <v>72.631013570468724</v>
      </c>
    </row>
    <row r="318" spans="1:13" x14ac:dyDescent="0.25">
      <c r="A318" s="76"/>
      <c r="B318" t="s">
        <v>578</v>
      </c>
      <c r="D318">
        <f>D289*D313</f>
        <v>72.631013570468724</v>
      </c>
    </row>
    <row r="319" spans="1:13" x14ac:dyDescent="0.25">
      <c r="A319" s="76"/>
      <c r="B319" t="s">
        <v>578</v>
      </c>
      <c r="D319">
        <f>D289*D313</f>
        <v>72.631013570468724</v>
      </c>
    </row>
    <row r="320" spans="1:13" x14ac:dyDescent="0.25">
      <c r="A320" s="76"/>
      <c r="B320" t="s">
        <v>582</v>
      </c>
      <c r="D320" s="1">
        <f>D289*D315</f>
        <v>264.11436372416597</v>
      </c>
    </row>
    <row r="321" spans="1:5" x14ac:dyDescent="0.25">
      <c r="A321" s="76"/>
      <c r="B321" t="s">
        <v>581</v>
      </c>
      <c r="D321" s="1">
        <f>D289*D316</f>
        <v>153.86436372416594</v>
      </c>
    </row>
    <row r="322" spans="1:5" x14ac:dyDescent="0.25">
      <c r="A322" s="76"/>
      <c r="B322" t="s">
        <v>579</v>
      </c>
      <c r="D322" s="1">
        <f>D289*D314</f>
        <v>153.86436372416594</v>
      </c>
    </row>
    <row r="323" spans="1:5" x14ac:dyDescent="0.25">
      <c r="A323" s="76"/>
      <c r="B323" t="s">
        <v>603</v>
      </c>
      <c r="D323" s="1">
        <v>0.86</v>
      </c>
    </row>
    <row r="324" spans="1:5" x14ac:dyDescent="0.25">
      <c r="A324" s="76"/>
      <c r="B324" t="s">
        <v>604</v>
      </c>
      <c r="D324" s="1">
        <f>0.86</f>
        <v>0.86</v>
      </c>
    </row>
    <row r="325" spans="1:5" x14ac:dyDescent="0.25">
      <c r="A325" s="76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6"/>
      <c r="B326" t="s">
        <v>602</v>
      </c>
      <c r="C326" t="s">
        <v>605</v>
      </c>
      <c r="D326" s="1">
        <f>D325</f>
        <v>10</v>
      </c>
    </row>
    <row r="327" spans="1:5" x14ac:dyDescent="0.25">
      <c r="A327" s="76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6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6"/>
      <c r="C329" s="31"/>
    </row>
    <row r="330" spans="1:5" x14ac:dyDescent="0.25">
      <c r="A330" s="76"/>
      <c r="C330" s="31"/>
    </row>
    <row r="331" spans="1:5" x14ac:dyDescent="0.25">
      <c r="A331" s="76"/>
      <c r="C331" s="31"/>
    </row>
    <row r="332" spans="1:5" x14ac:dyDescent="0.25">
      <c r="A332" s="76"/>
      <c r="C332" s="31"/>
    </row>
    <row r="333" spans="1:5" x14ac:dyDescent="0.25">
      <c r="A333" s="76"/>
      <c r="C333" s="31"/>
    </row>
    <row r="334" spans="1:5" x14ac:dyDescent="0.25">
      <c r="A334" s="76"/>
      <c r="C334" s="31"/>
    </row>
    <row r="335" spans="1:5" x14ac:dyDescent="0.25">
      <c r="A335" s="76"/>
      <c r="C335" s="31"/>
    </row>
    <row r="336" spans="1:5" x14ac:dyDescent="0.25">
      <c r="A336" s="76"/>
      <c r="C336" s="31"/>
    </row>
    <row r="337" spans="1:4" x14ac:dyDescent="0.25">
      <c r="A337" s="76"/>
    </row>
    <row r="338" spans="1:4" x14ac:dyDescent="0.25">
      <c r="A338" s="33"/>
    </row>
    <row r="339" spans="1:4" x14ac:dyDescent="0.25">
      <c r="A339" s="76" t="s">
        <v>588</v>
      </c>
      <c r="C339" t="s">
        <v>254</v>
      </c>
      <c r="D339">
        <f>D281/D276</f>
        <v>3.9463299131807418E-6</v>
      </c>
    </row>
    <row r="340" spans="1:4" x14ac:dyDescent="0.25">
      <c r="A340" s="76"/>
      <c r="C340" t="s">
        <v>255</v>
      </c>
      <c r="D340">
        <f>(D281-(D273*D271))*(D275/(D275+D273))</f>
        <v>2.0126282557221785E-2</v>
      </c>
    </row>
    <row r="341" spans="1:4" x14ac:dyDescent="0.25">
      <c r="A341" s="76"/>
      <c r="C341" t="s">
        <v>256</v>
      </c>
      <c r="D341">
        <f>D281/D270</f>
        <v>2.3351085620647277E-2</v>
      </c>
    </row>
    <row r="342" spans="1:4" x14ac:dyDescent="0.25">
      <c r="A342" s="76"/>
      <c r="C342" t="s">
        <v>257</v>
      </c>
      <c r="D342">
        <f>ABS(D341-D340)/D341</f>
        <v>0.13810077680388819</v>
      </c>
    </row>
    <row r="343" spans="1:4" x14ac:dyDescent="0.25">
      <c r="A343" s="76"/>
      <c r="C343" t="s">
        <v>258</v>
      </c>
      <c r="D343">
        <f>(D5-(D273*D271))*(D275/(D275+D273))</f>
        <v>0.46827150749802693</v>
      </c>
    </row>
    <row r="344" spans="1:4" x14ac:dyDescent="0.25">
      <c r="A344" s="76"/>
      <c r="C344" t="s">
        <v>259</v>
      </c>
      <c r="D344">
        <f>D5/D270</f>
        <v>0.41331421548545688</v>
      </c>
    </row>
    <row r="345" spans="1:4" x14ac:dyDescent="0.25">
      <c r="A345" s="76"/>
      <c r="C345" t="s">
        <v>260</v>
      </c>
      <c r="D345">
        <f>ABS(D344-D343)/D344</f>
        <v>0.13296734047247841</v>
      </c>
    </row>
    <row r="346" spans="1:4" x14ac:dyDescent="0.25">
      <c r="A346" s="76"/>
      <c r="C346" t="s">
        <v>261</v>
      </c>
      <c r="D346">
        <f>(D344-D343)/D284</f>
        <v>-0.79643147249380875</v>
      </c>
    </row>
    <row r="347" spans="1:4" x14ac:dyDescent="0.25">
      <c r="A347" s="76"/>
      <c r="B347" t="s">
        <v>262</v>
      </c>
      <c r="C347" t="s">
        <v>263</v>
      </c>
    </row>
    <row r="348" spans="1:4" x14ac:dyDescent="0.25">
      <c r="A348" s="76"/>
      <c r="B348" t="s">
        <v>264</v>
      </c>
      <c r="D348">
        <f>(D273*D275)/(D273+D275)</f>
        <v>6708.7608524072612</v>
      </c>
    </row>
    <row r="349" spans="1:4" x14ac:dyDescent="0.25">
      <c r="A349" s="76"/>
      <c r="C349" t="s">
        <v>265</v>
      </c>
      <c r="D349">
        <f>0.00000000001</f>
        <v>9.9999999999999994E-12</v>
      </c>
    </row>
    <row r="350" spans="1:4" x14ac:dyDescent="0.25">
      <c r="A350" s="76"/>
    </row>
    <row r="351" spans="1:4" x14ac:dyDescent="0.25">
      <c r="A351" s="76"/>
      <c r="B351" t="s">
        <v>266</v>
      </c>
      <c r="D351">
        <f>3.15/(0.000001)</f>
        <v>3150000</v>
      </c>
    </row>
    <row r="352" spans="1:4" x14ac:dyDescent="0.25">
      <c r="A352" s="76"/>
      <c r="B352" t="s">
        <v>329</v>
      </c>
      <c r="D352">
        <f>D349/((1/D348)+(1/D351))</f>
        <v>6.6945031316023044E-8</v>
      </c>
    </row>
    <row r="353" spans="1:4" x14ac:dyDescent="0.25">
      <c r="A353" s="76"/>
      <c r="B353" t="s">
        <v>274</v>
      </c>
      <c r="D353">
        <f>D268/0.012</f>
        <v>237.5</v>
      </c>
    </row>
    <row r="354" spans="1:4" x14ac:dyDescent="0.25">
      <c r="A354" s="76"/>
      <c r="B354" t="s">
        <v>273</v>
      </c>
      <c r="D354" s="24">
        <v>1000</v>
      </c>
    </row>
    <row r="355" spans="1:4" x14ac:dyDescent="0.25">
      <c r="A355" s="76"/>
    </row>
    <row r="356" spans="1:4" x14ac:dyDescent="0.25">
      <c r="A356" s="76"/>
      <c r="B356" t="s">
        <v>271</v>
      </c>
      <c r="D356">
        <f>D2/D5</f>
        <v>5.6497175141242932</v>
      </c>
    </row>
    <row r="357" spans="1:4" x14ac:dyDescent="0.25">
      <c r="A357" s="76"/>
      <c r="B357" t="s">
        <v>270</v>
      </c>
      <c r="C357" t="s">
        <v>269</v>
      </c>
      <c r="D357">
        <v>0.05</v>
      </c>
    </row>
    <row r="358" spans="1:4" x14ac:dyDescent="0.25">
      <c r="A358" s="76"/>
      <c r="C358" t="s">
        <v>268</v>
      </c>
      <c r="D358">
        <f>D356/(D3*D357)</f>
        <v>7.0621468926553663E-3</v>
      </c>
    </row>
    <row r="359" spans="1:4" x14ac:dyDescent="0.25">
      <c r="A359" s="76"/>
      <c r="C359" t="s">
        <v>272</v>
      </c>
      <c r="D359">
        <f>POWER(D7, 2)*D358/2</f>
        <v>6.8672669491525422</v>
      </c>
    </row>
    <row r="360" spans="1:4" x14ac:dyDescent="0.25">
      <c r="A360" s="76"/>
    </row>
    <row r="361" spans="1:4" x14ac:dyDescent="0.25">
      <c r="A361" s="49"/>
    </row>
    <row r="362" spans="1:4" x14ac:dyDescent="0.25">
      <c r="A362" s="75" t="s">
        <v>587</v>
      </c>
      <c r="B362" t="s">
        <v>592</v>
      </c>
      <c r="D362" s="1">
        <f>MAX(D425, 200)</f>
        <v>200</v>
      </c>
    </row>
    <row r="363" spans="1:4" x14ac:dyDescent="0.25">
      <c r="A363" s="75"/>
      <c r="B363" t="s">
        <v>589</v>
      </c>
      <c r="D363">
        <v>500000</v>
      </c>
    </row>
    <row r="364" spans="1:4" x14ac:dyDescent="0.25">
      <c r="A364" s="75"/>
      <c r="B364" t="s">
        <v>590</v>
      </c>
      <c r="D364">
        <v>6800</v>
      </c>
    </row>
    <row r="365" spans="1:4" x14ac:dyDescent="0.25">
      <c r="A365" s="75"/>
      <c r="B365" t="s">
        <v>591</v>
      </c>
      <c r="D365">
        <f>D363+D364</f>
        <v>506800</v>
      </c>
    </row>
    <row r="366" spans="1:4" x14ac:dyDescent="0.25">
      <c r="A366" s="75"/>
      <c r="B366" t="s">
        <v>595</v>
      </c>
      <c r="D366" s="1">
        <f>D362/D365</f>
        <v>3.9463299131807419E-4</v>
      </c>
    </row>
    <row r="367" spans="1:4" x14ac:dyDescent="0.25">
      <c r="A367" s="75"/>
      <c r="B367" t="s">
        <v>593</v>
      </c>
      <c r="D367" s="1">
        <f>POWER(D366, 2)*D363</f>
        <v>7.7867598918325606E-2</v>
      </c>
    </row>
    <row r="368" spans="1:4" x14ac:dyDescent="0.25">
      <c r="A368" s="75"/>
      <c r="B368" t="s">
        <v>594</v>
      </c>
      <c r="D368" s="1">
        <f>POWER(D366, 2)*D364</f>
        <v>1.0589993452892283E-3</v>
      </c>
    </row>
    <row r="369" spans="1:5" x14ac:dyDescent="0.25">
      <c r="A369" s="75"/>
      <c r="B369" t="s">
        <v>596</v>
      </c>
      <c r="D369" s="1">
        <f>D367+D368</f>
        <v>7.8926598263614839E-2</v>
      </c>
    </row>
    <row r="370" spans="1:5" x14ac:dyDescent="0.25">
      <c r="A370" s="75"/>
      <c r="C370" t="s">
        <v>597</v>
      </c>
      <c r="D370">
        <v>2.7</v>
      </c>
    </row>
    <row r="371" spans="1:5" x14ac:dyDescent="0.25">
      <c r="A371" s="75"/>
      <c r="C371" t="s">
        <v>598</v>
      </c>
      <c r="D371" s="1">
        <f>D362/D370</f>
        <v>74.074074074074076</v>
      </c>
    </row>
    <row r="372" spans="1:5" x14ac:dyDescent="0.25">
      <c r="A372" s="75"/>
      <c r="C372" t="s">
        <v>599</v>
      </c>
      <c r="D372" s="1">
        <f>D365/D364</f>
        <v>74.529411764705884</v>
      </c>
    </row>
    <row r="373" spans="1:5" x14ac:dyDescent="0.25">
      <c r="A373" s="75"/>
      <c r="C373" t="s">
        <v>600</v>
      </c>
      <c r="D373" s="1" t="b">
        <f>MAX(D371, D372)/MIN(D371,D372)&lt;1.04</f>
        <v>1</v>
      </c>
    </row>
    <row r="374" spans="1:5" x14ac:dyDescent="0.25">
      <c r="A374" s="75"/>
    </row>
    <row r="375" spans="1:5" x14ac:dyDescent="0.25">
      <c r="A375" s="50"/>
    </row>
    <row r="376" spans="1:5" x14ac:dyDescent="0.25">
      <c r="A376" s="75" t="s">
        <v>564</v>
      </c>
      <c r="C376" t="s">
        <v>275</v>
      </c>
    </row>
    <row r="377" spans="1:5" x14ac:dyDescent="0.25">
      <c r="A377" s="75"/>
      <c r="B377" t="s">
        <v>38</v>
      </c>
      <c r="D377">
        <f>D7</f>
        <v>44.1</v>
      </c>
      <c r="E377" t="s">
        <v>21</v>
      </c>
    </row>
    <row r="378" spans="1:5" x14ac:dyDescent="0.25">
      <c r="A378" s="75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5"/>
      <c r="B379" t="s">
        <v>1041</v>
      </c>
      <c r="D379" s="52">
        <v>2000</v>
      </c>
      <c r="E379" s="8" t="s">
        <v>24</v>
      </c>
    </row>
    <row r="380" spans="1:5" x14ac:dyDescent="0.25">
      <c r="A380" s="75"/>
      <c r="C380" t="s">
        <v>1040</v>
      </c>
      <c r="D380" s="27">
        <f>D377/D382</f>
        <v>16.333333333333332</v>
      </c>
    </row>
    <row r="381" spans="1:5" x14ac:dyDescent="0.25">
      <c r="A381" s="75"/>
      <c r="B381" t="s">
        <v>1042</v>
      </c>
      <c r="D381" s="27">
        <f>D380*D379</f>
        <v>32666.666666666664</v>
      </c>
      <c r="E381" s="8" t="s">
        <v>24</v>
      </c>
    </row>
    <row r="382" spans="1:5" x14ac:dyDescent="0.25">
      <c r="A382" s="75"/>
      <c r="C382" t="s">
        <v>276</v>
      </c>
      <c r="D382" s="52">
        <v>2.7</v>
      </c>
      <c r="E382" t="s">
        <v>21</v>
      </c>
    </row>
    <row r="383" spans="1:5" x14ac:dyDescent="0.25">
      <c r="A383" s="75"/>
      <c r="B383" t="s">
        <v>1043</v>
      </c>
      <c r="D383" s="52">
        <v>33000</v>
      </c>
      <c r="E383" s="8" t="s">
        <v>24</v>
      </c>
    </row>
    <row r="384" spans="1:5" x14ac:dyDescent="0.25">
      <c r="A384" s="75"/>
      <c r="C384" t="s">
        <v>1052</v>
      </c>
      <c r="D384" s="52">
        <v>1</v>
      </c>
      <c r="E384" s="8" t="s">
        <v>162</v>
      </c>
    </row>
    <row r="385" spans="1:5" x14ac:dyDescent="0.25">
      <c r="A385" s="75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5"/>
      <c r="B386" t="s">
        <v>1050</v>
      </c>
      <c r="D386" s="27">
        <f>POWER(D385, 2)*D383</f>
        <v>5.2390800000000001E-2</v>
      </c>
      <c r="E386" t="s">
        <v>22</v>
      </c>
    </row>
    <row r="387" spans="1:5" x14ac:dyDescent="0.25">
      <c r="A387" s="75"/>
      <c r="B387" t="s">
        <v>1051</v>
      </c>
      <c r="D387" s="27">
        <f>POWER(D385, 2)*D379</f>
        <v>3.1752E-3</v>
      </c>
      <c r="E387" t="s">
        <v>22</v>
      </c>
    </row>
    <row r="388" spans="1:5" x14ac:dyDescent="0.25">
      <c r="A388" s="75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5"/>
      <c r="B389" t="s">
        <v>324</v>
      </c>
      <c r="D389" s="54">
        <v>4.6999999999999999E-6</v>
      </c>
      <c r="E389" s="8" t="s">
        <v>24</v>
      </c>
    </row>
    <row r="390" spans="1:5" x14ac:dyDescent="0.25">
      <c r="A390" s="75"/>
      <c r="B390" t="s">
        <v>1044</v>
      </c>
      <c r="D390" s="27">
        <f>(D379*D383)/(D379+D383)</f>
        <v>1885.7142857142858</v>
      </c>
      <c r="E390" s="8" t="s">
        <v>24</v>
      </c>
    </row>
    <row r="391" spans="1:5" x14ac:dyDescent="0.25">
      <c r="A391" s="75"/>
      <c r="B391" t="s">
        <v>1063</v>
      </c>
      <c r="C391" t="s">
        <v>1064</v>
      </c>
      <c r="D391" s="51">
        <f>D389*D390</f>
        <v>8.8628571428571428E-3</v>
      </c>
      <c r="E391" s="8" t="s">
        <v>323</v>
      </c>
    </row>
    <row r="392" spans="1:5" x14ac:dyDescent="0.25">
      <c r="A392" s="75"/>
      <c r="B392" t="s">
        <v>1065</v>
      </c>
      <c r="D392" s="51">
        <f>D391*LN(100)</f>
        <v>4.0814965476957316E-2</v>
      </c>
      <c r="E392" s="8" t="s">
        <v>323</v>
      </c>
    </row>
    <row r="393" spans="1:5" x14ac:dyDescent="0.25">
      <c r="A393" s="75"/>
      <c r="B393" t="s">
        <v>1039</v>
      </c>
      <c r="D393" s="54">
        <v>3.9999999999999998E-6</v>
      </c>
      <c r="E393" s="8" t="s">
        <v>20</v>
      </c>
    </row>
    <row r="394" spans="1:5" x14ac:dyDescent="0.25">
      <c r="A394" s="75"/>
      <c r="C394" t="s">
        <v>1045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5"/>
      <c r="C395" t="s">
        <v>1046</v>
      </c>
      <c r="D395" s="27">
        <f>D377/(1+(D383/D379))</f>
        <v>2.52</v>
      </c>
      <c r="E395" s="8" t="s">
        <v>21</v>
      </c>
    </row>
    <row r="396" spans="1:5" x14ac:dyDescent="0.25">
      <c r="A396" s="75"/>
      <c r="C396" t="s">
        <v>1048</v>
      </c>
      <c r="D396" s="27">
        <f>D395-D394</f>
        <v>7.5428571428570734E-3</v>
      </c>
      <c r="E396" s="8" t="s">
        <v>21</v>
      </c>
    </row>
    <row r="397" spans="1:5" x14ac:dyDescent="0.25">
      <c r="A397" s="75"/>
      <c r="C397" t="s">
        <v>1047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5"/>
      <c r="B398" t="s">
        <v>1068</v>
      </c>
      <c r="C398" t="s">
        <v>1067</v>
      </c>
      <c r="D398" s="27">
        <f>D378/(1+(D383/D379))</f>
        <v>2.0228571428571431</v>
      </c>
      <c r="E398" s="8" t="s">
        <v>21</v>
      </c>
    </row>
    <row r="399" spans="1:5" x14ac:dyDescent="0.25">
      <c r="A399" s="75"/>
      <c r="B399" t="s">
        <v>1068</v>
      </c>
      <c r="C399" t="s">
        <v>1069</v>
      </c>
      <c r="D399" s="27">
        <f>D398-D397</f>
        <v>7.5428571428570734E-3</v>
      </c>
      <c r="E399" s="8" t="s">
        <v>21</v>
      </c>
    </row>
    <row r="400" spans="1:5" x14ac:dyDescent="0.25">
      <c r="A400" s="75"/>
      <c r="C400" t="s">
        <v>1049</v>
      </c>
      <c r="D400" s="27">
        <f>100*D399/D398</f>
        <v>0.3728813559321999</v>
      </c>
      <c r="E400" s="8" t="s">
        <v>162</v>
      </c>
    </row>
    <row r="401" spans="1:5" x14ac:dyDescent="0.25">
      <c r="A401" s="75"/>
      <c r="C401" t="s">
        <v>1053</v>
      </c>
      <c r="D401" s="27">
        <f>(D400/100)*D378</f>
        <v>0.13199999999999878</v>
      </c>
      <c r="E401" s="8" t="s">
        <v>21</v>
      </c>
    </row>
    <row r="402" spans="1:5" x14ac:dyDescent="0.25">
      <c r="A402" s="75"/>
      <c r="C402" t="s">
        <v>1066</v>
      </c>
      <c r="D402">
        <f>D384/100</f>
        <v>0.01</v>
      </c>
      <c r="E402" s="8"/>
    </row>
    <row r="403" spans="1:5" x14ac:dyDescent="0.25">
      <c r="A403" s="75"/>
      <c r="C403" t="s">
        <v>1055</v>
      </c>
      <c r="D403">
        <f>D383/(D379)</f>
        <v>16.5</v>
      </c>
      <c r="E403" s="8"/>
    </row>
    <row r="404" spans="1:5" x14ac:dyDescent="0.25">
      <c r="A404" s="75"/>
      <c r="C404" t="s">
        <v>1054</v>
      </c>
      <c r="D404">
        <f>D383*(1+D402)/(D379*(1-D402))</f>
        <v>16.833333333333332</v>
      </c>
      <c r="E404" s="8"/>
    </row>
    <row r="405" spans="1:5" x14ac:dyDescent="0.25">
      <c r="A405" s="75"/>
      <c r="C405" t="s">
        <v>1056</v>
      </c>
      <c r="D405">
        <f>D383*(1-D402)/(D379*(1+D402))</f>
        <v>16.173267326732674</v>
      </c>
      <c r="E405" s="8"/>
    </row>
    <row r="406" spans="1:5" x14ac:dyDescent="0.25">
      <c r="A406" s="75"/>
      <c r="C406" t="s">
        <v>1057</v>
      </c>
      <c r="D406">
        <f>(D404-D403)/D403</f>
        <v>2.0202020202020131E-2</v>
      </c>
      <c r="E406" s="8"/>
    </row>
    <row r="407" spans="1:5" x14ac:dyDescent="0.25">
      <c r="A407" s="75"/>
      <c r="C407" t="s">
        <v>1058</v>
      </c>
      <c r="D407">
        <f>(D405-D403)/D403</f>
        <v>-1.9801980198019764E-2</v>
      </c>
      <c r="E407" s="8"/>
    </row>
    <row r="408" spans="1:5" x14ac:dyDescent="0.25">
      <c r="A408" s="75"/>
      <c r="C408" t="s">
        <v>1059</v>
      </c>
      <c r="D408">
        <f>100*D406</f>
        <v>2.0202020202020132</v>
      </c>
      <c r="E408" s="8" t="s">
        <v>162</v>
      </c>
    </row>
    <row r="409" spans="1:5" x14ac:dyDescent="0.25">
      <c r="A409" s="75"/>
      <c r="C409" t="s">
        <v>1060</v>
      </c>
      <c r="D409">
        <f>D407*100</f>
        <v>-1.9801980198019764</v>
      </c>
      <c r="E409" s="8" t="s">
        <v>162</v>
      </c>
    </row>
    <row r="410" spans="1:5" x14ac:dyDescent="0.25">
      <c r="A410" s="75"/>
      <c r="C410" t="s">
        <v>1061</v>
      </c>
      <c r="D410">
        <f>MAX(ABS(D409), ABS(D408))</f>
        <v>2.0202020202020132</v>
      </c>
      <c r="E410" s="8" t="s">
        <v>162</v>
      </c>
    </row>
    <row r="411" spans="1:5" x14ac:dyDescent="0.25">
      <c r="A411" s="75"/>
      <c r="C411" t="s">
        <v>1062</v>
      </c>
      <c r="D411">
        <f>D400+D410</f>
        <v>2.393083376134213</v>
      </c>
      <c r="E411" s="8" t="s">
        <v>162</v>
      </c>
    </row>
    <row r="412" spans="1:5" x14ac:dyDescent="0.25">
      <c r="A412" s="75"/>
      <c r="E412" s="8"/>
    </row>
    <row r="413" spans="1:5" x14ac:dyDescent="0.25">
      <c r="A413" s="23"/>
      <c r="E413" s="8"/>
    </row>
    <row r="414" spans="1:5" x14ac:dyDescent="0.25">
      <c r="A414" s="75" t="s">
        <v>883</v>
      </c>
      <c r="C414" t="s">
        <v>4</v>
      </c>
      <c r="D414">
        <f>D4</f>
        <v>1.2</v>
      </c>
      <c r="E414" s="8"/>
    </row>
    <row r="415" spans="1:5" x14ac:dyDescent="0.25">
      <c r="A415" s="75"/>
      <c r="B415" t="s">
        <v>47</v>
      </c>
      <c r="D415">
        <f>D3</f>
        <v>16000</v>
      </c>
      <c r="E415" t="s">
        <v>68</v>
      </c>
    </row>
    <row r="416" spans="1:5" x14ac:dyDescent="0.25">
      <c r="A416" s="75"/>
      <c r="B416" t="s">
        <v>877</v>
      </c>
      <c r="C416" t="s">
        <v>878</v>
      </c>
      <c r="D416">
        <f>D7</f>
        <v>44.1</v>
      </c>
    </row>
    <row r="417" spans="1:5" x14ac:dyDescent="0.25">
      <c r="A417" s="75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5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5"/>
      <c r="B419" t="s">
        <v>39</v>
      </c>
      <c r="D419" s="52">
        <v>0.5</v>
      </c>
    </row>
    <row r="420" spans="1:5" x14ac:dyDescent="0.25">
      <c r="A420" s="75"/>
      <c r="B420" t="s">
        <v>288</v>
      </c>
      <c r="D420" s="52">
        <v>2.3E-2</v>
      </c>
      <c r="E420" s="8" t="s">
        <v>24</v>
      </c>
    </row>
    <row r="421" spans="1:5" x14ac:dyDescent="0.25">
      <c r="A421" s="75"/>
      <c r="B421" t="s">
        <v>907</v>
      </c>
      <c r="C421" t="s">
        <v>908</v>
      </c>
      <c r="D421" s="53">
        <f>D113</f>
        <v>4.8951562500000008E-5</v>
      </c>
      <c r="E421" s="8" t="s">
        <v>154</v>
      </c>
    </row>
    <row r="422" spans="1:5" x14ac:dyDescent="0.25">
      <c r="A422" s="75"/>
      <c r="E422" s="8"/>
    </row>
    <row r="423" spans="1:5" x14ac:dyDescent="0.25">
      <c r="A423" s="75"/>
      <c r="B423" t="s">
        <v>287</v>
      </c>
      <c r="D423" s="27">
        <f>POWER(D417,2)*D419*D420/3</f>
        <v>1.9577175566833704</v>
      </c>
    </row>
    <row r="424" spans="1:5" x14ac:dyDescent="0.25">
      <c r="A424" s="75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5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5"/>
      <c r="B426" t="s">
        <v>308</v>
      </c>
      <c r="D426" s="52">
        <v>250</v>
      </c>
      <c r="E426" t="s">
        <v>21</v>
      </c>
    </row>
    <row r="427" spans="1:5" x14ac:dyDescent="0.25">
      <c r="A427" s="75"/>
      <c r="C427" t="s">
        <v>325</v>
      </c>
      <c r="D427" s="27" t="b">
        <f>D426&gt;=D425</f>
        <v>1</v>
      </c>
    </row>
    <row r="428" spans="1:5" x14ac:dyDescent="0.25">
      <c r="A428" s="75"/>
      <c r="B428" t="s">
        <v>292</v>
      </c>
      <c r="D428" s="52"/>
      <c r="E428" t="s">
        <v>324</v>
      </c>
    </row>
    <row r="429" spans="1:5" x14ac:dyDescent="0.25">
      <c r="A429" s="75"/>
      <c r="B429" t="s">
        <v>293</v>
      </c>
      <c r="D429" s="52"/>
      <c r="E429" t="s">
        <v>324</v>
      </c>
    </row>
    <row r="430" spans="1:5" x14ac:dyDescent="0.25">
      <c r="A430" s="75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5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5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5"/>
      <c r="B433" t="s">
        <v>299</v>
      </c>
      <c r="D433" s="52">
        <v>5</v>
      </c>
      <c r="E433" s="8" t="s">
        <v>24</v>
      </c>
    </row>
    <row r="434" spans="1:6" x14ac:dyDescent="0.25">
      <c r="A434" s="75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5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5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5"/>
      <c r="C437" t="s">
        <v>300</v>
      </c>
      <c r="D437" s="27">
        <f>D432/D433</f>
        <v>2</v>
      </c>
      <c r="E437" t="s">
        <v>20</v>
      </c>
    </row>
    <row r="438" spans="1:6" x14ac:dyDescent="0.25">
      <c r="A438" s="75"/>
      <c r="C438" t="s">
        <v>302</v>
      </c>
      <c r="D438" s="52">
        <v>3</v>
      </c>
      <c r="E438" t="s">
        <v>20</v>
      </c>
    </row>
    <row r="439" spans="1:6" x14ac:dyDescent="0.25">
      <c r="A439" s="75"/>
      <c r="C439" t="s">
        <v>303</v>
      </c>
      <c r="D439" s="27">
        <f>D438/D4</f>
        <v>2.5</v>
      </c>
      <c r="E439" t="s">
        <v>20</v>
      </c>
    </row>
    <row r="440" spans="1:6" x14ac:dyDescent="0.25">
      <c r="A440" s="75"/>
      <c r="C440" t="s">
        <v>301</v>
      </c>
      <c r="D440" s="27" t="b">
        <f>D437&lt;D439</f>
        <v>1</v>
      </c>
    </row>
    <row r="441" spans="1:6" x14ac:dyDescent="0.25">
      <c r="A441" s="75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5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5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5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5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5"/>
      <c r="B446" t="s">
        <v>311</v>
      </c>
      <c r="D446" s="52">
        <v>1000</v>
      </c>
      <c r="E446" s="8" t="s">
        <v>24</v>
      </c>
    </row>
    <row r="447" spans="1:6" x14ac:dyDescent="0.25">
      <c r="A447" s="75"/>
      <c r="B447" t="s">
        <v>314</v>
      </c>
      <c r="D447" s="52">
        <v>2.5</v>
      </c>
      <c r="E447" t="s">
        <v>21</v>
      </c>
    </row>
    <row r="448" spans="1:6" x14ac:dyDescent="0.25">
      <c r="A448" s="75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5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5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5"/>
      <c r="B451" t="s">
        <v>317</v>
      </c>
      <c r="D451" s="52">
        <v>60</v>
      </c>
      <c r="E451" t="s">
        <v>20</v>
      </c>
    </row>
    <row r="452" spans="1:5" x14ac:dyDescent="0.25">
      <c r="A452" s="75"/>
      <c r="C452" t="s">
        <v>319</v>
      </c>
      <c r="D452" s="27" t="b">
        <f>D450&lt;D448</f>
        <v>1</v>
      </c>
    </row>
    <row r="453" spans="1:5" x14ac:dyDescent="0.25">
      <c r="A453" s="75"/>
      <c r="C453" t="s">
        <v>318</v>
      </c>
      <c r="D453" s="27" t="b">
        <f>D450&lt;D451</f>
        <v>1</v>
      </c>
    </row>
    <row r="454" spans="1:5" x14ac:dyDescent="0.25">
      <c r="A454" s="75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5" t="s">
        <v>975</v>
      </c>
      <c r="C456" t="s">
        <v>4</v>
      </c>
      <c r="D456">
        <f>D4</f>
        <v>1.2</v>
      </c>
      <c r="E456" s="8"/>
    </row>
    <row r="457" spans="1:5" x14ac:dyDescent="0.25">
      <c r="A457" s="75"/>
      <c r="B457" t="s">
        <v>47</v>
      </c>
      <c r="D457">
        <f>D3</f>
        <v>16000</v>
      </c>
      <c r="E457" t="s">
        <v>68</v>
      </c>
    </row>
    <row r="458" spans="1:5" x14ac:dyDescent="0.25">
      <c r="A458" s="75"/>
      <c r="B458" t="s">
        <v>877</v>
      </c>
      <c r="C458" t="s">
        <v>878</v>
      </c>
      <c r="D458">
        <f>D7</f>
        <v>44.1</v>
      </c>
    </row>
    <row r="459" spans="1:5" x14ac:dyDescent="0.25">
      <c r="A459" s="75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5"/>
      <c r="D460" s="53"/>
    </row>
    <row r="461" spans="1:5" x14ac:dyDescent="0.25">
      <c r="A461" s="75"/>
      <c r="B461" t="s">
        <v>39</v>
      </c>
      <c r="D461" s="52">
        <v>0.5</v>
      </c>
    </row>
    <row r="462" spans="1:5" x14ac:dyDescent="0.25">
      <c r="A462" s="75"/>
      <c r="B462" t="s">
        <v>288</v>
      </c>
      <c r="D462" s="52">
        <v>2.3E-2</v>
      </c>
      <c r="E462" s="8" t="s">
        <v>24</v>
      </c>
    </row>
    <row r="463" spans="1:5" x14ac:dyDescent="0.25">
      <c r="A463" s="75"/>
      <c r="B463" t="s">
        <v>907</v>
      </c>
      <c r="C463" t="s">
        <v>908</v>
      </c>
      <c r="D463" s="53">
        <f>D113</f>
        <v>4.8951562500000008E-5</v>
      </c>
      <c r="E463" s="8" t="s">
        <v>154</v>
      </c>
    </row>
    <row r="464" spans="1:5" x14ac:dyDescent="0.25">
      <c r="A464" s="75"/>
      <c r="D464" s="53"/>
      <c r="E464" s="8"/>
    </row>
    <row r="465" spans="1:6" x14ac:dyDescent="0.25">
      <c r="A465" s="75"/>
      <c r="B465" t="s">
        <v>287</v>
      </c>
      <c r="D465" s="27">
        <f>POWER(D459,2)*D461*D462/3</f>
        <v>1.9577175566833704</v>
      </c>
    </row>
    <row r="466" spans="1:6" x14ac:dyDescent="0.25">
      <c r="A466" s="75"/>
      <c r="B466" t="s">
        <v>290</v>
      </c>
      <c r="C466" t="s">
        <v>984</v>
      </c>
      <c r="D466" s="51">
        <f>D461*D459*D456</f>
        <v>13.559322033898303</v>
      </c>
    </row>
    <row r="467" spans="1:6" x14ac:dyDescent="0.25">
      <c r="A467" s="75"/>
      <c r="B467" t="s">
        <v>972</v>
      </c>
      <c r="C467" t="s">
        <v>983</v>
      </c>
      <c r="D467" s="51"/>
    </row>
    <row r="468" spans="1:6" x14ac:dyDescent="0.25">
      <c r="A468" s="75"/>
      <c r="C468" t="s">
        <v>973</v>
      </c>
      <c r="D468" s="51" t="b">
        <f>D467&gt;=D466</f>
        <v>0</v>
      </c>
    </row>
    <row r="469" spans="1:6" x14ac:dyDescent="0.25">
      <c r="A469" s="75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5"/>
      <c r="B470" t="s">
        <v>308</v>
      </c>
      <c r="D470" s="52">
        <v>250</v>
      </c>
      <c r="E470" t="s">
        <v>21</v>
      </c>
    </row>
    <row r="471" spans="1:6" x14ac:dyDescent="0.25">
      <c r="A471" s="75"/>
      <c r="C471" t="s">
        <v>325</v>
      </c>
      <c r="D471" s="27" t="b">
        <f>D470&gt;=D469</f>
        <v>1</v>
      </c>
    </row>
    <row r="472" spans="1:6" x14ac:dyDescent="0.25">
      <c r="A472" s="75"/>
      <c r="B472" t="s">
        <v>292</v>
      </c>
      <c r="D472" s="52"/>
      <c r="E472" t="s">
        <v>324</v>
      </c>
    </row>
    <row r="473" spans="1:6" x14ac:dyDescent="0.25">
      <c r="A473" s="75"/>
      <c r="B473" t="s">
        <v>293</v>
      </c>
      <c r="D473" s="52"/>
      <c r="E473" t="s">
        <v>324</v>
      </c>
    </row>
    <row r="474" spans="1:6" x14ac:dyDescent="0.25">
      <c r="A474" s="75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5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5"/>
      <c r="B476" t="s">
        <v>923</v>
      </c>
      <c r="C476" t="s">
        <v>924</v>
      </c>
      <c r="D476" s="54">
        <v>14</v>
      </c>
    </row>
    <row r="477" spans="1:6" x14ac:dyDescent="0.25">
      <c r="A477" s="75"/>
      <c r="B477" s="35" t="s">
        <v>910</v>
      </c>
      <c r="C477" t="s">
        <v>909</v>
      </c>
      <c r="D477" s="52">
        <v>0.05</v>
      </c>
      <c r="E477" t="s">
        <v>21</v>
      </c>
    </row>
    <row r="478" spans="1:6" x14ac:dyDescent="0.25">
      <c r="A478" s="75"/>
      <c r="B478" s="35" t="s">
        <v>912</v>
      </c>
      <c r="C478" t="s">
        <v>914</v>
      </c>
      <c r="D478" s="51">
        <f>D474/D477</f>
        <v>9.9999999999999995E-7</v>
      </c>
      <c r="E478" t="s">
        <v>23</v>
      </c>
    </row>
    <row r="479" spans="1:6" x14ac:dyDescent="0.25">
      <c r="A479" s="75"/>
      <c r="B479" s="35" t="s">
        <v>911</v>
      </c>
      <c r="C479" t="s">
        <v>915</v>
      </c>
      <c r="D479" s="27">
        <f>0.000001</f>
        <v>9.9999999999999995E-7</v>
      </c>
      <c r="E479" t="s">
        <v>23</v>
      </c>
      <c r="F479" s="4" t="s">
        <v>980</v>
      </c>
    </row>
    <row r="480" spans="1:6" x14ac:dyDescent="0.25">
      <c r="A480" s="75"/>
      <c r="B480" s="35" t="s">
        <v>913</v>
      </c>
      <c r="C480" t="s">
        <v>916</v>
      </c>
      <c r="D480" s="51">
        <f>D474/D479</f>
        <v>0.05</v>
      </c>
      <c r="E480" t="s">
        <v>21</v>
      </c>
    </row>
    <row r="481" spans="1:8" x14ac:dyDescent="0.25">
      <c r="A481" s="75"/>
      <c r="B481" s="35"/>
      <c r="C481" t="s">
        <v>925</v>
      </c>
      <c r="D481" s="51" t="b">
        <f>D480&lt;=D477</f>
        <v>1</v>
      </c>
    </row>
    <row r="482" spans="1:8" x14ac:dyDescent="0.25">
      <c r="A482" s="75"/>
      <c r="B482" s="35" t="s">
        <v>936</v>
      </c>
      <c r="C482" t="s">
        <v>937</v>
      </c>
      <c r="D482" s="51">
        <f>D480*D479</f>
        <v>4.9999999999999998E-8</v>
      </c>
      <c r="E482" t="s">
        <v>324</v>
      </c>
    </row>
    <row r="483" spans="1:8" x14ac:dyDescent="0.25">
      <c r="A483" s="75"/>
      <c r="B483" s="35" t="s">
        <v>938</v>
      </c>
      <c r="C483" t="s">
        <v>939</v>
      </c>
      <c r="D483" s="51">
        <f>D482*D457</f>
        <v>7.9999999999999993E-4</v>
      </c>
      <c r="E483" t="s">
        <v>20</v>
      </c>
    </row>
    <row r="484" spans="1:8" x14ac:dyDescent="0.25">
      <c r="A484" s="75"/>
      <c r="B484" s="35" t="s">
        <v>920</v>
      </c>
      <c r="C484" t="s">
        <v>921</v>
      </c>
      <c r="D484" s="52">
        <v>0.95</v>
      </c>
      <c r="E484" t="s">
        <v>21</v>
      </c>
      <c r="F484" t="s">
        <v>977</v>
      </c>
      <c r="G484" t="s">
        <v>982</v>
      </c>
    </row>
    <row r="485" spans="1:8" x14ac:dyDescent="0.25">
      <c r="A485" s="75"/>
      <c r="B485" t="s">
        <v>887</v>
      </c>
      <c r="C485" t="s">
        <v>889</v>
      </c>
      <c r="D485" s="53">
        <f>D476</f>
        <v>14</v>
      </c>
      <c r="E485" t="s">
        <v>21</v>
      </c>
    </row>
    <row r="486" spans="1:8" x14ac:dyDescent="0.25">
      <c r="A486" s="75"/>
      <c r="B486" t="s">
        <v>922</v>
      </c>
      <c r="C486" t="s">
        <v>888</v>
      </c>
      <c r="D486" s="51">
        <f>D476-D484-D480</f>
        <v>13</v>
      </c>
      <c r="E486" t="s">
        <v>21</v>
      </c>
    </row>
    <row r="487" spans="1:8" x14ac:dyDescent="0.25">
      <c r="A487" s="75"/>
      <c r="B487" t="s">
        <v>299</v>
      </c>
      <c r="D487" s="52">
        <v>4.7</v>
      </c>
      <c r="E487" s="8" t="s">
        <v>24</v>
      </c>
      <c r="H487" s="52"/>
    </row>
    <row r="488" spans="1:8" x14ac:dyDescent="0.25">
      <c r="A488" s="75"/>
      <c r="B488" t="s">
        <v>942</v>
      </c>
      <c r="D488" s="52">
        <v>0</v>
      </c>
      <c r="E488" s="8" t="s">
        <v>24</v>
      </c>
    </row>
    <row r="489" spans="1:8" x14ac:dyDescent="0.25">
      <c r="A489" s="75"/>
      <c r="B489" t="s">
        <v>951</v>
      </c>
      <c r="D489" s="52">
        <v>0.02</v>
      </c>
      <c r="E489" s="8" t="s">
        <v>24</v>
      </c>
      <c r="F489" t="s">
        <v>979</v>
      </c>
    </row>
    <row r="490" spans="1:8" x14ac:dyDescent="0.25">
      <c r="A490" s="75"/>
      <c r="B490" t="s">
        <v>1081</v>
      </c>
      <c r="C490" t="s">
        <v>1082</v>
      </c>
      <c r="D490" s="52">
        <v>7</v>
      </c>
      <c r="E490" s="8" t="s">
        <v>24</v>
      </c>
      <c r="F490" t="s">
        <v>981</v>
      </c>
    </row>
    <row r="491" spans="1:8" x14ac:dyDescent="0.25">
      <c r="A491" s="75"/>
      <c r="B491" t="s">
        <v>941</v>
      </c>
      <c r="C491" t="s">
        <v>940</v>
      </c>
      <c r="D491" s="27">
        <f>D488+D489+D490</f>
        <v>7.02</v>
      </c>
      <c r="E491" s="8" t="s">
        <v>24</v>
      </c>
    </row>
    <row r="492" spans="1:8" x14ac:dyDescent="0.25">
      <c r="A492" s="75"/>
      <c r="B492" t="s">
        <v>1083</v>
      </c>
      <c r="D492" s="27">
        <f>D490*D479</f>
        <v>6.9999999999999999E-6</v>
      </c>
      <c r="E492" s="8"/>
    </row>
    <row r="493" spans="1:8" x14ac:dyDescent="0.25">
      <c r="A493" s="75"/>
      <c r="B493" t="s">
        <v>1084</v>
      </c>
      <c r="D493" s="27">
        <f>5*D492</f>
        <v>3.4999999999999997E-5</v>
      </c>
      <c r="E493" s="8"/>
    </row>
    <row r="494" spans="1:8" x14ac:dyDescent="0.25">
      <c r="A494" s="75"/>
      <c r="C494" t="s">
        <v>1085</v>
      </c>
      <c r="D494" s="27" t="b">
        <f>D493&lt;(1/D457)</f>
        <v>1</v>
      </c>
      <c r="E494" s="8"/>
    </row>
    <row r="495" spans="1:8" x14ac:dyDescent="0.25">
      <c r="A495" s="75"/>
      <c r="B495" t="s">
        <v>944</v>
      </c>
      <c r="C495" t="s">
        <v>945</v>
      </c>
      <c r="D495" s="52">
        <v>7.5</v>
      </c>
      <c r="E495" s="8" t="s">
        <v>21</v>
      </c>
    </row>
    <row r="496" spans="1:8" x14ac:dyDescent="0.25">
      <c r="A496" s="75"/>
      <c r="B496" t="s">
        <v>947</v>
      </c>
      <c r="C496" t="s">
        <v>943</v>
      </c>
      <c r="D496" s="51">
        <f>D476/D491</f>
        <v>1.9943019943019944</v>
      </c>
      <c r="E496" s="8" t="s">
        <v>20</v>
      </c>
    </row>
    <row r="497" spans="1:5" x14ac:dyDescent="0.25">
      <c r="A497" s="75"/>
      <c r="B497" t="s">
        <v>948</v>
      </c>
      <c r="D497" s="51">
        <f>D480/D491</f>
        <v>7.1225071225071235E-3</v>
      </c>
      <c r="E497" s="8" t="s">
        <v>20</v>
      </c>
    </row>
    <row r="498" spans="1:5" x14ac:dyDescent="0.25">
      <c r="A498" s="75"/>
      <c r="B498" t="s">
        <v>950</v>
      </c>
      <c r="D498" s="56">
        <v>125</v>
      </c>
      <c r="E498" s="8" t="s">
        <v>20</v>
      </c>
    </row>
    <row r="499" spans="1:5" x14ac:dyDescent="0.25">
      <c r="A499" s="75"/>
      <c r="C499" t="s">
        <v>946</v>
      </c>
      <c r="D499" s="55" t="b">
        <f>AND(D498&gt;=D496*D456, D498&gt;=D497*D456)</f>
        <v>1</v>
      </c>
      <c r="E499" s="8"/>
    </row>
    <row r="500" spans="1:5" x14ac:dyDescent="0.25">
      <c r="A500" s="75"/>
      <c r="B500" t="s">
        <v>949</v>
      </c>
      <c r="D500" s="56">
        <v>200</v>
      </c>
      <c r="E500" s="8" t="s">
        <v>21</v>
      </c>
    </row>
    <row r="501" spans="1:5" x14ac:dyDescent="0.25">
      <c r="A501" s="75"/>
      <c r="C501" t="s">
        <v>952</v>
      </c>
      <c r="D501" s="55" t="b">
        <f>D500&gt;=2*D476</f>
        <v>1</v>
      </c>
      <c r="E501" s="8"/>
    </row>
    <row r="502" spans="1:5" x14ac:dyDescent="0.25">
      <c r="A502" s="75"/>
      <c r="B502" t="s">
        <v>890</v>
      </c>
      <c r="C502" t="s">
        <v>897</v>
      </c>
      <c r="D502" s="51">
        <f>D474*D487/D485</f>
        <v>1.6785714285714285E-8</v>
      </c>
      <c r="E502" t="s">
        <v>323</v>
      </c>
    </row>
    <row r="503" spans="1:5" x14ac:dyDescent="0.25">
      <c r="A503" s="75"/>
      <c r="B503" t="s">
        <v>891</v>
      </c>
      <c r="C503" t="s">
        <v>884</v>
      </c>
      <c r="D503" s="51">
        <f>D502</f>
        <v>1.6785714285714285E-8</v>
      </c>
      <c r="E503" t="s">
        <v>323</v>
      </c>
    </row>
    <row r="504" spans="1:5" x14ac:dyDescent="0.25">
      <c r="A504" s="75"/>
      <c r="B504" t="s">
        <v>892</v>
      </c>
      <c r="C504" t="s">
        <v>885</v>
      </c>
      <c r="D504" s="51">
        <f>D503</f>
        <v>1.6785714285714285E-8</v>
      </c>
      <c r="E504" t="s">
        <v>323</v>
      </c>
    </row>
    <row r="505" spans="1:5" x14ac:dyDescent="0.25">
      <c r="A505" s="75"/>
      <c r="B505" t="s">
        <v>893</v>
      </c>
      <c r="C505" t="s">
        <v>896</v>
      </c>
      <c r="D505" s="51">
        <f>D474*D487/D486</f>
        <v>1.8076923076923078E-8</v>
      </c>
      <c r="E505" t="s">
        <v>323</v>
      </c>
    </row>
    <row r="506" spans="1:5" x14ac:dyDescent="0.25">
      <c r="A506" s="75"/>
      <c r="B506" t="s">
        <v>894</v>
      </c>
      <c r="C506" t="s">
        <v>898</v>
      </c>
      <c r="D506" s="51">
        <f>D505</f>
        <v>1.8076923076923078E-8</v>
      </c>
      <c r="E506" t="s">
        <v>323</v>
      </c>
    </row>
    <row r="507" spans="1:5" x14ac:dyDescent="0.25">
      <c r="A507" s="75"/>
      <c r="B507" t="s">
        <v>895</v>
      </c>
      <c r="C507" t="s">
        <v>899</v>
      </c>
      <c r="D507" s="51">
        <f>D506</f>
        <v>1.8076923076923078E-8</v>
      </c>
      <c r="E507" t="s">
        <v>323</v>
      </c>
    </row>
    <row r="508" spans="1:5" x14ac:dyDescent="0.25">
      <c r="A508" s="75"/>
      <c r="C508" t="s">
        <v>886</v>
      </c>
      <c r="D508" s="27">
        <f>D485/D487</f>
        <v>2.978723404255319</v>
      </c>
      <c r="E508" t="s">
        <v>20</v>
      </c>
    </row>
    <row r="509" spans="1:5" x14ac:dyDescent="0.25">
      <c r="A509" s="75"/>
      <c r="C509" t="s">
        <v>302</v>
      </c>
      <c r="D509" s="52">
        <v>3</v>
      </c>
      <c r="E509" t="s">
        <v>20</v>
      </c>
    </row>
    <row r="510" spans="1:5" x14ac:dyDescent="0.25">
      <c r="A510" s="75"/>
      <c r="C510" t="s">
        <v>303</v>
      </c>
      <c r="D510" s="27">
        <f>D509/D456</f>
        <v>2.5</v>
      </c>
      <c r="E510" t="s">
        <v>20</v>
      </c>
    </row>
    <row r="511" spans="1:5" x14ac:dyDescent="0.25">
      <c r="A511" s="75"/>
      <c r="C511" t="s">
        <v>301</v>
      </c>
      <c r="D511" s="27" t="b">
        <f>D508&lt;D510</f>
        <v>0</v>
      </c>
    </row>
    <row r="512" spans="1:5" x14ac:dyDescent="0.25">
      <c r="A512" s="75"/>
      <c r="B512" t="s">
        <v>954</v>
      </c>
      <c r="C512" t="s">
        <v>953</v>
      </c>
      <c r="D512" s="51">
        <f>D480/(D488+D489+D490)</f>
        <v>7.1225071225071235E-3</v>
      </c>
    </row>
    <row r="513" spans="1:6" x14ac:dyDescent="0.25">
      <c r="A513" s="75"/>
      <c r="B513" t="s">
        <v>955</v>
      </c>
      <c r="C513" t="s">
        <v>958</v>
      </c>
      <c r="D513" s="54">
        <v>2E-8</v>
      </c>
      <c r="E513" t="s">
        <v>154</v>
      </c>
      <c r="F513" t="s">
        <v>978</v>
      </c>
    </row>
    <row r="514" spans="1:6" x14ac:dyDescent="0.25">
      <c r="A514" s="75"/>
      <c r="B514" t="s">
        <v>956</v>
      </c>
      <c r="C514" t="s">
        <v>957</v>
      </c>
      <c r="D514" s="1">
        <v>5.0000000000000001E-9</v>
      </c>
      <c r="E514" t="s">
        <v>323</v>
      </c>
    </row>
    <row r="515" spans="1:6" x14ac:dyDescent="0.25">
      <c r="A515" s="75"/>
      <c r="B515" t="s">
        <v>969</v>
      </c>
      <c r="C515" t="s">
        <v>959</v>
      </c>
      <c r="D515" s="1">
        <f xml:space="preserve"> D513*D512/D514</f>
        <v>2.8490028490028491E-2</v>
      </c>
      <c r="E515" t="s">
        <v>21</v>
      </c>
    </row>
    <row r="516" spans="1:6" x14ac:dyDescent="0.25">
      <c r="A516" s="75"/>
      <c r="B516" t="s">
        <v>901</v>
      </c>
      <c r="C516" t="s">
        <v>328</v>
      </c>
      <c r="D516" s="51">
        <f>D474*D485*D457</f>
        <v>1.12E-2</v>
      </c>
      <c r="E516" t="s">
        <v>22</v>
      </c>
    </row>
    <row r="517" spans="1:6" x14ac:dyDescent="0.25">
      <c r="A517" s="75"/>
      <c r="D517" s="54"/>
      <c r="E517" t="s">
        <v>324</v>
      </c>
    </row>
    <row r="518" spans="1:6" x14ac:dyDescent="0.25">
      <c r="A518" s="75"/>
      <c r="B518" t="s">
        <v>961</v>
      </c>
      <c r="C518" t="s">
        <v>962</v>
      </c>
      <c r="D518" s="54">
        <v>2.4999999999999999E-8</v>
      </c>
      <c r="E518" t="s">
        <v>323</v>
      </c>
      <c r="F518" t="s">
        <v>977</v>
      </c>
    </row>
    <row r="519" spans="1:6" x14ac:dyDescent="0.25">
      <c r="A519" s="75"/>
      <c r="B519" t="s">
        <v>960</v>
      </c>
      <c r="C519" t="s">
        <v>976</v>
      </c>
      <c r="D519" s="55">
        <v>0.25</v>
      </c>
      <c r="E519" t="s">
        <v>20</v>
      </c>
    </row>
    <row r="520" spans="1:6" x14ac:dyDescent="0.25">
      <c r="A520" s="75"/>
      <c r="B520" t="s">
        <v>966</v>
      </c>
      <c r="C520" t="s">
        <v>963</v>
      </c>
      <c r="D520" s="55">
        <f>D513*D519/D518</f>
        <v>0.2</v>
      </c>
      <c r="E520" t="s">
        <v>21</v>
      </c>
    </row>
    <row r="521" spans="1:6" x14ac:dyDescent="0.25">
      <c r="A521" s="75"/>
      <c r="B521" t="s">
        <v>970</v>
      </c>
      <c r="C521" t="s">
        <v>967</v>
      </c>
      <c r="D521" s="56">
        <v>0.2</v>
      </c>
      <c r="E521" t="s">
        <v>21</v>
      </c>
    </row>
    <row r="522" spans="1:6" x14ac:dyDescent="0.25">
      <c r="A522" s="75"/>
      <c r="B522" t="s">
        <v>964</v>
      </c>
      <c r="C522" t="s">
        <v>968</v>
      </c>
      <c r="D522" s="52">
        <v>0.2</v>
      </c>
      <c r="E522" t="s">
        <v>21</v>
      </c>
    </row>
    <row r="523" spans="1:6" x14ac:dyDescent="0.25">
      <c r="A523" s="75"/>
      <c r="B523" t="s">
        <v>971</v>
      </c>
      <c r="D523" s="27" t="b">
        <f>D521&gt;=D515</f>
        <v>1</v>
      </c>
    </row>
    <row r="524" spans="1:6" x14ac:dyDescent="0.25">
      <c r="A524" s="75"/>
      <c r="B524" t="s">
        <v>965</v>
      </c>
      <c r="D524" s="27" t="b">
        <f>D522&lt;=D520</f>
        <v>1</v>
      </c>
    </row>
    <row r="525" spans="1:6" x14ac:dyDescent="0.25">
      <c r="A525" s="75"/>
      <c r="B525" t="s">
        <v>880</v>
      </c>
      <c r="D525" s="27">
        <f>D458</f>
        <v>44.1</v>
      </c>
      <c r="E525" t="s">
        <v>21</v>
      </c>
    </row>
    <row r="526" spans="1:6" x14ac:dyDescent="0.25">
      <c r="A526" s="75"/>
      <c r="B526" t="s">
        <v>879</v>
      </c>
      <c r="D526" s="27">
        <f>D459</f>
        <v>22.598870056497173</v>
      </c>
      <c r="E526" t="s">
        <v>20</v>
      </c>
    </row>
    <row r="527" spans="1:6" x14ac:dyDescent="0.25">
      <c r="A527" s="75"/>
      <c r="B527" t="s">
        <v>900</v>
      </c>
      <c r="D527" s="51">
        <f>0.5*D525*D526*(D503+D504)*D43</f>
        <v>1.0716896186440677E-4</v>
      </c>
      <c r="E527" t="s">
        <v>22</v>
      </c>
    </row>
    <row r="528" spans="1:6" x14ac:dyDescent="0.25">
      <c r="A528" s="75"/>
      <c r="B528" t="s">
        <v>902</v>
      </c>
      <c r="C528" t="s">
        <v>903</v>
      </c>
      <c r="D528" s="51">
        <f>D465+D527</f>
        <v>1.9578247256452348</v>
      </c>
      <c r="E528" t="s">
        <v>22</v>
      </c>
    </row>
    <row r="529" spans="1:5" x14ac:dyDescent="0.25">
      <c r="A529" s="75"/>
      <c r="B529" t="s">
        <v>904</v>
      </c>
      <c r="C529" t="s">
        <v>905</v>
      </c>
      <c r="D529" s="51">
        <f>4*D528</f>
        <v>7.8312989025809392</v>
      </c>
      <c r="E529" t="s">
        <v>22</v>
      </c>
    </row>
    <row r="530" spans="1:5" x14ac:dyDescent="0.25">
      <c r="A530" s="75"/>
      <c r="B530" t="s">
        <v>311</v>
      </c>
      <c r="D530" s="52">
        <v>1000</v>
      </c>
      <c r="E530" s="8" t="s">
        <v>24</v>
      </c>
    </row>
    <row r="531" spans="1:5" x14ac:dyDescent="0.25">
      <c r="A531" s="75"/>
      <c r="B531" t="s">
        <v>314</v>
      </c>
      <c r="D531" s="52">
        <v>2.5</v>
      </c>
      <c r="E531" t="s">
        <v>21</v>
      </c>
    </row>
    <row r="532" spans="1:5" x14ac:dyDescent="0.25">
      <c r="A532" s="75"/>
      <c r="B532" t="s">
        <v>315</v>
      </c>
      <c r="C532" t="s">
        <v>906</v>
      </c>
      <c r="D532" s="52">
        <v>210</v>
      </c>
      <c r="E532" t="s">
        <v>20</v>
      </c>
    </row>
    <row r="533" spans="1:5" x14ac:dyDescent="0.25">
      <c r="A533" s="75"/>
      <c r="B533" t="s">
        <v>312</v>
      </c>
      <c r="C533" t="s">
        <v>313</v>
      </c>
      <c r="D533" s="51">
        <f>-D530*(D474/D485)*LN(D531/D485)</f>
        <v>6.1527378490753689E-6</v>
      </c>
      <c r="E533" t="s">
        <v>323</v>
      </c>
    </row>
    <row r="534" spans="1:5" x14ac:dyDescent="0.25">
      <c r="A534" s="75"/>
      <c r="C534" t="s">
        <v>326</v>
      </c>
      <c r="D534" s="51">
        <f>D459+(D458*D533/D463)</f>
        <v>28.141813433314283</v>
      </c>
      <c r="E534" t="s">
        <v>20</v>
      </c>
    </row>
    <row r="535" spans="1:5" x14ac:dyDescent="0.25">
      <c r="A535" s="75"/>
      <c r="B535" t="s">
        <v>317</v>
      </c>
      <c r="D535" s="52">
        <v>60</v>
      </c>
      <c r="E535" t="s">
        <v>20</v>
      </c>
    </row>
    <row r="536" spans="1:5" x14ac:dyDescent="0.25">
      <c r="A536" s="75"/>
      <c r="C536" t="s">
        <v>319</v>
      </c>
      <c r="D536" s="27" t="b">
        <f>D534&lt;D532</f>
        <v>1</v>
      </c>
    </row>
    <row r="537" spans="1:5" x14ac:dyDescent="0.25">
      <c r="A537" s="75"/>
      <c r="C537" t="s">
        <v>318</v>
      </c>
      <c r="D537" s="27" t="b">
        <f>D534&lt;D535</f>
        <v>1</v>
      </c>
    </row>
    <row r="538" spans="1:5" x14ac:dyDescent="0.25">
      <c r="A538" s="75"/>
      <c r="B538" t="s">
        <v>320</v>
      </c>
      <c r="C538" t="s">
        <v>321</v>
      </c>
      <c r="D538" s="27">
        <f>0.5*POWER(D485, 2)/D530</f>
        <v>9.8000000000000004E-2</v>
      </c>
      <c r="E538" t="s">
        <v>22</v>
      </c>
    </row>
    <row r="539" spans="1:5" x14ac:dyDescent="0.25">
      <c r="A539" s="75"/>
      <c r="B539" s="35" t="s">
        <v>917</v>
      </c>
      <c r="C539" t="s">
        <v>918</v>
      </c>
      <c r="D539" s="52">
        <v>9.6999999999999993</v>
      </c>
    </row>
    <row r="540" spans="1:5" x14ac:dyDescent="0.25">
      <c r="A540" s="75"/>
      <c r="B540" s="35" t="s">
        <v>931</v>
      </c>
      <c r="C540" t="s">
        <v>919</v>
      </c>
      <c r="D540" s="51">
        <f>D486-D539</f>
        <v>3.3000000000000007</v>
      </c>
    </row>
    <row r="541" spans="1:5" x14ac:dyDescent="0.25">
      <c r="A541" s="75"/>
      <c r="B541" t="s">
        <v>926</v>
      </c>
      <c r="C541" t="s">
        <v>927</v>
      </c>
      <c r="D541" s="27">
        <v>2</v>
      </c>
    </row>
    <row r="542" spans="1:5" x14ac:dyDescent="0.25">
      <c r="A542" s="75"/>
      <c r="B542" s="35"/>
      <c r="C542" t="s">
        <v>934</v>
      </c>
      <c r="D542" s="51" t="b">
        <f>D540&gt;=D541</f>
        <v>1</v>
      </c>
    </row>
    <row r="543" spans="1:5" x14ac:dyDescent="0.25">
      <c r="A543" s="75"/>
      <c r="B543" t="s">
        <v>930</v>
      </c>
      <c r="D543" s="52">
        <v>9.6999999999999993</v>
      </c>
    </row>
    <row r="544" spans="1:5" x14ac:dyDescent="0.25">
      <c r="A544" s="75"/>
      <c r="B544" t="s">
        <v>928</v>
      </c>
      <c r="C544" t="s">
        <v>929</v>
      </c>
      <c r="D544" s="51">
        <f xml:space="preserve"> D476</f>
        <v>14</v>
      </c>
    </row>
    <row r="545" spans="1:5" ht="15" customHeight="1" x14ac:dyDescent="0.25">
      <c r="A545" s="75"/>
      <c r="B545" s="35" t="s">
        <v>932</v>
      </c>
      <c r="C545" t="s">
        <v>933</v>
      </c>
      <c r="D545" s="51">
        <f>D544-D543</f>
        <v>4.3000000000000007</v>
      </c>
    </row>
    <row r="546" spans="1:5" ht="15" customHeight="1" x14ac:dyDescent="0.25">
      <c r="A546" s="75"/>
      <c r="C546" t="s">
        <v>935</v>
      </c>
      <c r="D546" s="27" t="b">
        <f>D545&gt;=D541</f>
        <v>1</v>
      </c>
    </row>
    <row r="547" spans="1:5" ht="15" customHeight="1" x14ac:dyDescent="0.25">
      <c r="A547" s="48"/>
      <c r="D547" s="27"/>
    </row>
    <row r="548" spans="1:5" x14ac:dyDescent="0.25">
      <c r="A548" s="75" t="s">
        <v>680</v>
      </c>
      <c r="B548" t="s">
        <v>322</v>
      </c>
      <c r="D548" s="1">
        <f>D445</f>
        <v>3.2603164267398674</v>
      </c>
      <c r="E548" t="s">
        <v>22</v>
      </c>
    </row>
    <row r="549" spans="1:5" x14ac:dyDescent="0.25">
      <c r="A549" s="75"/>
      <c r="C549" t="s">
        <v>681</v>
      </c>
      <c r="D549">
        <v>0.9</v>
      </c>
      <c r="E549" s="34" t="s">
        <v>682</v>
      </c>
    </row>
    <row r="550" spans="1:5" x14ac:dyDescent="0.25">
      <c r="A550" s="75"/>
      <c r="C550" t="s">
        <v>683</v>
      </c>
      <c r="D550">
        <v>0.15</v>
      </c>
      <c r="E550" s="35" t="s">
        <v>133</v>
      </c>
    </row>
    <row r="551" spans="1:5" x14ac:dyDescent="0.25">
      <c r="A551" s="75"/>
      <c r="C551" t="s">
        <v>684</v>
      </c>
      <c r="D551" s="1">
        <v>1.4999999999999999E-4</v>
      </c>
      <c r="E551" s="36" t="s">
        <v>207</v>
      </c>
    </row>
    <row r="552" spans="1:5" x14ac:dyDescent="0.25">
      <c r="A552" s="75"/>
      <c r="B552" t="s">
        <v>686</v>
      </c>
      <c r="C552" t="s">
        <v>687</v>
      </c>
      <c r="D552">
        <f>D550/(1000*D549*D551)</f>
        <v>1.1111111111111112</v>
      </c>
      <c r="E552" s="35"/>
    </row>
    <row r="553" spans="1:5" x14ac:dyDescent="0.25">
      <c r="A553" s="75"/>
      <c r="B553" t="s">
        <v>688</v>
      </c>
      <c r="C553" t="s">
        <v>689</v>
      </c>
      <c r="D553">
        <f>3.5+0.5</f>
        <v>4</v>
      </c>
      <c r="E553" s="35"/>
    </row>
    <row r="554" spans="1:5" x14ac:dyDescent="0.25">
      <c r="A554" s="75"/>
      <c r="B554" t="s">
        <v>690</v>
      </c>
      <c r="C554" t="s">
        <v>691</v>
      </c>
      <c r="D554">
        <v>6.6665999999999999</v>
      </c>
      <c r="E554" s="34"/>
    </row>
    <row r="555" spans="1:5" x14ac:dyDescent="0.25">
      <c r="A555" s="75"/>
      <c r="C555" t="s">
        <v>685</v>
      </c>
      <c r="D555" s="27">
        <f>D552+D553+D554</f>
        <v>11.77771111111111</v>
      </c>
      <c r="E555" s="34"/>
    </row>
    <row r="556" spans="1:5" x14ac:dyDescent="0.25">
      <c r="A556" s="75"/>
      <c r="B556" t="s">
        <v>693</v>
      </c>
      <c r="C556" t="s">
        <v>692</v>
      </c>
      <c r="D556" s="51">
        <f>D555*D548</f>
        <v>38.399065004952206</v>
      </c>
      <c r="E556" s="34"/>
    </row>
    <row r="557" spans="1:5" x14ac:dyDescent="0.25">
      <c r="A557" s="75"/>
      <c r="C557" t="s">
        <v>694</v>
      </c>
      <c r="D557">
        <v>35</v>
      </c>
      <c r="E557" s="34"/>
    </row>
    <row r="558" spans="1:5" x14ac:dyDescent="0.25">
      <c r="A558" s="75"/>
      <c r="C558" t="s">
        <v>695</v>
      </c>
      <c r="D558" s="51">
        <f>D557+D556</f>
        <v>73.399065004952206</v>
      </c>
      <c r="E558" s="34"/>
    </row>
    <row r="559" spans="1:5" x14ac:dyDescent="0.25">
      <c r="A559" s="75"/>
      <c r="C559" t="s">
        <v>696</v>
      </c>
      <c r="D559">
        <v>150</v>
      </c>
      <c r="E559" s="34"/>
    </row>
    <row r="560" spans="1:5" x14ac:dyDescent="0.25">
      <c r="A560" s="75"/>
      <c r="C560" t="s">
        <v>697</v>
      </c>
      <c r="D560" s="27" t="b">
        <f>D558&lt;D559/D4</f>
        <v>1</v>
      </c>
    </row>
    <row r="561" spans="1:4" x14ac:dyDescent="0.25">
      <c r="A561" s="75" t="s">
        <v>698</v>
      </c>
    </row>
    <row r="562" spans="1:4" x14ac:dyDescent="0.25">
      <c r="A562" s="75"/>
    </row>
    <row r="563" spans="1:4" x14ac:dyDescent="0.25">
      <c r="A563" s="75"/>
    </row>
    <row r="564" spans="1:4" x14ac:dyDescent="0.25">
      <c r="A564" s="75"/>
    </row>
    <row r="565" spans="1:4" x14ac:dyDescent="0.25">
      <c r="A565" s="76" t="s">
        <v>330</v>
      </c>
      <c r="B565" t="s">
        <v>39</v>
      </c>
      <c r="C565" t="s">
        <v>41</v>
      </c>
      <c r="D565">
        <f>D110</f>
        <v>0.5</v>
      </c>
    </row>
    <row r="566" spans="1:4" x14ac:dyDescent="0.25">
      <c r="A566" s="76"/>
      <c r="B566" t="s">
        <v>47</v>
      </c>
      <c r="D566">
        <f>D3</f>
        <v>16000</v>
      </c>
    </row>
    <row r="567" spans="1:4" x14ac:dyDescent="0.25">
      <c r="A567" s="76"/>
      <c r="B567" t="s">
        <v>231</v>
      </c>
      <c r="D567">
        <f>D234</f>
        <v>22.598870056497173</v>
      </c>
    </row>
    <row r="568" spans="1:4" x14ac:dyDescent="0.25">
      <c r="A568" s="76"/>
      <c r="C568" t="s">
        <v>334</v>
      </c>
      <c r="D568">
        <v>2</v>
      </c>
    </row>
    <row r="569" spans="1:4" x14ac:dyDescent="0.25">
      <c r="A569" s="76"/>
      <c r="C569" t="s">
        <v>336</v>
      </c>
      <c r="D569">
        <f>D568*D567</f>
        <v>45.197740112994346</v>
      </c>
    </row>
    <row r="570" spans="1:4" x14ac:dyDescent="0.25">
      <c r="A570" s="76"/>
      <c r="B570" t="s">
        <v>331</v>
      </c>
      <c r="C570" t="s">
        <v>332</v>
      </c>
      <c r="D570">
        <v>1E-3</v>
      </c>
    </row>
    <row r="571" spans="1:4" x14ac:dyDescent="0.25">
      <c r="A571" s="76"/>
      <c r="B571" t="s">
        <v>333</v>
      </c>
      <c r="C571" t="s">
        <v>335</v>
      </c>
      <c r="D571">
        <f>D570*D567</f>
        <v>2.2598870056497175E-2</v>
      </c>
    </row>
    <row r="572" spans="1:4" x14ac:dyDescent="0.25">
      <c r="A572" s="76"/>
      <c r="B572" t="s">
        <v>383</v>
      </c>
      <c r="C572" t="s">
        <v>384</v>
      </c>
      <c r="D572">
        <f>POWER(D567, 2)*D570/3</f>
        <v>0.17023630927681485</v>
      </c>
    </row>
    <row r="573" spans="1:4" x14ac:dyDescent="0.25">
      <c r="A573" s="76"/>
      <c r="B573" t="s">
        <v>338</v>
      </c>
      <c r="C573" t="s">
        <v>337</v>
      </c>
      <c r="D573">
        <f>POWER(D569, 2)*D570/3</f>
        <v>0.6809452371072594</v>
      </c>
    </row>
    <row r="574" spans="1:4" x14ac:dyDescent="0.25">
      <c r="A574" s="76"/>
      <c r="B574" t="s">
        <v>339</v>
      </c>
      <c r="C574" t="s">
        <v>335</v>
      </c>
      <c r="D574">
        <f>D567*D570</f>
        <v>2.2598870056497175E-2</v>
      </c>
    </row>
    <row r="575" spans="1:4" x14ac:dyDescent="0.25">
      <c r="A575" s="76"/>
      <c r="B575" t="s">
        <v>340</v>
      </c>
      <c r="C575" t="s">
        <v>341</v>
      </c>
      <c r="D575">
        <f>D569*D570</f>
        <v>4.519774011299435E-2</v>
      </c>
    </row>
    <row r="576" spans="1:4" x14ac:dyDescent="0.25">
      <c r="A576" s="76"/>
      <c r="C576" t="s">
        <v>342</v>
      </c>
      <c r="D576">
        <f>2.5</f>
        <v>2.5</v>
      </c>
    </row>
    <row r="577" spans="1:5" x14ac:dyDescent="0.25">
      <c r="A577" s="76"/>
      <c r="B577" t="s">
        <v>373</v>
      </c>
      <c r="C577" t="s">
        <v>374</v>
      </c>
      <c r="D577" s="4" t="s">
        <v>375</v>
      </c>
    </row>
    <row r="578" spans="1:5" x14ac:dyDescent="0.25">
      <c r="A578" s="76"/>
      <c r="B578" t="s">
        <v>347</v>
      </c>
      <c r="C578" t="s">
        <v>346</v>
      </c>
      <c r="D578" s="1">
        <v>2.5000000000000001E-4</v>
      </c>
    </row>
    <row r="579" spans="1:5" x14ac:dyDescent="0.25">
      <c r="A579" s="76"/>
      <c r="B579" t="s">
        <v>348</v>
      </c>
      <c r="C579" t="s">
        <v>349</v>
      </c>
      <c r="D579" s="1">
        <v>5.0000000000000001E-9</v>
      </c>
    </row>
    <row r="580" spans="1:5" x14ac:dyDescent="0.25">
      <c r="A580" s="76"/>
      <c r="B580" t="s">
        <v>351</v>
      </c>
      <c r="C580" t="s">
        <v>350</v>
      </c>
      <c r="D580" s="1">
        <v>10000000</v>
      </c>
      <c r="E580" t="s">
        <v>68</v>
      </c>
    </row>
    <row r="581" spans="1:5" x14ac:dyDescent="0.25">
      <c r="A581" s="76"/>
      <c r="B581" t="s">
        <v>352</v>
      </c>
      <c r="C581" t="s">
        <v>353</v>
      </c>
      <c r="D581" s="25">
        <v>7000</v>
      </c>
      <c r="E581" t="s">
        <v>357</v>
      </c>
    </row>
    <row r="582" spans="1:5" x14ac:dyDescent="0.25">
      <c r="A582" s="76"/>
      <c r="B582" t="s">
        <v>354</v>
      </c>
      <c r="C582" t="s">
        <v>355</v>
      </c>
      <c r="D582" s="1">
        <f>D581*1000</f>
        <v>7000000</v>
      </c>
      <c r="E582" t="s">
        <v>356</v>
      </c>
    </row>
    <row r="583" spans="1:5" x14ac:dyDescent="0.25">
      <c r="A583" s="76"/>
      <c r="B583" s="26" t="s">
        <v>358</v>
      </c>
      <c r="C583" t="s">
        <v>359</v>
      </c>
      <c r="D583" s="26">
        <v>70</v>
      </c>
      <c r="E583" t="s">
        <v>360</v>
      </c>
    </row>
    <row r="584" spans="1:5" x14ac:dyDescent="0.25">
      <c r="A584" s="76"/>
      <c r="C584" t="s">
        <v>361</v>
      </c>
      <c r="D584">
        <f>D576/D575</f>
        <v>55.3125</v>
      </c>
    </row>
    <row r="585" spans="1:5" x14ac:dyDescent="0.25">
      <c r="A585" s="76"/>
      <c r="B585" t="s">
        <v>376</v>
      </c>
      <c r="C585" t="s">
        <v>364</v>
      </c>
      <c r="D585">
        <f>D584-1</f>
        <v>54.3125</v>
      </c>
    </row>
    <row r="586" spans="1:5" x14ac:dyDescent="0.25">
      <c r="A586" s="76"/>
      <c r="B586" t="s">
        <v>377</v>
      </c>
      <c r="D586">
        <f>20*LOG10(D585)</f>
        <v>34.697995875854836</v>
      </c>
    </row>
    <row r="587" spans="1:5" x14ac:dyDescent="0.25">
      <c r="A587" s="76"/>
      <c r="B587" t="s">
        <v>343</v>
      </c>
      <c r="D587">
        <v>56000</v>
      </c>
    </row>
    <row r="588" spans="1:5" x14ac:dyDescent="0.25">
      <c r="A588" s="76"/>
      <c r="B588" t="s">
        <v>345</v>
      </c>
      <c r="D588">
        <f>D587/D585</f>
        <v>1031.0701956271575</v>
      </c>
    </row>
    <row r="589" spans="1:5" x14ac:dyDescent="0.25">
      <c r="A589" s="76"/>
      <c r="B589" t="s">
        <v>344</v>
      </c>
      <c r="C589" t="s">
        <v>362</v>
      </c>
      <c r="D589">
        <v>1000</v>
      </c>
    </row>
    <row r="590" spans="1:5" x14ac:dyDescent="0.25">
      <c r="A590" s="76"/>
      <c r="B590" t="s">
        <v>378</v>
      </c>
      <c r="C590" t="s">
        <v>363</v>
      </c>
      <c r="D590">
        <f>1+(D587/D589)</f>
        <v>57</v>
      </c>
    </row>
    <row r="591" spans="1:5" x14ac:dyDescent="0.25">
      <c r="A591" s="76"/>
      <c r="C591" t="s">
        <v>394</v>
      </c>
      <c r="D591">
        <v>1E-3</v>
      </c>
    </row>
    <row r="592" spans="1:5" x14ac:dyDescent="0.25">
      <c r="A592" s="76"/>
      <c r="B592" t="s">
        <v>395</v>
      </c>
      <c r="D592">
        <f>D587*(1+D591)</f>
        <v>56055.999999999993</v>
      </c>
    </row>
    <row r="593" spans="1:5" x14ac:dyDescent="0.25">
      <c r="A593" s="76"/>
      <c r="B593" t="s">
        <v>396</v>
      </c>
      <c r="D593">
        <f>D587*(1-D591)</f>
        <v>55944</v>
      </c>
    </row>
    <row r="594" spans="1:5" x14ac:dyDescent="0.25">
      <c r="A594" s="76"/>
      <c r="B594" t="s">
        <v>397</v>
      </c>
      <c r="D594">
        <f>D589*(1+D591)</f>
        <v>1000.9999999999999</v>
      </c>
    </row>
    <row r="595" spans="1:5" x14ac:dyDescent="0.25">
      <c r="A595" s="76"/>
      <c r="B595" t="s">
        <v>398</v>
      </c>
      <c r="D595">
        <f>D589*(1-D591)</f>
        <v>999</v>
      </c>
    </row>
    <row r="596" spans="1:5" x14ac:dyDescent="0.25">
      <c r="A596" s="76"/>
      <c r="B596" t="s">
        <v>392</v>
      </c>
      <c r="C596" t="s">
        <v>393</v>
      </c>
      <c r="D596">
        <f>1+(D592/D595)</f>
        <v>57.112112112112108</v>
      </c>
    </row>
    <row r="597" spans="1:5" x14ac:dyDescent="0.25">
      <c r="A597" s="76"/>
      <c r="B597" t="s">
        <v>399</v>
      </c>
      <c r="C597" t="s">
        <v>393</v>
      </c>
      <c r="D597">
        <f>1+(D593/D594)</f>
        <v>56.888111888111894</v>
      </c>
    </row>
    <row r="598" spans="1:5" x14ac:dyDescent="0.25">
      <c r="A598" s="76"/>
      <c r="C598" t="s">
        <v>400</v>
      </c>
      <c r="D598">
        <f>MAX(ABS((D596-D590)/D590), ABS((D597-D590)/D590))</f>
        <v>1.9668791598615406E-3</v>
      </c>
    </row>
    <row r="599" spans="1:5" x14ac:dyDescent="0.25">
      <c r="A599" s="76"/>
      <c r="C599" t="s">
        <v>401</v>
      </c>
      <c r="D599">
        <f>100*D598</f>
        <v>0.19668791598615407</v>
      </c>
      <c r="E599" t="s">
        <v>162</v>
      </c>
    </row>
    <row r="600" spans="1:5" x14ac:dyDescent="0.25">
      <c r="A600" s="76"/>
      <c r="B600" t="s">
        <v>379</v>
      </c>
      <c r="D600">
        <f>20*LOG10(D590)</f>
        <v>35.117497113449829</v>
      </c>
    </row>
    <row r="601" spans="1:5" x14ac:dyDescent="0.25">
      <c r="A601" s="76"/>
      <c r="C601" t="s">
        <v>368</v>
      </c>
      <c r="D601" t="b">
        <f>ABS((D590-D584)/D584)&lt;0.02</f>
        <v>0</v>
      </c>
    </row>
    <row r="602" spans="1:5" x14ac:dyDescent="0.25">
      <c r="A602" s="76"/>
      <c r="C602" t="s">
        <v>380</v>
      </c>
      <c r="D602" t="b">
        <f>D583&gt;D600</f>
        <v>1</v>
      </c>
    </row>
    <row r="603" spans="1:5" x14ac:dyDescent="0.25">
      <c r="A603" s="76"/>
      <c r="B603" t="s">
        <v>366</v>
      </c>
      <c r="C603" t="s">
        <v>365</v>
      </c>
      <c r="D603" s="1">
        <f>D578/D570</f>
        <v>0.25</v>
      </c>
    </row>
    <row r="604" spans="1:5" x14ac:dyDescent="0.25">
      <c r="A604" s="76"/>
      <c r="C604" t="s">
        <v>381</v>
      </c>
      <c r="D604" s="1">
        <f>D567/20</f>
        <v>1.1299435028248586</v>
      </c>
    </row>
    <row r="605" spans="1:5" x14ac:dyDescent="0.25">
      <c r="A605" s="76"/>
      <c r="C605" t="s">
        <v>382</v>
      </c>
      <c r="D605" s="1" t="b">
        <f>D603&lt;D604</f>
        <v>1</v>
      </c>
    </row>
    <row r="606" spans="1:5" x14ac:dyDescent="0.25">
      <c r="A606" s="76"/>
      <c r="B606" t="s">
        <v>367</v>
      </c>
      <c r="D606">
        <f>D580/D590</f>
        <v>175438.59649122806</v>
      </c>
    </row>
    <row r="607" spans="1:5" x14ac:dyDescent="0.25">
      <c r="A607" s="76"/>
      <c r="C607" t="s">
        <v>372</v>
      </c>
      <c r="D607">
        <f>D566*D590</f>
        <v>912000</v>
      </c>
    </row>
    <row r="608" spans="1:5" x14ac:dyDescent="0.25">
      <c r="A608" s="76"/>
      <c r="C608" t="s">
        <v>369</v>
      </c>
      <c r="D608" t="b">
        <f>D606&gt;=D3</f>
        <v>1</v>
      </c>
    </row>
    <row r="609" spans="1:5" x14ac:dyDescent="0.25">
      <c r="A609" s="76"/>
    </row>
    <row r="610" spans="1:5" x14ac:dyDescent="0.25">
      <c r="A610" s="76"/>
      <c r="C610" t="s">
        <v>370</v>
      </c>
      <c r="D610">
        <f>D576*D566/D565</f>
        <v>80000</v>
      </c>
      <c r="E610" t="s">
        <v>356</v>
      </c>
    </row>
    <row r="611" spans="1:5" x14ac:dyDescent="0.25">
      <c r="A611" s="76"/>
      <c r="C611" t="s">
        <v>370</v>
      </c>
      <c r="D611">
        <f>D610/1000</f>
        <v>80</v>
      </c>
      <c r="E611" t="s">
        <v>357</v>
      </c>
    </row>
    <row r="612" spans="1:5" x14ac:dyDescent="0.25">
      <c r="A612" s="76"/>
      <c r="C612" t="s">
        <v>371</v>
      </c>
      <c r="D612" t="b">
        <f>D610&lt;=D582</f>
        <v>1</v>
      </c>
    </row>
    <row r="613" spans="1:5" x14ac:dyDescent="0.25">
      <c r="A613" s="76"/>
      <c r="B613" t="s">
        <v>385</v>
      </c>
      <c r="D613">
        <f>(D587*D589)/(D587+D589)</f>
        <v>982.45614035087715</v>
      </c>
    </row>
    <row r="614" spans="1:5" x14ac:dyDescent="0.25">
      <c r="A614" s="76"/>
      <c r="B614" t="s">
        <v>386</v>
      </c>
      <c r="D614">
        <f>D570</f>
        <v>1E-3</v>
      </c>
    </row>
    <row r="615" spans="1:5" x14ac:dyDescent="0.25">
      <c r="A615" s="76"/>
    </row>
    <row r="616" spans="1:5" x14ac:dyDescent="0.25">
      <c r="A616" s="76"/>
    </row>
    <row r="617" spans="1:5" x14ac:dyDescent="0.25">
      <c r="A617" s="76"/>
      <c r="B617" t="s">
        <v>388</v>
      </c>
      <c r="C617" s="27" t="s">
        <v>387</v>
      </c>
      <c r="D617">
        <f>D579*(D613-D614)</f>
        <v>4.9122757017543856E-6</v>
      </c>
      <c r="E617" t="s">
        <v>21</v>
      </c>
    </row>
    <row r="618" spans="1:5" x14ac:dyDescent="0.25">
      <c r="A618" s="76"/>
      <c r="B618" t="s">
        <v>389</v>
      </c>
      <c r="C618" t="s">
        <v>390</v>
      </c>
      <c r="D618" s="1">
        <f>D590*D578</f>
        <v>1.4250000000000001E-2</v>
      </c>
    </row>
    <row r="619" spans="1:5" x14ac:dyDescent="0.25">
      <c r="A619" s="76"/>
      <c r="B619" t="s">
        <v>391</v>
      </c>
      <c r="D619" s="1">
        <f>D618+D617</f>
        <v>1.4254912275701755E-2</v>
      </c>
    </row>
    <row r="620" spans="1:5" x14ac:dyDescent="0.25">
      <c r="A620" s="76"/>
      <c r="B620" t="s">
        <v>402</v>
      </c>
      <c r="C620" t="s">
        <v>403</v>
      </c>
      <c r="D620">
        <f>D570*D590</f>
        <v>5.7000000000000002E-2</v>
      </c>
    </row>
    <row r="621" spans="1:5" x14ac:dyDescent="0.25">
      <c r="A621" s="76"/>
      <c r="B621" t="s">
        <v>404</v>
      </c>
      <c r="D621">
        <f>D620*D598</f>
        <v>1.1211211211210782E-4</v>
      </c>
    </row>
    <row r="622" spans="1:5" x14ac:dyDescent="0.25">
      <c r="A622" s="76"/>
      <c r="B622" t="s">
        <v>405</v>
      </c>
      <c r="D622" s="1">
        <f>D621+D619</f>
        <v>1.4367024387813862E-2</v>
      </c>
    </row>
    <row r="623" spans="1:5" x14ac:dyDescent="0.25">
      <c r="A623" s="76"/>
      <c r="B623" t="s">
        <v>406</v>
      </c>
      <c r="D623" s="1">
        <f>(D621*D567)+D619</f>
        <v>1.6788519329082721E-2</v>
      </c>
    </row>
    <row r="624" spans="1:5" x14ac:dyDescent="0.25">
      <c r="A624" s="76"/>
      <c r="B624" t="s">
        <v>407</v>
      </c>
      <c r="D624" s="1">
        <f>(D621*D569)+D619</f>
        <v>1.9322126382463688E-2</v>
      </c>
    </row>
    <row r="625" spans="1:5" x14ac:dyDescent="0.25">
      <c r="A625" s="76"/>
      <c r="C625" t="s">
        <v>408</v>
      </c>
      <c r="D625">
        <f>1/D620</f>
        <v>17.543859649122805</v>
      </c>
    </row>
    <row r="626" spans="1:5" x14ac:dyDescent="0.25">
      <c r="A626" s="76"/>
      <c r="B626" t="s">
        <v>409</v>
      </c>
      <c r="D626" s="1">
        <f>D622*D623</f>
        <v>2.4120106663621586E-4</v>
      </c>
    </row>
    <row r="627" spans="1:5" x14ac:dyDescent="0.25">
      <c r="A627" s="76"/>
      <c r="B627" t="s">
        <v>410</v>
      </c>
      <c r="D627" s="1">
        <f>D623*D625</f>
        <v>0.29453542682601264</v>
      </c>
    </row>
    <row r="628" spans="1:5" x14ac:dyDescent="0.25">
      <c r="A628" s="76"/>
      <c r="B628" t="s">
        <v>411</v>
      </c>
      <c r="D628" s="1">
        <f>D624*D625</f>
        <v>0.33898467337655586</v>
      </c>
    </row>
    <row r="629" spans="1:5" x14ac:dyDescent="0.25">
      <c r="A629" s="76"/>
      <c r="B629" t="s">
        <v>409</v>
      </c>
      <c r="D629" s="1">
        <f>D626*100</f>
        <v>2.4120106663621587E-2</v>
      </c>
      <c r="E629" t="s">
        <v>162</v>
      </c>
    </row>
    <row r="630" spans="1:5" x14ac:dyDescent="0.25">
      <c r="A630" s="76"/>
      <c r="B630" t="s">
        <v>410</v>
      </c>
      <c r="D630" s="1">
        <f>(D627/D567)*100</f>
        <v>1.3033192637051061</v>
      </c>
      <c r="E630" t="s">
        <v>162</v>
      </c>
    </row>
    <row r="631" spans="1:5" x14ac:dyDescent="0.25">
      <c r="A631" s="76"/>
      <c r="B631" t="s">
        <v>411</v>
      </c>
      <c r="D631">
        <f>(D628/D569)*100</f>
        <v>0.75000358984562998</v>
      </c>
      <c r="E631" t="s">
        <v>162</v>
      </c>
    </row>
    <row r="632" spans="1:5" x14ac:dyDescent="0.25">
      <c r="A632" s="44"/>
    </row>
    <row r="633" spans="1:5" x14ac:dyDescent="0.25">
      <c r="A633" s="75" t="s">
        <v>1008</v>
      </c>
      <c r="B633" t="s">
        <v>831</v>
      </c>
      <c r="C633" t="s">
        <v>804</v>
      </c>
      <c r="D633">
        <f>D114</f>
        <v>22.598870056497173</v>
      </c>
      <c r="E633" t="s">
        <v>20</v>
      </c>
    </row>
    <row r="634" spans="1:5" x14ac:dyDescent="0.25">
      <c r="A634" s="75"/>
      <c r="B634" t="s">
        <v>830</v>
      </c>
      <c r="D634" s="27">
        <f>D633/SQRT(3)</f>
        <v>13.047463710500017</v>
      </c>
      <c r="E634" t="s">
        <v>20</v>
      </c>
    </row>
    <row r="635" spans="1:5" ht="15.75" x14ac:dyDescent="0.3">
      <c r="A635" s="75"/>
      <c r="B635" s="46" t="s">
        <v>806</v>
      </c>
      <c r="C635" t="s">
        <v>805</v>
      </c>
      <c r="D635" s="52">
        <f xml:space="preserve"> 40</f>
        <v>40</v>
      </c>
      <c r="E635" t="s">
        <v>20</v>
      </c>
    </row>
    <row r="636" spans="1:5" ht="15.75" x14ac:dyDescent="0.3">
      <c r="A636" s="75"/>
      <c r="B636" s="46" t="s">
        <v>808</v>
      </c>
      <c r="C636" t="s">
        <v>807</v>
      </c>
      <c r="D636" s="9">
        <f>D635/SQRT(3)</f>
        <v>23.094010767585033</v>
      </c>
      <c r="E636" t="s">
        <v>20</v>
      </c>
    </row>
    <row r="637" spans="1:5" ht="15.75" x14ac:dyDescent="0.3">
      <c r="A637" s="75"/>
      <c r="B637" s="46" t="s">
        <v>793</v>
      </c>
      <c r="C637" t="s">
        <v>794</v>
      </c>
      <c r="D637" s="7">
        <f>D3</f>
        <v>16000</v>
      </c>
      <c r="E637" t="s">
        <v>68</v>
      </c>
    </row>
    <row r="638" spans="1:5" ht="15.75" x14ac:dyDescent="0.3">
      <c r="A638" s="75"/>
      <c r="B638" s="46" t="s">
        <v>795</v>
      </c>
      <c r="C638" t="s">
        <v>796</v>
      </c>
      <c r="D638" s="67">
        <v>200</v>
      </c>
    </row>
    <row r="639" spans="1:5" ht="15.75" x14ac:dyDescent="0.3">
      <c r="A639" s="75"/>
      <c r="B639" s="46" t="s">
        <v>820</v>
      </c>
      <c r="D639" s="9">
        <f>D633/D638</f>
        <v>0.11299435028248586</v>
      </c>
      <c r="E639" t="s">
        <v>20</v>
      </c>
    </row>
    <row r="640" spans="1:5" x14ac:dyDescent="0.25">
      <c r="A640" s="75"/>
      <c r="B640" t="s">
        <v>809</v>
      </c>
      <c r="D640" s="9">
        <f>D635/D638</f>
        <v>0.2</v>
      </c>
      <c r="E640" t="s">
        <v>20</v>
      </c>
    </row>
    <row r="641" spans="1:5" x14ac:dyDescent="0.25">
      <c r="A641" s="75"/>
      <c r="B641" t="s">
        <v>829</v>
      </c>
      <c r="D641" s="9">
        <f>D634/D638</f>
        <v>6.523731855250009E-2</v>
      </c>
      <c r="E641" t="s">
        <v>20</v>
      </c>
    </row>
    <row r="642" spans="1:5" x14ac:dyDescent="0.25">
      <c r="A642" s="75"/>
      <c r="B642" t="s">
        <v>810</v>
      </c>
      <c r="D642" s="9">
        <f>D636/D638</f>
        <v>0.11547005383792516</v>
      </c>
      <c r="E642" t="s">
        <v>20</v>
      </c>
    </row>
    <row r="643" spans="1:5" x14ac:dyDescent="0.25">
      <c r="A643" s="75"/>
      <c r="B643" t="s">
        <v>797</v>
      </c>
      <c r="C643" t="s">
        <v>811</v>
      </c>
      <c r="D643" s="67">
        <v>2</v>
      </c>
      <c r="E643" t="s">
        <v>21</v>
      </c>
    </row>
    <row r="644" spans="1:5" x14ac:dyDescent="0.25">
      <c r="A644" s="75"/>
      <c r="B644" t="s">
        <v>798</v>
      </c>
      <c r="C644" t="s">
        <v>799</v>
      </c>
      <c r="D644" s="52">
        <v>1.05</v>
      </c>
      <c r="E644" t="s">
        <v>21</v>
      </c>
    </row>
    <row r="645" spans="1:5" x14ac:dyDescent="0.25">
      <c r="A645" s="75"/>
      <c r="B645" t="s">
        <v>801</v>
      </c>
      <c r="C645" t="s">
        <v>800</v>
      </c>
      <c r="D645" s="27">
        <f>(D643)/D640</f>
        <v>10</v>
      </c>
      <c r="E645" s="8" t="s">
        <v>24</v>
      </c>
    </row>
    <row r="646" spans="1:5" x14ac:dyDescent="0.25">
      <c r="A646" s="75"/>
      <c r="B646" t="s">
        <v>802</v>
      </c>
      <c r="C646" t="s">
        <v>803</v>
      </c>
      <c r="D646" s="52">
        <f>D645</f>
        <v>10</v>
      </c>
      <c r="E646" s="8" t="s">
        <v>24</v>
      </c>
    </row>
    <row r="647" spans="1:5" x14ac:dyDescent="0.25">
      <c r="A647" s="75"/>
      <c r="B647" t="s">
        <v>815</v>
      </c>
      <c r="C647" t="s">
        <v>814</v>
      </c>
      <c r="D647" s="27">
        <f xml:space="preserve"> D640*D646</f>
        <v>2</v>
      </c>
      <c r="E647" t="s">
        <v>21</v>
      </c>
    </row>
    <row r="648" spans="1:5" x14ac:dyDescent="0.25">
      <c r="A648" s="75"/>
    </row>
    <row r="649" spans="1:5" x14ac:dyDescent="0.25">
      <c r="A649" s="75"/>
      <c r="B649" t="s">
        <v>817</v>
      </c>
      <c r="C649" t="s">
        <v>812</v>
      </c>
      <c r="D649" s="27">
        <f xml:space="preserve"> POWER(D640, 2)*D646</f>
        <v>0.40000000000000008</v>
      </c>
      <c r="E649" t="s">
        <v>22</v>
      </c>
    </row>
    <row r="650" spans="1:5" x14ac:dyDescent="0.25">
      <c r="A650" s="75"/>
      <c r="B650" t="s">
        <v>825</v>
      </c>
      <c r="C650" t="s">
        <v>828</v>
      </c>
      <c r="D650" s="27">
        <f>POWER(D642, 2)*D646</f>
        <v>0.13333333333333336</v>
      </c>
      <c r="E650" t="s">
        <v>22</v>
      </c>
    </row>
    <row r="651" spans="1:5" x14ac:dyDescent="0.25">
      <c r="A651" s="75"/>
      <c r="B651" t="s">
        <v>819</v>
      </c>
      <c r="C651" t="s">
        <v>818</v>
      </c>
      <c r="D651" s="27">
        <f>POWER(D639, 2)*D646</f>
        <v>0.12767723195761113</v>
      </c>
      <c r="E651" t="s">
        <v>22</v>
      </c>
    </row>
    <row r="652" spans="1:5" x14ac:dyDescent="0.25">
      <c r="A652" s="75"/>
      <c r="B652" t="s">
        <v>826</v>
      </c>
      <c r="C652" t="s">
        <v>827</v>
      </c>
      <c r="D652" s="27">
        <f>POWER(D641, 2)*D646</f>
        <v>4.255907731920372E-2</v>
      </c>
      <c r="E652" t="s">
        <v>22</v>
      </c>
    </row>
    <row r="653" spans="1:5" x14ac:dyDescent="0.25">
      <c r="A653" s="75"/>
      <c r="B653" t="s">
        <v>816</v>
      </c>
      <c r="C653" t="s">
        <v>813</v>
      </c>
      <c r="D653" s="27">
        <f>D644*D640</f>
        <v>0.21000000000000002</v>
      </c>
      <c r="E653" t="s">
        <v>22</v>
      </c>
    </row>
    <row r="654" spans="1:5" x14ac:dyDescent="0.25">
      <c r="A654" s="75"/>
      <c r="B654" t="s">
        <v>821</v>
      </c>
      <c r="C654" t="s">
        <v>822</v>
      </c>
      <c r="D654" s="27">
        <f>D644*D639</f>
        <v>0.11864406779661016</v>
      </c>
    </row>
    <row r="655" spans="1:5" x14ac:dyDescent="0.25">
      <c r="A655" s="75"/>
      <c r="D655" s="27"/>
    </row>
    <row r="656" spans="1:5" x14ac:dyDescent="0.25">
      <c r="A656" s="75"/>
      <c r="B656" t="s">
        <v>832</v>
      </c>
      <c r="C656" t="s">
        <v>833</v>
      </c>
      <c r="D656" s="27">
        <f>D646+(2*(D644/D640))</f>
        <v>20.5</v>
      </c>
      <c r="E656" s="8" t="s">
        <v>24</v>
      </c>
    </row>
    <row r="657" spans="1:102" x14ac:dyDescent="0.25">
      <c r="A657" s="75"/>
      <c r="B657" t="s">
        <v>823</v>
      </c>
      <c r="C657" t="s">
        <v>824</v>
      </c>
      <c r="D657" s="27">
        <f>D639*D646</f>
        <v>1.1299435028248586</v>
      </c>
      <c r="E657" t="s">
        <v>21</v>
      </c>
    </row>
    <row r="658" spans="1:102" x14ac:dyDescent="0.25">
      <c r="A658" s="75"/>
      <c r="B658" t="s">
        <v>834</v>
      </c>
      <c r="C658" t="s">
        <v>835</v>
      </c>
      <c r="D658" s="27">
        <f>D640</f>
        <v>0.2</v>
      </c>
    </row>
    <row r="659" spans="1:102" x14ac:dyDescent="0.25">
      <c r="A659" s="75"/>
      <c r="B659" t="s">
        <v>836</v>
      </c>
      <c r="C659" t="s">
        <v>837</v>
      </c>
      <c r="D659" t="s">
        <v>510</v>
      </c>
    </row>
    <row r="660" spans="1:102" x14ac:dyDescent="0.25">
      <c r="A660" s="75"/>
      <c r="B660" t="s">
        <v>838</v>
      </c>
      <c r="C660" t="s">
        <v>839</v>
      </c>
    </row>
    <row r="661" spans="1:102" x14ac:dyDescent="0.25">
      <c r="A661" s="75"/>
      <c r="B661" t="s">
        <v>840</v>
      </c>
      <c r="C661" t="s">
        <v>841</v>
      </c>
      <c r="D661" s="52">
        <v>100</v>
      </c>
      <c r="E661" s="8" t="s">
        <v>24</v>
      </c>
    </row>
    <row r="662" spans="1:102" x14ac:dyDescent="0.25">
      <c r="A662" s="75"/>
      <c r="B662" t="s">
        <v>842</v>
      </c>
      <c r="D662">
        <f xml:space="preserve"> (1/D637)/2</f>
        <v>3.1250000000000001E-5</v>
      </c>
      <c r="E662" s="8"/>
    </row>
    <row r="663" spans="1:102" x14ac:dyDescent="0.25">
      <c r="A663" s="75"/>
      <c r="B663" t="s">
        <v>843</v>
      </c>
      <c r="C663" t="s">
        <v>844</v>
      </c>
      <c r="D663">
        <v>100</v>
      </c>
      <c r="E663" s="8"/>
    </row>
    <row r="664" spans="1:102" x14ac:dyDescent="0.25">
      <c r="A664" s="75"/>
      <c r="B664" t="s">
        <v>693</v>
      </c>
      <c r="C664" t="s">
        <v>845</v>
      </c>
      <c r="D664">
        <f>D662/D663</f>
        <v>3.1250000000000003E-7</v>
      </c>
      <c r="E664" s="8"/>
    </row>
    <row r="665" spans="1:102" x14ac:dyDescent="0.25">
      <c r="A665" s="75"/>
      <c r="B665" t="s">
        <v>848</v>
      </c>
      <c r="C665">
        <f>D635</f>
        <v>40</v>
      </c>
      <c r="D665">
        <f>D635</f>
        <v>40</v>
      </c>
      <c r="E665" s="8">
        <f>D665</f>
        <v>40</v>
      </c>
      <c r="F665">
        <f>E665</f>
        <v>40</v>
      </c>
      <c r="G665">
        <f t="shared" ref="G665:BR665" si="35">F665</f>
        <v>40</v>
      </c>
      <c r="H665">
        <f t="shared" si="35"/>
        <v>40</v>
      </c>
      <c r="I665">
        <f t="shared" si="35"/>
        <v>40</v>
      </c>
      <c r="J665">
        <f t="shared" si="35"/>
        <v>40</v>
      </c>
      <c r="K665">
        <f t="shared" si="35"/>
        <v>40</v>
      </c>
      <c r="L665">
        <f t="shared" si="35"/>
        <v>40</v>
      </c>
      <c r="M665">
        <f t="shared" si="35"/>
        <v>40</v>
      </c>
      <c r="N665">
        <f t="shared" si="35"/>
        <v>40</v>
      </c>
      <c r="O665">
        <f t="shared" si="35"/>
        <v>40</v>
      </c>
      <c r="P665">
        <f t="shared" si="35"/>
        <v>40</v>
      </c>
      <c r="Q665">
        <f t="shared" si="35"/>
        <v>40</v>
      </c>
      <c r="R665">
        <f t="shared" si="35"/>
        <v>40</v>
      </c>
      <c r="S665">
        <f t="shared" si="35"/>
        <v>40</v>
      </c>
      <c r="T665">
        <f t="shared" si="35"/>
        <v>40</v>
      </c>
      <c r="U665">
        <f t="shared" si="35"/>
        <v>40</v>
      </c>
      <c r="V665">
        <f t="shared" si="35"/>
        <v>40</v>
      </c>
      <c r="W665">
        <f t="shared" si="35"/>
        <v>40</v>
      </c>
      <c r="X665">
        <f t="shared" si="35"/>
        <v>40</v>
      </c>
      <c r="Y665">
        <f t="shared" si="35"/>
        <v>40</v>
      </c>
      <c r="Z665">
        <f t="shared" si="35"/>
        <v>40</v>
      </c>
      <c r="AA665">
        <f t="shared" si="35"/>
        <v>40</v>
      </c>
      <c r="AB665">
        <f t="shared" si="35"/>
        <v>40</v>
      </c>
      <c r="AC665">
        <f t="shared" si="35"/>
        <v>40</v>
      </c>
      <c r="AD665">
        <f t="shared" si="35"/>
        <v>40</v>
      </c>
      <c r="AE665">
        <f t="shared" si="35"/>
        <v>40</v>
      </c>
      <c r="AF665">
        <f t="shared" si="35"/>
        <v>40</v>
      </c>
      <c r="AG665">
        <f t="shared" si="35"/>
        <v>40</v>
      </c>
      <c r="AH665">
        <f t="shared" si="35"/>
        <v>40</v>
      </c>
      <c r="AI665">
        <f t="shared" si="35"/>
        <v>40</v>
      </c>
      <c r="AJ665">
        <f t="shared" si="35"/>
        <v>40</v>
      </c>
      <c r="AK665">
        <f t="shared" si="35"/>
        <v>40</v>
      </c>
      <c r="AL665">
        <f t="shared" si="35"/>
        <v>40</v>
      </c>
      <c r="AM665">
        <f t="shared" si="35"/>
        <v>40</v>
      </c>
      <c r="AN665">
        <f t="shared" si="35"/>
        <v>40</v>
      </c>
      <c r="AO665">
        <f t="shared" si="35"/>
        <v>40</v>
      </c>
      <c r="AP665">
        <f t="shared" si="35"/>
        <v>40</v>
      </c>
      <c r="AQ665">
        <f t="shared" si="35"/>
        <v>40</v>
      </c>
      <c r="AR665">
        <f t="shared" si="35"/>
        <v>40</v>
      </c>
      <c r="AS665">
        <f t="shared" si="35"/>
        <v>40</v>
      </c>
      <c r="AT665">
        <f t="shared" si="35"/>
        <v>40</v>
      </c>
      <c r="AU665">
        <f t="shared" si="35"/>
        <v>40</v>
      </c>
      <c r="AV665">
        <f t="shared" si="35"/>
        <v>40</v>
      </c>
      <c r="AW665">
        <f t="shared" si="35"/>
        <v>40</v>
      </c>
      <c r="AX665">
        <f t="shared" si="35"/>
        <v>40</v>
      </c>
      <c r="AY665">
        <f t="shared" si="35"/>
        <v>40</v>
      </c>
      <c r="AZ665">
        <f t="shared" si="35"/>
        <v>40</v>
      </c>
      <c r="BA665">
        <f t="shared" si="35"/>
        <v>40</v>
      </c>
      <c r="BB665">
        <f t="shared" si="35"/>
        <v>40</v>
      </c>
      <c r="BC665">
        <f t="shared" si="35"/>
        <v>40</v>
      </c>
      <c r="BD665">
        <f t="shared" si="35"/>
        <v>40</v>
      </c>
      <c r="BE665">
        <f t="shared" si="35"/>
        <v>40</v>
      </c>
      <c r="BF665">
        <f t="shared" si="35"/>
        <v>40</v>
      </c>
      <c r="BG665">
        <f t="shared" si="35"/>
        <v>40</v>
      </c>
      <c r="BH665">
        <f t="shared" si="35"/>
        <v>40</v>
      </c>
      <c r="BI665">
        <f t="shared" si="35"/>
        <v>40</v>
      </c>
      <c r="BJ665">
        <f t="shared" si="35"/>
        <v>40</v>
      </c>
      <c r="BK665">
        <f t="shared" si="35"/>
        <v>40</v>
      </c>
      <c r="BL665">
        <f t="shared" si="35"/>
        <v>40</v>
      </c>
      <c r="BM665">
        <f t="shared" si="35"/>
        <v>40</v>
      </c>
      <c r="BN665">
        <f t="shared" si="35"/>
        <v>40</v>
      </c>
      <c r="BO665">
        <f t="shared" si="35"/>
        <v>40</v>
      </c>
      <c r="BP665">
        <f t="shared" si="35"/>
        <v>40</v>
      </c>
      <c r="BQ665">
        <f t="shared" si="35"/>
        <v>40</v>
      </c>
      <c r="BR665">
        <f t="shared" si="35"/>
        <v>40</v>
      </c>
      <c r="BS665">
        <f t="shared" ref="BS665:CX665" si="36">BR665</f>
        <v>40</v>
      </c>
      <c r="BT665">
        <f t="shared" si="36"/>
        <v>40</v>
      </c>
      <c r="BU665">
        <f t="shared" si="36"/>
        <v>40</v>
      </c>
      <c r="BV665">
        <f t="shared" si="36"/>
        <v>40</v>
      </c>
      <c r="BW665">
        <f t="shared" si="36"/>
        <v>40</v>
      </c>
      <c r="BX665">
        <f t="shared" si="36"/>
        <v>40</v>
      </c>
      <c r="BY665">
        <f t="shared" si="36"/>
        <v>40</v>
      </c>
      <c r="BZ665">
        <f t="shared" si="36"/>
        <v>40</v>
      </c>
      <c r="CA665">
        <f t="shared" si="36"/>
        <v>40</v>
      </c>
      <c r="CB665">
        <f t="shared" si="36"/>
        <v>40</v>
      </c>
      <c r="CC665">
        <f t="shared" si="36"/>
        <v>40</v>
      </c>
      <c r="CD665">
        <f t="shared" si="36"/>
        <v>40</v>
      </c>
      <c r="CE665">
        <f t="shared" si="36"/>
        <v>40</v>
      </c>
      <c r="CF665">
        <f t="shared" si="36"/>
        <v>40</v>
      </c>
      <c r="CG665">
        <f t="shared" si="36"/>
        <v>40</v>
      </c>
      <c r="CH665">
        <f t="shared" si="36"/>
        <v>40</v>
      </c>
      <c r="CI665">
        <f t="shared" si="36"/>
        <v>40</v>
      </c>
      <c r="CJ665">
        <f t="shared" si="36"/>
        <v>40</v>
      </c>
      <c r="CK665">
        <f t="shared" si="36"/>
        <v>40</v>
      </c>
      <c r="CL665">
        <f t="shared" si="36"/>
        <v>40</v>
      </c>
      <c r="CM665">
        <f t="shared" si="36"/>
        <v>40</v>
      </c>
      <c r="CN665">
        <f t="shared" si="36"/>
        <v>40</v>
      </c>
      <c r="CO665">
        <f t="shared" si="36"/>
        <v>40</v>
      </c>
      <c r="CP665">
        <f t="shared" si="36"/>
        <v>40</v>
      </c>
      <c r="CQ665">
        <f t="shared" si="36"/>
        <v>40</v>
      </c>
      <c r="CR665">
        <f t="shared" si="36"/>
        <v>40</v>
      </c>
      <c r="CS665">
        <f t="shared" si="36"/>
        <v>40</v>
      </c>
      <c r="CT665">
        <f t="shared" si="36"/>
        <v>40</v>
      </c>
      <c r="CU665">
        <f t="shared" si="36"/>
        <v>40</v>
      </c>
      <c r="CV665">
        <f t="shared" si="36"/>
        <v>40</v>
      </c>
      <c r="CW665">
        <f t="shared" si="36"/>
        <v>40</v>
      </c>
      <c r="CX665">
        <f t="shared" si="36"/>
        <v>40</v>
      </c>
    </row>
    <row r="666" spans="1:102" x14ac:dyDescent="0.25">
      <c r="A666" s="75"/>
      <c r="B666" t="s">
        <v>846</v>
      </c>
      <c r="C666">
        <v>1</v>
      </c>
      <c r="D666">
        <v>2</v>
      </c>
      <c r="E666" s="8">
        <v>3</v>
      </c>
      <c r="F666">
        <v>4</v>
      </c>
      <c r="G666" s="8">
        <v>5</v>
      </c>
      <c r="H666">
        <v>6</v>
      </c>
      <c r="I666" s="8">
        <v>7</v>
      </c>
      <c r="J666">
        <v>8</v>
      </c>
      <c r="K666" s="8">
        <v>9</v>
      </c>
      <c r="L666">
        <v>10</v>
      </c>
      <c r="M666" s="8">
        <v>11</v>
      </c>
      <c r="N666">
        <v>12</v>
      </c>
      <c r="O666" s="8">
        <v>13</v>
      </c>
      <c r="P666">
        <v>14</v>
      </c>
      <c r="Q666" s="8">
        <v>15</v>
      </c>
      <c r="R666">
        <v>16</v>
      </c>
      <c r="S666" s="8">
        <v>17</v>
      </c>
      <c r="T666">
        <v>18</v>
      </c>
      <c r="U666" s="8">
        <v>19</v>
      </c>
      <c r="V666">
        <v>20</v>
      </c>
      <c r="W666" s="8">
        <v>21</v>
      </c>
      <c r="X666">
        <v>22</v>
      </c>
      <c r="Y666" s="8">
        <v>23</v>
      </c>
      <c r="Z666">
        <v>24</v>
      </c>
      <c r="AA666" s="8">
        <v>25</v>
      </c>
      <c r="AB666">
        <v>26</v>
      </c>
      <c r="AC666" s="8">
        <v>27</v>
      </c>
      <c r="AD666">
        <v>28</v>
      </c>
      <c r="AE666" s="8">
        <v>29</v>
      </c>
      <c r="AF666">
        <v>30</v>
      </c>
      <c r="AG666" s="8">
        <v>31</v>
      </c>
      <c r="AH666">
        <v>32</v>
      </c>
      <c r="AI666" s="8">
        <v>33</v>
      </c>
      <c r="AJ666">
        <v>34</v>
      </c>
      <c r="AK666" s="8">
        <v>35</v>
      </c>
      <c r="AL666">
        <v>36</v>
      </c>
      <c r="AM666" s="8">
        <v>37</v>
      </c>
      <c r="AN666">
        <v>38</v>
      </c>
      <c r="AO666" s="8">
        <v>39</v>
      </c>
      <c r="AP666">
        <v>40</v>
      </c>
      <c r="AQ666" s="8">
        <v>41</v>
      </c>
      <c r="AR666">
        <v>42</v>
      </c>
      <c r="AS666" s="8">
        <v>43</v>
      </c>
      <c r="AT666">
        <v>44</v>
      </c>
      <c r="AU666" s="8">
        <v>45</v>
      </c>
      <c r="AV666">
        <v>46</v>
      </c>
      <c r="AW666" s="8">
        <v>47</v>
      </c>
      <c r="AX666">
        <v>48</v>
      </c>
      <c r="AY666" s="8">
        <v>49</v>
      </c>
      <c r="AZ666">
        <v>50</v>
      </c>
      <c r="BA666" s="8">
        <v>51</v>
      </c>
      <c r="BB666">
        <v>52</v>
      </c>
      <c r="BC666" s="8">
        <v>53</v>
      </c>
      <c r="BD666">
        <v>54</v>
      </c>
      <c r="BE666" s="8">
        <v>55</v>
      </c>
      <c r="BF666">
        <v>56</v>
      </c>
      <c r="BG666" s="8">
        <v>57</v>
      </c>
      <c r="BH666">
        <v>58</v>
      </c>
      <c r="BI666" s="8">
        <v>59</v>
      </c>
      <c r="BJ666">
        <v>60</v>
      </c>
      <c r="BK666" s="8">
        <v>61</v>
      </c>
      <c r="BL666">
        <v>62</v>
      </c>
      <c r="BM666" s="8">
        <v>63</v>
      </c>
      <c r="BN666">
        <v>64</v>
      </c>
      <c r="BO666" s="8">
        <v>65</v>
      </c>
      <c r="BP666">
        <v>66</v>
      </c>
      <c r="BQ666" s="8">
        <v>67</v>
      </c>
      <c r="BR666">
        <v>68</v>
      </c>
      <c r="BS666" s="8">
        <v>69</v>
      </c>
      <c r="BT666">
        <v>70</v>
      </c>
      <c r="BU666" s="8">
        <v>71</v>
      </c>
      <c r="BV666">
        <v>72</v>
      </c>
      <c r="BW666" s="8">
        <v>73</v>
      </c>
      <c r="BX666">
        <v>74</v>
      </c>
      <c r="BY666" s="8">
        <v>75</v>
      </c>
      <c r="BZ666">
        <v>76</v>
      </c>
      <c r="CA666" s="8">
        <v>77</v>
      </c>
      <c r="CB666">
        <v>78</v>
      </c>
      <c r="CC666" s="8">
        <v>79</v>
      </c>
      <c r="CD666">
        <v>80</v>
      </c>
      <c r="CE666" s="8">
        <v>81</v>
      </c>
      <c r="CF666">
        <v>82</v>
      </c>
      <c r="CG666" s="8">
        <v>83</v>
      </c>
      <c r="CH666">
        <v>84</v>
      </c>
      <c r="CI666" s="8">
        <v>85</v>
      </c>
      <c r="CJ666">
        <v>86</v>
      </c>
      <c r="CK666" s="8">
        <v>87</v>
      </c>
      <c r="CL666">
        <v>88</v>
      </c>
      <c r="CM666" s="8">
        <v>89</v>
      </c>
      <c r="CN666">
        <v>90</v>
      </c>
      <c r="CO666" s="8">
        <v>91</v>
      </c>
      <c r="CP666">
        <v>92</v>
      </c>
      <c r="CQ666" s="8">
        <v>93</v>
      </c>
      <c r="CR666">
        <v>94</v>
      </c>
      <c r="CS666" s="8">
        <v>95</v>
      </c>
      <c r="CT666">
        <v>96</v>
      </c>
      <c r="CU666" s="8">
        <v>97</v>
      </c>
      <c r="CV666">
        <v>98</v>
      </c>
      <c r="CW666" s="8">
        <v>99</v>
      </c>
      <c r="CX666">
        <v>100</v>
      </c>
    </row>
    <row r="667" spans="1:102" x14ac:dyDescent="0.25">
      <c r="A667" s="75"/>
      <c r="B667" t="s">
        <v>847</v>
      </c>
      <c r="C667">
        <f>(C666/50)*C665</f>
        <v>0.8</v>
      </c>
      <c r="D667">
        <f>(D666/50)*D665</f>
        <v>1.6</v>
      </c>
      <c r="E667">
        <f t="shared" ref="E667:AZ667" si="37">(E666/50)*E665</f>
        <v>2.4</v>
      </c>
      <c r="F667">
        <f t="shared" si="37"/>
        <v>3.2</v>
      </c>
      <c r="G667">
        <f t="shared" si="37"/>
        <v>4</v>
      </c>
      <c r="H667">
        <f t="shared" si="37"/>
        <v>4.8</v>
      </c>
      <c r="I667">
        <f t="shared" si="37"/>
        <v>5.6000000000000005</v>
      </c>
      <c r="J667">
        <f t="shared" si="37"/>
        <v>6.4</v>
      </c>
      <c r="K667">
        <f t="shared" si="37"/>
        <v>7.1999999999999993</v>
      </c>
      <c r="L667">
        <f t="shared" si="37"/>
        <v>8</v>
      </c>
      <c r="M667">
        <f t="shared" si="37"/>
        <v>8.8000000000000007</v>
      </c>
      <c r="N667">
        <f t="shared" si="37"/>
        <v>9.6</v>
      </c>
      <c r="O667">
        <f t="shared" si="37"/>
        <v>10.4</v>
      </c>
      <c r="P667">
        <f t="shared" si="37"/>
        <v>11.200000000000001</v>
      </c>
      <c r="Q667">
        <f t="shared" si="37"/>
        <v>12</v>
      </c>
      <c r="R667">
        <f t="shared" si="37"/>
        <v>12.8</v>
      </c>
      <c r="S667">
        <f t="shared" si="37"/>
        <v>13.600000000000001</v>
      </c>
      <c r="T667">
        <f t="shared" si="37"/>
        <v>14.399999999999999</v>
      </c>
      <c r="U667">
        <f t="shared" si="37"/>
        <v>15.2</v>
      </c>
      <c r="V667">
        <f t="shared" si="37"/>
        <v>16</v>
      </c>
      <c r="W667">
        <f t="shared" si="37"/>
        <v>16.8</v>
      </c>
      <c r="X667">
        <f t="shared" si="37"/>
        <v>17.600000000000001</v>
      </c>
      <c r="Y667">
        <f t="shared" si="37"/>
        <v>18.400000000000002</v>
      </c>
      <c r="Z667">
        <f t="shared" si="37"/>
        <v>19.2</v>
      </c>
      <c r="AA667">
        <f t="shared" si="37"/>
        <v>20</v>
      </c>
      <c r="AB667">
        <f t="shared" si="37"/>
        <v>20.8</v>
      </c>
      <c r="AC667">
        <f t="shared" si="37"/>
        <v>21.6</v>
      </c>
      <c r="AD667">
        <f t="shared" si="37"/>
        <v>22.400000000000002</v>
      </c>
      <c r="AE667">
        <f t="shared" si="37"/>
        <v>23.2</v>
      </c>
      <c r="AF667">
        <f t="shared" si="37"/>
        <v>24</v>
      </c>
      <c r="AG667">
        <f t="shared" si="37"/>
        <v>24.8</v>
      </c>
      <c r="AH667">
        <f t="shared" si="37"/>
        <v>25.6</v>
      </c>
      <c r="AI667">
        <f t="shared" si="37"/>
        <v>26.400000000000002</v>
      </c>
      <c r="AJ667">
        <f t="shared" si="37"/>
        <v>27.200000000000003</v>
      </c>
      <c r="AK667">
        <f t="shared" si="37"/>
        <v>28</v>
      </c>
      <c r="AL667">
        <f t="shared" si="37"/>
        <v>28.799999999999997</v>
      </c>
      <c r="AM667">
        <f t="shared" si="37"/>
        <v>29.6</v>
      </c>
      <c r="AN667">
        <f t="shared" si="37"/>
        <v>30.4</v>
      </c>
      <c r="AO667">
        <f t="shared" si="37"/>
        <v>31.200000000000003</v>
      </c>
      <c r="AP667">
        <f t="shared" si="37"/>
        <v>32</v>
      </c>
      <c r="AQ667">
        <f t="shared" si="37"/>
        <v>32.799999999999997</v>
      </c>
      <c r="AR667">
        <f t="shared" si="37"/>
        <v>33.6</v>
      </c>
      <c r="AS667">
        <f t="shared" si="37"/>
        <v>34.4</v>
      </c>
      <c r="AT667">
        <f t="shared" si="37"/>
        <v>35.200000000000003</v>
      </c>
      <c r="AU667">
        <f t="shared" si="37"/>
        <v>36</v>
      </c>
      <c r="AV667">
        <f t="shared" si="37"/>
        <v>36.800000000000004</v>
      </c>
      <c r="AW667">
        <f t="shared" si="37"/>
        <v>37.599999999999994</v>
      </c>
      <c r="AX667">
        <f t="shared" si="37"/>
        <v>38.4</v>
      </c>
      <c r="AY667">
        <f t="shared" si="37"/>
        <v>39.200000000000003</v>
      </c>
      <c r="AZ667">
        <f t="shared" si="37"/>
        <v>40</v>
      </c>
      <c r="BA667">
        <f>(((100-BA666)/50)*BA665)</f>
        <v>39.200000000000003</v>
      </c>
      <c r="BB667">
        <f t="shared" ref="BB667:BD667" si="38">(((100-BB666)/50)*BB665)</f>
        <v>38.4</v>
      </c>
      <c r="BC667">
        <f t="shared" si="38"/>
        <v>37.599999999999994</v>
      </c>
      <c r="BD667">
        <f t="shared" si="38"/>
        <v>36.800000000000004</v>
      </c>
      <c r="BE667">
        <f t="shared" ref="BE667" si="39">(((100-BE666)/50)*BE665)</f>
        <v>36</v>
      </c>
      <c r="BF667">
        <f t="shared" ref="BF667:BG667" si="40">(((100-BF666)/50)*BF665)</f>
        <v>35.200000000000003</v>
      </c>
      <c r="BG667">
        <f t="shared" si="40"/>
        <v>34.4</v>
      </c>
      <c r="BH667">
        <f t="shared" ref="BH667" si="41">(((100-BH666)/50)*BH665)</f>
        <v>33.6</v>
      </c>
      <c r="BI667">
        <f t="shared" ref="BI667:BJ667" si="42">(((100-BI666)/50)*BI665)</f>
        <v>32.799999999999997</v>
      </c>
      <c r="BJ667">
        <f t="shared" si="42"/>
        <v>32</v>
      </c>
      <c r="BK667">
        <f t="shared" ref="BK667" si="43">(((100-BK666)/50)*BK665)</f>
        <v>31.200000000000003</v>
      </c>
      <c r="BL667">
        <f t="shared" ref="BL667:BM667" si="44">(((100-BL666)/50)*BL665)</f>
        <v>30.4</v>
      </c>
      <c r="BM667">
        <f t="shared" si="44"/>
        <v>29.6</v>
      </c>
      <c r="BN667">
        <f t="shared" ref="BN667" si="45">(((100-BN666)/50)*BN665)</f>
        <v>28.799999999999997</v>
      </c>
      <c r="BO667">
        <f t="shared" ref="BO667:BP667" si="46">(((100-BO666)/50)*BO665)</f>
        <v>28</v>
      </c>
      <c r="BP667">
        <f t="shared" si="46"/>
        <v>27.200000000000003</v>
      </c>
      <c r="BQ667">
        <f t="shared" ref="BQ667" si="47">(((100-BQ666)/50)*BQ665)</f>
        <v>26.400000000000002</v>
      </c>
      <c r="BR667">
        <f t="shared" ref="BR667:BS667" si="48">(((100-BR666)/50)*BR665)</f>
        <v>25.6</v>
      </c>
      <c r="BS667">
        <f t="shared" si="48"/>
        <v>24.8</v>
      </c>
      <c r="BT667">
        <f t="shared" ref="BT667" si="49">(((100-BT666)/50)*BT665)</f>
        <v>24</v>
      </c>
      <c r="BU667">
        <f t="shared" ref="BU667:BV667" si="50">(((100-BU666)/50)*BU665)</f>
        <v>23.2</v>
      </c>
      <c r="BV667">
        <f t="shared" si="50"/>
        <v>22.400000000000002</v>
      </c>
      <c r="BW667">
        <f t="shared" ref="BW667" si="51">(((100-BW666)/50)*BW665)</f>
        <v>21.6</v>
      </c>
      <c r="BX667">
        <f t="shared" ref="BX667:BY667" si="52">(((100-BX666)/50)*BX665)</f>
        <v>20.8</v>
      </c>
      <c r="BY667">
        <f t="shared" si="52"/>
        <v>20</v>
      </c>
      <c r="BZ667">
        <f t="shared" ref="BZ667" si="53">(((100-BZ666)/50)*BZ665)</f>
        <v>19.2</v>
      </c>
      <c r="CA667">
        <f t="shared" ref="CA667:CB667" si="54">(((100-CA666)/50)*CA665)</f>
        <v>18.400000000000002</v>
      </c>
      <c r="CB667">
        <f t="shared" si="54"/>
        <v>17.600000000000001</v>
      </c>
      <c r="CC667">
        <f t="shared" ref="CC667" si="55">(((100-CC666)/50)*CC665)</f>
        <v>16.8</v>
      </c>
      <c r="CD667">
        <f t="shared" ref="CD667:CE667" si="56">(((100-CD666)/50)*CD665)</f>
        <v>16</v>
      </c>
      <c r="CE667">
        <f t="shared" si="56"/>
        <v>15.2</v>
      </c>
      <c r="CF667">
        <f t="shared" ref="CF667" si="57">(((100-CF666)/50)*CF665)</f>
        <v>14.399999999999999</v>
      </c>
      <c r="CG667">
        <f t="shared" ref="CG667:CH667" si="58">(((100-CG666)/50)*CG665)</f>
        <v>13.600000000000001</v>
      </c>
      <c r="CH667">
        <f t="shared" si="58"/>
        <v>12.8</v>
      </c>
      <c r="CI667">
        <f t="shared" ref="CI667" si="59">(((100-CI666)/50)*CI665)</f>
        <v>12</v>
      </c>
      <c r="CJ667">
        <f t="shared" ref="CJ667:CK667" si="60">(((100-CJ666)/50)*CJ665)</f>
        <v>11.200000000000001</v>
      </c>
      <c r="CK667">
        <f t="shared" si="60"/>
        <v>10.4</v>
      </c>
      <c r="CL667">
        <f t="shared" ref="CL667" si="61">(((100-CL666)/50)*CL665)</f>
        <v>9.6</v>
      </c>
      <c r="CM667">
        <f t="shared" ref="CM667:CN667" si="62">(((100-CM666)/50)*CM665)</f>
        <v>8.8000000000000007</v>
      </c>
      <c r="CN667">
        <f t="shared" si="62"/>
        <v>8</v>
      </c>
      <c r="CO667">
        <f t="shared" ref="CO667" si="63">(((100-CO666)/50)*CO665)</f>
        <v>7.1999999999999993</v>
      </c>
      <c r="CP667">
        <f t="shared" ref="CP667:CQ667" si="64">(((100-CP666)/50)*CP665)</f>
        <v>6.4</v>
      </c>
      <c r="CQ667">
        <f t="shared" si="64"/>
        <v>5.6000000000000005</v>
      </c>
      <c r="CR667">
        <f t="shared" ref="CR667" si="65">(((100-CR666)/50)*CR665)</f>
        <v>4.8</v>
      </c>
      <c r="CS667">
        <f t="shared" ref="CS667:CT667" si="66">(((100-CS666)/50)*CS665)</f>
        <v>4</v>
      </c>
      <c r="CT667">
        <f t="shared" si="66"/>
        <v>3.2</v>
      </c>
      <c r="CU667">
        <f t="shared" ref="CU667" si="67">(((100-CU666)/50)*CU665)</f>
        <v>2.4</v>
      </c>
      <c r="CV667">
        <f t="shared" ref="CV667:CW667" si="68">(((100-CV666)/50)*CV665)</f>
        <v>1.6</v>
      </c>
      <c r="CW667">
        <f t="shared" si="68"/>
        <v>0.8</v>
      </c>
      <c r="CX667">
        <f t="shared" ref="CX667" si="69">(((100-CX666)/50)*CX665)</f>
        <v>0</v>
      </c>
    </row>
    <row r="668" spans="1:102" x14ac:dyDescent="0.25">
      <c r="A668" s="75"/>
      <c r="B668" t="s">
        <v>849</v>
      </c>
      <c r="C668">
        <f t="shared" ref="C668:AH668" si="70">C667/$D$638</f>
        <v>4.0000000000000001E-3</v>
      </c>
      <c r="D668">
        <f t="shared" si="70"/>
        <v>8.0000000000000002E-3</v>
      </c>
      <c r="E668">
        <f t="shared" si="70"/>
        <v>1.2E-2</v>
      </c>
      <c r="F668">
        <f t="shared" si="70"/>
        <v>1.6E-2</v>
      </c>
      <c r="G668">
        <f t="shared" si="70"/>
        <v>0.02</v>
      </c>
      <c r="H668">
        <f t="shared" si="70"/>
        <v>2.4E-2</v>
      </c>
      <c r="I668">
        <f t="shared" si="70"/>
        <v>2.8000000000000004E-2</v>
      </c>
      <c r="J668">
        <f t="shared" si="70"/>
        <v>3.2000000000000001E-2</v>
      </c>
      <c r="K668">
        <f t="shared" si="70"/>
        <v>3.5999999999999997E-2</v>
      </c>
      <c r="L668">
        <f t="shared" si="70"/>
        <v>0.04</v>
      </c>
      <c r="M668">
        <f t="shared" si="70"/>
        <v>4.4000000000000004E-2</v>
      </c>
      <c r="N668">
        <f t="shared" si="70"/>
        <v>4.8000000000000001E-2</v>
      </c>
      <c r="O668">
        <f t="shared" si="70"/>
        <v>5.2000000000000005E-2</v>
      </c>
      <c r="P668">
        <f t="shared" si="70"/>
        <v>5.6000000000000008E-2</v>
      </c>
      <c r="Q668">
        <f t="shared" si="70"/>
        <v>0.06</v>
      </c>
      <c r="R668">
        <f t="shared" si="70"/>
        <v>6.4000000000000001E-2</v>
      </c>
      <c r="S668">
        <f t="shared" si="70"/>
        <v>6.8000000000000005E-2</v>
      </c>
      <c r="T668">
        <f t="shared" si="70"/>
        <v>7.1999999999999995E-2</v>
      </c>
      <c r="U668">
        <f t="shared" si="70"/>
        <v>7.5999999999999998E-2</v>
      </c>
      <c r="V668">
        <f t="shared" si="70"/>
        <v>0.08</v>
      </c>
      <c r="W668">
        <f t="shared" si="70"/>
        <v>8.4000000000000005E-2</v>
      </c>
      <c r="X668">
        <f t="shared" si="70"/>
        <v>8.8000000000000009E-2</v>
      </c>
      <c r="Y668">
        <f t="shared" si="70"/>
        <v>9.2000000000000012E-2</v>
      </c>
      <c r="Z668">
        <f t="shared" si="70"/>
        <v>9.6000000000000002E-2</v>
      </c>
      <c r="AA668">
        <f t="shared" si="70"/>
        <v>0.1</v>
      </c>
      <c r="AB668">
        <f t="shared" si="70"/>
        <v>0.10400000000000001</v>
      </c>
      <c r="AC668">
        <f t="shared" si="70"/>
        <v>0.10800000000000001</v>
      </c>
      <c r="AD668">
        <f t="shared" si="70"/>
        <v>0.11200000000000002</v>
      </c>
      <c r="AE668">
        <f t="shared" si="70"/>
        <v>0.11599999999999999</v>
      </c>
      <c r="AF668">
        <f t="shared" si="70"/>
        <v>0.12</v>
      </c>
      <c r="AG668">
        <f t="shared" si="70"/>
        <v>0.124</v>
      </c>
      <c r="AH668">
        <f t="shared" si="70"/>
        <v>0.128</v>
      </c>
      <c r="AI668">
        <f t="shared" ref="AI668:BN668" si="71">AI667/$D$638</f>
        <v>0.13200000000000001</v>
      </c>
      <c r="AJ668">
        <f t="shared" si="71"/>
        <v>0.13600000000000001</v>
      </c>
      <c r="AK668">
        <f t="shared" si="71"/>
        <v>0.14000000000000001</v>
      </c>
      <c r="AL668">
        <f t="shared" si="71"/>
        <v>0.14399999999999999</v>
      </c>
      <c r="AM668">
        <f t="shared" si="71"/>
        <v>0.14800000000000002</v>
      </c>
      <c r="AN668">
        <f t="shared" si="71"/>
        <v>0.152</v>
      </c>
      <c r="AO668">
        <f t="shared" si="71"/>
        <v>0.15600000000000003</v>
      </c>
      <c r="AP668">
        <f t="shared" si="71"/>
        <v>0.16</v>
      </c>
      <c r="AQ668">
        <f t="shared" si="71"/>
        <v>0.16399999999999998</v>
      </c>
      <c r="AR668">
        <f t="shared" si="71"/>
        <v>0.16800000000000001</v>
      </c>
      <c r="AS668">
        <f t="shared" si="71"/>
        <v>0.17199999999999999</v>
      </c>
      <c r="AT668">
        <f t="shared" si="71"/>
        <v>0.17600000000000002</v>
      </c>
      <c r="AU668">
        <f t="shared" si="71"/>
        <v>0.18</v>
      </c>
      <c r="AV668">
        <f t="shared" si="71"/>
        <v>0.18400000000000002</v>
      </c>
      <c r="AW668">
        <f t="shared" si="71"/>
        <v>0.18799999999999997</v>
      </c>
      <c r="AX668">
        <f t="shared" si="71"/>
        <v>0.192</v>
      </c>
      <c r="AY668">
        <f t="shared" si="71"/>
        <v>0.19600000000000001</v>
      </c>
      <c r="AZ668">
        <f t="shared" si="71"/>
        <v>0.2</v>
      </c>
      <c r="BA668">
        <f t="shared" si="71"/>
        <v>0.19600000000000001</v>
      </c>
      <c r="BB668">
        <f t="shared" si="71"/>
        <v>0.192</v>
      </c>
      <c r="BC668">
        <f t="shared" si="71"/>
        <v>0.18799999999999997</v>
      </c>
      <c r="BD668">
        <f t="shared" si="71"/>
        <v>0.18400000000000002</v>
      </c>
      <c r="BE668">
        <f t="shared" si="71"/>
        <v>0.18</v>
      </c>
      <c r="BF668">
        <f t="shared" si="71"/>
        <v>0.17600000000000002</v>
      </c>
      <c r="BG668">
        <f t="shared" si="71"/>
        <v>0.17199999999999999</v>
      </c>
      <c r="BH668">
        <f t="shared" si="71"/>
        <v>0.16800000000000001</v>
      </c>
      <c r="BI668">
        <f t="shared" si="71"/>
        <v>0.16399999999999998</v>
      </c>
      <c r="BJ668">
        <f t="shared" si="71"/>
        <v>0.16</v>
      </c>
      <c r="BK668">
        <f t="shared" si="71"/>
        <v>0.15600000000000003</v>
      </c>
      <c r="BL668">
        <f t="shared" si="71"/>
        <v>0.152</v>
      </c>
      <c r="BM668">
        <f t="shared" si="71"/>
        <v>0.14800000000000002</v>
      </c>
      <c r="BN668">
        <f t="shared" si="71"/>
        <v>0.14399999999999999</v>
      </c>
      <c r="BO668">
        <f t="shared" ref="BO668" si="72">BO667/$D$638</f>
        <v>0.14000000000000001</v>
      </c>
      <c r="BP668">
        <f t="shared" ref="BP668:CX668" si="73">BP667/$D$638</f>
        <v>0.13600000000000001</v>
      </c>
      <c r="BQ668">
        <f t="shared" si="73"/>
        <v>0.13200000000000001</v>
      </c>
      <c r="BR668">
        <f t="shared" si="73"/>
        <v>0.128</v>
      </c>
      <c r="BS668">
        <f t="shared" si="73"/>
        <v>0.124</v>
      </c>
      <c r="BT668">
        <f t="shared" si="73"/>
        <v>0.12</v>
      </c>
      <c r="BU668">
        <f t="shared" si="73"/>
        <v>0.11599999999999999</v>
      </c>
      <c r="BV668">
        <f t="shared" si="73"/>
        <v>0.11200000000000002</v>
      </c>
      <c r="BW668">
        <f t="shared" si="73"/>
        <v>0.10800000000000001</v>
      </c>
      <c r="BX668">
        <f t="shared" si="73"/>
        <v>0.10400000000000001</v>
      </c>
      <c r="BY668">
        <f t="shared" si="73"/>
        <v>0.1</v>
      </c>
      <c r="BZ668">
        <f t="shared" si="73"/>
        <v>9.6000000000000002E-2</v>
      </c>
      <c r="CA668">
        <f t="shared" si="73"/>
        <v>9.2000000000000012E-2</v>
      </c>
      <c r="CB668">
        <f t="shared" si="73"/>
        <v>8.8000000000000009E-2</v>
      </c>
      <c r="CC668">
        <f t="shared" si="73"/>
        <v>8.4000000000000005E-2</v>
      </c>
      <c r="CD668">
        <f t="shared" si="73"/>
        <v>0.08</v>
      </c>
      <c r="CE668">
        <f t="shared" si="73"/>
        <v>7.5999999999999998E-2</v>
      </c>
      <c r="CF668">
        <f t="shared" si="73"/>
        <v>7.1999999999999995E-2</v>
      </c>
      <c r="CG668">
        <f t="shared" si="73"/>
        <v>6.8000000000000005E-2</v>
      </c>
      <c r="CH668">
        <f t="shared" si="73"/>
        <v>6.4000000000000001E-2</v>
      </c>
      <c r="CI668">
        <f t="shared" si="73"/>
        <v>0.06</v>
      </c>
      <c r="CJ668">
        <f t="shared" si="73"/>
        <v>5.6000000000000008E-2</v>
      </c>
      <c r="CK668">
        <f t="shared" si="73"/>
        <v>5.2000000000000005E-2</v>
      </c>
      <c r="CL668">
        <f t="shared" si="73"/>
        <v>4.8000000000000001E-2</v>
      </c>
      <c r="CM668">
        <f t="shared" si="73"/>
        <v>4.4000000000000004E-2</v>
      </c>
      <c r="CN668">
        <f t="shared" si="73"/>
        <v>0.04</v>
      </c>
      <c r="CO668">
        <f t="shared" si="73"/>
        <v>3.5999999999999997E-2</v>
      </c>
      <c r="CP668">
        <f t="shared" si="73"/>
        <v>3.2000000000000001E-2</v>
      </c>
      <c r="CQ668">
        <f t="shared" si="73"/>
        <v>2.8000000000000004E-2</v>
      </c>
      <c r="CR668">
        <f t="shared" si="73"/>
        <v>2.4E-2</v>
      </c>
      <c r="CS668">
        <f t="shared" si="73"/>
        <v>0.02</v>
      </c>
      <c r="CT668">
        <f t="shared" si="73"/>
        <v>1.6E-2</v>
      </c>
      <c r="CU668">
        <f t="shared" si="73"/>
        <v>1.2E-2</v>
      </c>
      <c r="CV668">
        <f t="shared" si="73"/>
        <v>8.0000000000000002E-3</v>
      </c>
      <c r="CW668">
        <f t="shared" si="73"/>
        <v>4.0000000000000001E-3</v>
      </c>
      <c r="CX668">
        <f t="shared" si="73"/>
        <v>0</v>
      </c>
    </row>
    <row r="669" spans="1:102" x14ac:dyDescent="0.25">
      <c r="A669" s="75"/>
      <c r="B669" t="s">
        <v>850</v>
      </c>
      <c r="C669">
        <f>(($D$644*2)+(C668*($D$646+$D$648)))*$D$664</f>
        <v>6.6875000000000006E-7</v>
      </c>
      <c r="D669">
        <f>(($D$644*2)+(D668*($D$646+$D$648)))*$D$664</f>
        <v>6.8125000000000015E-7</v>
      </c>
      <c r="E669">
        <f t="shared" ref="E669:BP669" si="74">(($D$644*2)+(E668*($D$646+$D$648)))*$D$664</f>
        <v>6.9375000000000013E-7</v>
      </c>
      <c r="F669">
        <f t="shared" si="74"/>
        <v>7.0625000000000012E-7</v>
      </c>
      <c r="G669">
        <f t="shared" si="74"/>
        <v>7.1875000000000011E-7</v>
      </c>
      <c r="H669">
        <f t="shared" si="74"/>
        <v>7.3124999999999999E-7</v>
      </c>
      <c r="I669">
        <f t="shared" si="74"/>
        <v>7.4375000000000008E-7</v>
      </c>
      <c r="J669">
        <f t="shared" si="74"/>
        <v>7.5625000000000007E-7</v>
      </c>
      <c r="K669">
        <f t="shared" si="74"/>
        <v>7.6875000000000005E-7</v>
      </c>
      <c r="L669">
        <f t="shared" si="74"/>
        <v>7.8125000000000004E-7</v>
      </c>
      <c r="M669">
        <f t="shared" si="74"/>
        <v>7.9375000000000002E-7</v>
      </c>
      <c r="N669">
        <f t="shared" si="74"/>
        <v>8.0625000000000012E-7</v>
      </c>
      <c r="O669">
        <f t="shared" si="74"/>
        <v>8.187500000000001E-7</v>
      </c>
      <c r="P669">
        <f t="shared" si="74"/>
        <v>8.3125000000000009E-7</v>
      </c>
      <c r="Q669">
        <f t="shared" si="74"/>
        <v>8.4375000000000007E-7</v>
      </c>
      <c r="R669">
        <f t="shared" si="74"/>
        <v>8.5625000000000017E-7</v>
      </c>
      <c r="S669">
        <f t="shared" si="74"/>
        <v>8.6875000000000015E-7</v>
      </c>
      <c r="T669">
        <f t="shared" si="74"/>
        <v>8.8125000000000014E-7</v>
      </c>
      <c r="U669">
        <f t="shared" si="74"/>
        <v>8.9375000000000012E-7</v>
      </c>
      <c r="V669">
        <f t="shared" si="74"/>
        <v>9.0625000000000022E-7</v>
      </c>
      <c r="W669">
        <f t="shared" si="74"/>
        <v>9.187500000000002E-7</v>
      </c>
      <c r="X669">
        <f t="shared" si="74"/>
        <v>9.3125000000000019E-7</v>
      </c>
      <c r="Y669">
        <f t="shared" si="74"/>
        <v>9.4375000000000018E-7</v>
      </c>
      <c r="Z669">
        <f t="shared" si="74"/>
        <v>9.5625000000000016E-7</v>
      </c>
      <c r="AA669">
        <f t="shared" si="74"/>
        <v>9.6875000000000004E-7</v>
      </c>
      <c r="AB669">
        <f t="shared" si="74"/>
        <v>9.8125000000000013E-7</v>
      </c>
      <c r="AC669">
        <f t="shared" si="74"/>
        <v>9.9375000000000023E-7</v>
      </c>
      <c r="AD669">
        <f t="shared" si="74"/>
        <v>1.0062500000000001E-6</v>
      </c>
      <c r="AE669">
        <f t="shared" si="74"/>
        <v>1.01875E-6</v>
      </c>
      <c r="AF669">
        <f t="shared" si="74"/>
        <v>1.0312500000000001E-6</v>
      </c>
      <c r="AG669">
        <f t="shared" si="74"/>
        <v>1.04375E-6</v>
      </c>
      <c r="AH669">
        <f t="shared" si="74"/>
        <v>1.0562500000000001E-6</v>
      </c>
      <c r="AI669">
        <f t="shared" si="74"/>
        <v>1.0687500000000001E-6</v>
      </c>
      <c r="AJ669">
        <f t="shared" si="74"/>
        <v>1.08125E-6</v>
      </c>
      <c r="AK669">
        <f t="shared" si="74"/>
        <v>1.0937500000000001E-6</v>
      </c>
      <c r="AL669">
        <f t="shared" si="74"/>
        <v>1.10625E-6</v>
      </c>
      <c r="AM669">
        <f t="shared" si="74"/>
        <v>1.1187500000000001E-6</v>
      </c>
      <c r="AN669">
        <f t="shared" si="74"/>
        <v>1.1312500000000002E-6</v>
      </c>
      <c r="AO669">
        <f t="shared" si="74"/>
        <v>1.1437500000000001E-6</v>
      </c>
      <c r="AP669">
        <f t="shared" si="74"/>
        <v>1.1562500000000002E-6</v>
      </c>
      <c r="AQ669">
        <f t="shared" si="74"/>
        <v>1.16875E-6</v>
      </c>
      <c r="AR669">
        <f t="shared" si="74"/>
        <v>1.1812500000000001E-6</v>
      </c>
      <c r="AS669">
        <f t="shared" si="74"/>
        <v>1.19375E-6</v>
      </c>
      <c r="AT669">
        <f t="shared" si="74"/>
        <v>1.2062500000000001E-6</v>
      </c>
      <c r="AU669">
        <f t="shared" si="74"/>
        <v>1.21875E-6</v>
      </c>
      <c r="AV669">
        <f t="shared" si="74"/>
        <v>1.2312500000000003E-6</v>
      </c>
      <c r="AW669">
        <f t="shared" si="74"/>
        <v>1.24375E-6</v>
      </c>
      <c r="AX669">
        <f t="shared" si="74"/>
        <v>1.25625E-6</v>
      </c>
      <c r="AY669">
        <f t="shared" si="74"/>
        <v>1.2687500000000003E-6</v>
      </c>
      <c r="AZ669">
        <f t="shared" si="74"/>
        <v>1.28125E-6</v>
      </c>
      <c r="BA669">
        <f t="shared" si="74"/>
        <v>1.2687500000000003E-6</v>
      </c>
      <c r="BB669">
        <f t="shared" si="74"/>
        <v>1.25625E-6</v>
      </c>
      <c r="BC669">
        <f t="shared" si="74"/>
        <v>1.24375E-6</v>
      </c>
      <c r="BD669">
        <f t="shared" si="74"/>
        <v>1.2312500000000003E-6</v>
      </c>
      <c r="BE669">
        <f t="shared" si="74"/>
        <v>1.21875E-6</v>
      </c>
      <c r="BF669">
        <f t="shared" si="74"/>
        <v>1.2062500000000001E-6</v>
      </c>
      <c r="BG669">
        <f t="shared" si="74"/>
        <v>1.19375E-6</v>
      </c>
      <c r="BH669">
        <f t="shared" si="74"/>
        <v>1.1812500000000001E-6</v>
      </c>
      <c r="BI669">
        <f t="shared" si="74"/>
        <v>1.16875E-6</v>
      </c>
      <c r="BJ669">
        <f t="shared" si="74"/>
        <v>1.1562500000000002E-6</v>
      </c>
      <c r="BK669">
        <f t="shared" si="74"/>
        <v>1.1437500000000001E-6</v>
      </c>
      <c r="BL669">
        <f t="shared" si="74"/>
        <v>1.1312500000000002E-6</v>
      </c>
      <c r="BM669">
        <f t="shared" si="74"/>
        <v>1.1187500000000001E-6</v>
      </c>
      <c r="BN669">
        <f t="shared" si="74"/>
        <v>1.10625E-6</v>
      </c>
      <c r="BO669">
        <f t="shared" si="74"/>
        <v>1.0937500000000001E-6</v>
      </c>
      <c r="BP669">
        <f t="shared" si="74"/>
        <v>1.08125E-6</v>
      </c>
      <c r="BQ669">
        <f t="shared" ref="BQ669:CX669" si="75">(($D$644*2)+(BQ668*($D$646+$D$648)))*$D$664</f>
        <v>1.0687500000000001E-6</v>
      </c>
      <c r="BR669">
        <f t="shared" si="75"/>
        <v>1.0562500000000001E-6</v>
      </c>
      <c r="BS669">
        <f t="shared" si="75"/>
        <v>1.04375E-6</v>
      </c>
      <c r="BT669">
        <f t="shared" si="75"/>
        <v>1.0312500000000001E-6</v>
      </c>
      <c r="BU669">
        <f t="shared" si="75"/>
        <v>1.01875E-6</v>
      </c>
      <c r="BV669">
        <f t="shared" si="75"/>
        <v>1.0062500000000001E-6</v>
      </c>
      <c r="BW669">
        <f t="shared" si="75"/>
        <v>9.9375000000000023E-7</v>
      </c>
      <c r="BX669">
        <f t="shared" si="75"/>
        <v>9.8125000000000013E-7</v>
      </c>
      <c r="BY669">
        <f t="shared" si="75"/>
        <v>9.6875000000000004E-7</v>
      </c>
      <c r="BZ669">
        <f t="shared" si="75"/>
        <v>9.5625000000000016E-7</v>
      </c>
      <c r="CA669">
        <f t="shared" si="75"/>
        <v>9.4375000000000018E-7</v>
      </c>
      <c r="CB669">
        <f t="shared" si="75"/>
        <v>9.3125000000000019E-7</v>
      </c>
      <c r="CC669">
        <f t="shared" si="75"/>
        <v>9.187500000000002E-7</v>
      </c>
      <c r="CD669">
        <f t="shared" si="75"/>
        <v>9.0625000000000022E-7</v>
      </c>
      <c r="CE669">
        <f t="shared" si="75"/>
        <v>8.9375000000000012E-7</v>
      </c>
      <c r="CF669">
        <f t="shared" si="75"/>
        <v>8.8125000000000014E-7</v>
      </c>
      <c r="CG669">
        <f t="shared" si="75"/>
        <v>8.6875000000000015E-7</v>
      </c>
      <c r="CH669">
        <f t="shared" si="75"/>
        <v>8.5625000000000017E-7</v>
      </c>
      <c r="CI669">
        <f t="shared" si="75"/>
        <v>8.4375000000000007E-7</v>
      </c>
      <c r="CJ669">
        <f t="shared" si="75"/>
        <v>8.3125000000000009E-7</v>
      </c>
      <c r="CK669">
        <f t="shared" si="75"/>
        <v>8.187500000000001E-7</v>
      </c>
      <c r="CL669">
        <f t="shared" si="75"/>
        <v>8.0625000000000012E-7</v>
      </c>
      <c r="CM669">
        <f t="shared" si="75"/>
        <v>7.9375000000000002E-7</v>
      </c>
      <c r="CN669">
        <f t="shared" si="75"/>
        <v>7.8125000000000004E-7</v>
      </c>
      <c r="CO669">
        <f t="shared" si="75"/>
        <v>7.6875000000000005E-7</v>
      </c>
      <c r="CP669">
        <f t="shared" si="75"/>
        <v>7.5625000000000007E-7</v>
      </c>
      <c r="CQ669">
        <f t="shared" si="75"/>
        <v>7.4375000000000008E-7</v>
      </c>
      <c r="CR669">
        <f t="shared" si="75"/>
        <v>7.3124999999999999E-7</v>
      </c>
      <c r="CS669">
        <f t="shared" si="75"/>
        <v>7.1875000000000011E-7</v>
      </c>
      <c r="CT669">
        <f t="shared" si="75"/>
        <v>7.0625000000000012E-7</v>
      </c>
      <c r="CU669">
        <f t="shared" si="75"/>
        <v>6.9375000000000013E-7</v>
      </c>
      <c r="CV669">
        <f t="shared" si="75"/>
        <v>6.8125000000000015E-7</v>
      </c>
      <c r="CW669">
        <f t="shared" si="75"/>
        <v>6.6875000000000006E-7</v>
      </c>
      <c r="CX669">
        <f t="shared" si="75"/>
        <v>6.5625000000000007E-7</v>
      </c>
    </row>
    <row r="670" spans="1:102" x14ac:dyDescent="0.25">
      <c r="A670" s="75"/>
      <c r="B670" t="s">
        <v>851</v>
      </c>
      <c r="C670" s="27">
        <f>SUM(C669:CX669)</f>
        <v>9.6874999999999969E-5</v>
      </c>
    </row>
    <row r="671" spans="1:102" x14ac:dyDescent="0.25">
      <c r="A671" s="75"/>
      <c r="B671" t="s">
        <v>852</v>
      </c>
      <c r="C671" s="27">
        <f>791/1000000</f>
        <v>7.9100000000000004E-4</v>
      </c>
    </row>
    <row r="672" spans="1:102" x14ac:dyDescent="0.25">
      <c r="A672" s="75"/>
      <c r="C672" t="s">
        <v>853</v>
      </c>
      <c r="D672" s="27" t="b">
        <f>C670&lt;=C671</f>
        <v>1</v>
      </c>
    </row>
    <row r="673" spans="1:5" x14ac:dyDescent="0.25">
      <c r="A673" s="45"/>
    </row>
    <row r="674" spans="1:5" x14ac:dyDescent="0.25">
      <c r="A674" s="45"/>
      <c r="E674" s="8"/>
    </row>
    <row r="675" spans="1:5" x14ac:dyDescent="0.25">
      <c r="A675" s="76" t="s">
        <v>431</v>
      </c>
      <c r="B675" t="s">
        <v>47</v>
      </c>
      <c r="C675" t="s">
        <v>46</v>
      </c>
      <c r="D675">
        <f>D3</f>
        <v>16000</v>
      </c>
    </row>
    <row r="676" spans="1:5" x14ac:dyDescent="0.25">
      <c r="A676" s="76"/>
      <c r="B676" t="s">
        <v>40</v>
      </c>
      <c r="C676" t="s">
        <v>414</v>
      </c>
      <c r="D676">
        <f>D114</f>
        <v>22.598870056497173</v>
      </c>
    </row>
    <row r="677" spans="1:5" x14ac:dyDescent="0.25">
      <c r="A677" s="76"/>
      <c r="B677" t="s">
        <v>39</v>
      </c>
      <c r="C677" t="s">
        <v>415</v>
      </c>
      <c r="D677">
        <f>D110</f>
        <v>0.5</v>
      </c>
    </row>
    <row r="678" spans="1:5" x14ac:dyDescent="0.25">
      <c r="A678" s="76"/>
      <c r="B678" t="s">
        <v>412</v>
      </c>
      <c r="C678" t="s">
        <v>413</v>
      </c>
      <c r="D678">
        <f>0.5*D676/D675</f>
        <v>7.0621468926553661E-4</v>
      </c>
    </row>
    <row r="679" spans="1:5" x14ac:dyDescent="0.25">
      <c r="A679" s="76"/>
      <c r="B679" t="s">
        <v>416</v>
      </c>
      <c r="D679">
        <v>0.5</v>
      </c>
    </row>
    <row r="680" spans="1:5" x14ac:dyDescent="0.25">
      <c r="A680" s="76"/>
      <c r="B680" t="s">
        <v>422</v>
      </c>
      <c r="D680">
        <f>D678/D679</f>
        <v>1.4124293785310732E-3</v>
      </c>
    </row>
    <row r="681" spans="1:5" x14ac:dyDescent="0.25">
      <c r="A681" s="76"/>
      <c r="C681" t="s">
        <v>417</v>
      </c>
      <c r="D681">
        <v>10</v>
      </c>
    </row>
    <row r="682" spans="1:5" x14ac:dyDescent="0.25">
      <c r="A682" s="76"/>
      <c r="B682" t="s">
        <v>421</v>
      </c>
      <c r="D682">
        <f>D681*D680</f>
        <v>1.4124293785310733E-2</v>
      </c>
    </row>
    <row r="683" spans="1:5" x14ac:dyDescent="0.25">
      <c r="A683" s="76"/>
      <c r="B683" t="s">
        <v>446</v>
      </c>
      <c r="C683" t="s">
        <v>447</v>
      </c>
      <c r="D683">
        <f>3*D705</f>
        <v>132.30000000000001</v>
      </c>
    </row>
    <row r="684" spans="1:5" x14ac:dyDescent="0.25">
      <c r="A684" s="76"/>
      <c r="B684" t="s">
        <v>448</v>
      </c>
      <c r="D684" s="1">
        <v>1E-3</v>
      </c>
    </row>
    <row r="685" spans="1:5" x14ac:dyDescent="0.25">
      <c r="A685" s="76"/>
      <c r="B685" t="s">
        <v>449</v>
      </c>
      <c r="D685">
        <v>20</v>
      </c>
    </row>
    <row r="686" spans="1:5" x14ac:dyDescent="0.25">
      <c r="A686" s="76"/>
      <c r="B686" t="s">
        <v>452</v>
      </c>
      <c r="C686" t="s">
        <v>453</v>
      </c>
      <c r="D686" s="29">
        <v>1.7000000000000001E-2</v>
      </c>
    </row>
    <row r="687" spans="1:5" x14ac:dyDescent="0.25">
      <c r="A687" s="76"/>
      <c r="B687" t="s">
        <v>454</v>
      </c>
      <c r="D687">
        <f>D686/D685</f>
        <v>8.5000000000000006E-4</v>
      </c>
    </row>
    <row r="688" spans="1:5" x14ac:dyDescent="0.25">
      <c r="A688" s="76"/>
      <c r="B688" t="s">
        <v>427</v>
      </c>
      <c r="C688" t="s">
        <v>428</v>
      </c>
      <c r="D688" s="1">
        <f>D684*D685</f>
        <v>0.02</v>
      </c>
    </row>
    <row r="689" spans="1:4" x14ac:dyDescent="0.25">
      <c r="A689" s="76"/>
      <c r="C689" t="s">
        <v>450</v>
      </c>
      <c r="D689" s="1">
        <f>0.2</f>
        <v>0.2</v>
      </c>
    </row>
    <row r="690" spans="1:4" x14ac:dyDescent="0.25">
      <c r="A690" s="76"/>
      <c r="B690" t="s">
        <v>451</v>
      </c>
      <c r="D690" s="1">
        <f>D688*(1-D689)</f>
        <v>1.6E-2</v>
      </c>
    </row>
    <row r="691" spans="1:4" x14ac:dyDescent="0.25">
      <c r="A691" s="76"/>
      <c r="B691" t="s">
        <v>487</v>
      </c>
      <c r="D691" s="1">
        <f>D687*D676</f>
        <v>1.9209039548022597E-2</v>
      </c>
    </row>
    <row r="692" spans="1:4" x14ac:dyDescent="0.25">
      <c r="A692" s="76"/>
      <c r="B692" t="s">
        <v>488</v>
      </c>
      <c r="D692" s="1">
        <f>D678/D688</f>
        <v>3.531073446327683E-2</v>
      </c>
    </row>
    <row r="693" spans="1:4" x14ac:dyDescent="0.25">
      <c r="A693" s="76"/>
      <c r="B693" t="s">
        <v>489</v>
      </c>
      <c r="D693" s="1">
        <f>D691+D692</f>
        <v>5.4519774011299427E-2</v>
      </c>
    </row>
    <row r="694" spans="1:4" x14ac:dyDescent="0.25">
      <c r="A694" s="76"/>
      <c r="B694" t="s">
        <v>455</v>
      </c>
      <c r="D694" s="1">
        <f>POWER(D691, 2)/D687</f>
        <v>0.43410258865587781</v>
      </c>
    </row>
    <row r="695" spans="1:4" x14ac:dyDescent="0.25">
      <c r="A695" s="76"/>
      <c r="B695" t="s">
        <v>456</v>
      </c>
      <c r="D695" s="1">
        <f>D694/D685</f>
        <v>2.1705129432793891E-2</v>
      </c>
    </row>
    <row r="696" spans="1:4" x14ac:dyDescent="0.25">
      <c r="A696" s="76"/>
      <c r="B696" t="s">
        <v>425</v>
      </c>
      <c r="C696" t="s">
        <v>419</v>
      </c>
      <c r="D696">
        <v>500</v>
      </c>
    </row>
    <row r="697" spans="1:4" x14ac:dyDescent="0.25">
      <c r="A697" s="76"/>
      <c r="B697" t="s">
        <v>423</v>
      </c>
      <c r="C697" t="s">
        <v>424</v>
      </c>
      <c r="D697">
        <f>1/(POWER(2*PI()*D696, 2)*D682)</f>
        <v>7.1735398018775158E-6</v>
      </c>
    </row>
    <row r="698" spans="1:4" x14ac:dyDescent="0.25">
      <c r="A698" s="76"/>
      <c r="B698" t="s">
        <v>420</v>
      </c>
      <c r="C698" t="s">
        <v>457</v>
      </c>
      <c r="D698" s="1">
        <v>2.1999999999999999E-5</v>
      </c>
    </row>
    <row r="699" spans="1:4" x14ac:dyDescent="0.25">
      <c r="A699" s="76"/>
      <c r="B699" t="s">
        <v>458</v>
      </c>
      <c r="D699" s="1">
        <f>D2*2/D5</f>
        <v>11.299435028248586</v>
      </c>
    </row>
    <row r="700" spans="1:4" x14ac:dyDescent="0.25">
      <c r="A700" s="76"/>
      <c r="B700" t="s">
        <v>459</v>
      </c>
      <c r="D700" s="1">
        <f>2*D699</f>
        <v>22.598870056497173</v>
      </c>
    </row>
    <row r="701" spans="1:4" x14ac:dyDescent="0.25">
      <c r="A701" s="76"/>
      <c r="B701" t="s">
        <v>418</v>
      </c>
      <c r="C701" t="s">
        <v>426</v>
      </c>
      <c r="D701" s="1">
        <f>1/(2*PI()*POWER(D688*D698, 0.5))</f>
        <v>239.93510443917407</v>
      </c>
    </row>
    <row r="702" spans="1:4" x14ac:dyDescent="0.25">
      <c r="A702" s="76"/>
      <c r="B702" t="s">
        <v>429</v>
      </c>
      <c r="D702" s="1">
        <f>40*LOG10(D675/D701)</f>
        <v>72.961047570285331</v>
      </c>
    </row>
    <row r="703" spans="1:4" x14ac:dyDescent="0.25">
      <c r="A703" s="76"/>
      <c r="C703" t="s">
        <v>430</v>
      </c>
      <c r="D703">
        <f>POWER(D7, 2)*0.5*D688</f>
        <v>19.448100000000004</v>
      </c>
    </row>
    <row r="704" spans="1:4" x14ac:dyDescent="0.25">
      <c r="A704" s="76"/>
      <c r="B704" t="s">
        <v>432</v>
      </c>
      <c r="C704" t="s">
        <v>433</v>
      </c>
      <c r="D704">
        <v>33</v>
      </c>
    </row>
    <row r="705" spans="1:4" x14ac:dyDescent="0.25">
      <c r="A705" s="76"/>
      <c r="B705" t="s">
        <v>38</v>
      </c>
      <c r="D705">
        <f>D7</f>
        <v>44.1</v>
      </c>
    </row>
    <row r="706" spans="1:4" x14ac:dyDescent="0.25">
      <c r="A706" s="76"/>
    </row>
    <row r="707" spans="1:4" x14ac:dyDescent="0.25">
      <c r="A707" s="76"/>
      <c r="B707" t="s">
        <v>435</v>
      </c>
      <c r="D707" s="1">
        <f>((-D704)+POWER(POWER(D704, 2)-(4*D698/D688), 0.5))/(2*D698)</f>
        <v>-1.5151530456139737</v>
      </c>
    </row>
    <row r="708" spans="1:4" x14ac:dyDescent="0.25">
      <c r="A708" s="76"/>
      <c r="B708" t="s">
        <v>436</v>
      </c>
      <c r="D708" s="1">
        <f>((-D704)-POWER(POWER(D704, 2)-(4*D698/D688), 0.5))/(2*D698)</f>
        <v>-1499998.4848469547</v>
      </c>
    </row>
    <row r="709" spans="1:4" x14ac:dyDescent="0.25">
      <c r="A709" s="76"/>
      <c r="B709" t="s">
        <v>437</v>
      </c>
      <c r="D709" s="1">
        <f>LN(D708/D707)/(D707-D708)</f>
        <v>9.2036573945350537E-6</v>
      </c>
    </row>
    <row r="710" spans="1:4" x14ac:dyDescent="0.25">
      <c r="A710" s="76"/>
      <c r="B710" t="s">
        <v>231</v>
      </c>
      <c r="D710" s="1">
        <f>(D705/(D698*(D707-D708)))*(EXP(D707*D709)-EXP(D708*D709))</f>
        <v>1.3363463508162678</v>
      </c>
    </row>
    <row r="711" spans="1:4" x14ac:dyDescent="0.25">
      <c r="A711" s="76"/>
      <c r="B711" t="s">
        <v>438</v>
      </c>
      <c r="D711" s="1">
        <f>D704*POWER(D710, 2)</f>
        <v>58.932111788218542</v>
      </c>
    </row>
    <row r="712" spans="1:4" x14ac:dyDescent="0.25">
      <c r="A712" s="76"/>
      <c r="C712" t="s">
        <v>434</v>
      </c>
      <c r="D712" s="1">
        <f>D711*D4</f>
        <v>70.71853414586225</v>
      </c>
    </row>
    <row r="713" spans="1:4" x14ac:dyDescent="0.25">
      <c r="A713" s="76"/>
      <c r="B713" t="s">
        <v>440</v>
      </c>
      <c r="C713" t="s">
        <v>439</v>
      </c>
      <c r="D713" t="b">
        <f>(POWER(D704, 2)/(4*POWER(D698, 2)))&lt;(1/(D698*D688))</f>
        <v>0</v>
      </c>
    </row>
    <row r="714" spans="1:4" x14ac:dyDescent="0.25">
      <c r="A714" s="76"/>
      <c r="B714" t="s">
        <v>441</v>
      </c>
      <c r="D714" s="1">
        <f>D704/(2*D698)</f>
        <v>750000</v>
      </c>
    </row>
    <row r="715" spans="1:4" x14ac:dyDescent="0.25">
      <c r="A715" s="76"/>
      <c r="B715" t="s">
        <v>442</v>
      </c>
      <c r="D715" s="1">
        <f>1/POWER(D698*D688, 0.5)</f>
        <v>1507.5567228888181</v>
      </c>
    </row>
    <row r="716" spans="1:4" x14ac:dyDescent="0.25">
      <c r="A716" s="76"/>
      <c r="B716" t="s">
        <v>443</v>
      </c>
      <c r="D716" t="str">
        <f>IF(D713, POWER(POWER(D715, 2)-POWER(D714, 2), 0.5),"NA")</f>
        <v>NA</v>
      </c>
    </row>
    <row r="717" spans="1:4" x14ac:dyDescent="0.25">
      <c r="A717" s="76"/>
      <c r="C717" t="s">
        <v>444</v>
      </c>
      <c r="D717" s="1" t="str">
        <f>IF(D713, 100*EXP(-PI()*D714/D716), "Not Under-damped")</f>
        <v>Not Under-damped</v>
      </c>
    </row>
    <row r="718" spans="1:4" x14ac:dyDescent="0.25">
      <c r="A718" s="76"/>
      <c r="B718" t="s">
        <v>445</v>
      </c>
      <c r="D718" s="1">
        <f>5/MIN(ABS(D707), ABS(D708))</f>
        <v>3.2999966666561322</v>
      </c>
    </row>
    <row r="719" spans="1:4" x14ac:dyDescent="0.25">
      <c r="A719" s="76"/>
      <c r="B719" t="s">
        <v>463</v>
      </c>
      <c r="C719" t="s">
        <v>460</v>
      </c>
      <c r="D719">
        <v>1600</v>
      </c>
    </row>
    <row r="720" spans="1:4" x14ac:dyDescent="0.25">
      <c r="A720" s="76"/>
      <c r="C720" t="s">
        <v>461</v>
      </c>
      <c r="D720">
        <v>0.1</v>
      </c>
    </row>
    <row r="721" spans="1:4" x14ac:dyDescent="0.25">
      <c r="A721" s="76"/>
      <c r="B721" t="s">
        <v>462</v>
      </c>
      <c r="D721">
        <f>D719*(1-D720)</f>
        <v>1440</v>
      </c>
    </row>
    <row r="722" spans="1:4" x14ac:dyDescent="0.25">
      <c r="A722" s="76"/>
      <c r="B722" t="s">
        <v>464</v>
      </c>
      <c r="D722">
        <f>D719*(1+D720)</f>
        <v>1760.0000000000002</v>
      </c>
    </row>
    <row r="723" spans="1:4" x14ac:dyDescent="0.25">
      <c r="A723" s="76"/>
      <c r="B723" t="s">
        <v>465</v>
      </c>
      <c r="D723">
        <v>24</v>
      </c>
    </row>
    <row r="724" spans="1:4" x14ac:dyDescent="0.25">
      <c r="A724" s="76"/>
      <c r="B724" t="s">
        <v>466</v>
      </c>
      <c r="D724">
        <v>1.4999999999999999E-2</v>
      </c>
    </row>
    <row r="725" spans="1:4" x14ac:dyDescent="0.25">
      <c r="A725" s="76"/>
      <c r="C725" t="s">
        <v>467</v>
      </c>
      <c r="D725" t="b">
        <f>(D723/D719)=D724</f>
        <v>1</v>
      </c>
    </row>
    <row r="726" spans="1:4" x14ac:dyDescent="0.25">
      <c r="A726" s="76"/>
      <c r="B726" t="s">
        <v>468</v>
      </c>
      <c r="C726" t="s">
        <v>469</v>
      </c>
      <c r="D726">
        <f>1.3*D723</f>
        <v>31.200000000000003</v>
      </c>
    </row>
    <row r="727" spans="1:4" x14ac:dyDescent="0.25">
      <c r="A727" s="76"/>
      <c r="B727" t="s">
        <v>470</v>
      </c>
      <c r="C727" t="s">
        <v>471</v>
      </c>
      <c r="D727">
        <f>0.75*D723</f>
        <v>18</v>
      </c>
    </row>
    <row r="728" spans="1:4" x14ac:dyDescent="0.25">
      <c r="A728" s="76"/>
      <c r="B728" t="s">
        <v>472</v>
      </c>
      <c r="D728">
        <f>D727/D722</f>
        <v>1.0227272727272725E-2</v>
      </c>
    </row>
    <row r="729" spans="1:4" x14ac:dyDescent="0.25">
      <c r="A729" s="76"/>
      <c r="B729" t="s">
        <v>473</v>
      </c>
      <c r="D729">
        <f>D726/D722</f>
        <v>1.7727272727272727E-2</v>
      </c>
    </row>
    <row r="730" spans="1:4" x14ac:dyDescent="0.25">
      <c r="A730" s="76"/>
      <c r="B730" t="s">
        <v>479</v>
      </c>
      <c r="D730">
        <v>1330</v>
      </c>
    </row>
    <row r="731" spans="1:4" x14ac:dyDescent="0.25">
      <c r="A731" s="76"/>
      <c r="C731" t="s">
        <v>483</v>
      </c>
      <c r="D731">
        <v>0.05</v>
      </c>
    </row>
    <row r="732" spans="1:4" x14ac:dyDescent="0.25">
      <c r="A732" s="76"/>
      <c r="B732" t="s">
        <v>484</v>
      </c>
      <c r="D732">
        <f>D730*(1-D731)</f>
        <v>1263.5</v>
      </c>
    </row>
    <row r="733" spans="1:4" x14ac:dyDescent="0.25">
      <c r="A733" s="76"/>
      <c r="B733" t="s">
        <v>485</v>
      </c>
      <c r="D733">
        <f>D730*(1+D731)</f>
        <v>1396.5</v>
      </c>
    </row>
    <row r="734" spans="1:4" x14ac:dyDescent="0.25">
      <c r="A734" s="76"/>
      <c r="C734" t="s">
        <v>476</v>
      </c>
      <c r="D734">
        <f>D6/(D719+D730)</f>
        <v>1.3003412969283274E-2</v>
      </c>
    </row>
    <row r="735" spans="1:4" x14ac:dyDescent="0.25">
      <c r="A735" s="76"/>
      <c r="C735" t="s">
        <v>477</v>
      </c>
      <c r="D735">
        <f>D5/(D721+D733)</f>
        <v>1.2480169222633529E-2</v>
      </c>
    </row>
    <row r="736" spans="1:4" x14ac:dyDescent="0.25">
      <c r="A736" s="76"/>
      <c r="C736" t="s">
        <v>478</v>
      </c>
      <c r="D736">
        <f>D7/(D721+D732)</f>
        <v>1.6312187904568152E-2</v>
      </c>
    </row>
    <row r="737" spans="1:4" x14ac:dyDescent="0.25">
      <c r="A737" s="76"/>
      <c r="C737" t="s">
        <v>480</v>
      </c>
      <c r="D737" t="b">
        <f>AND((D734&gt;D728), (D736&lt;D729))</f>
        <v>1</v>
      </c>
    </row>
    <row r="738" spans="1:4" x14ac:dyDescent="0.25">
      <c r="A738" s="76"/>
    </row>
    <row r="739" spans="1:4" x14ac:dyDescent="0.25">
      <c r="A739" s="76"/>
      <c r="B739" t="s">
        <v>481</v>
      </c>
      <c r="D739">
        <f xml:space="preserve"> POWER(D736, 2)*D730</f>
        <v>0.35389634073113957</v>
      </c>
    </row>
    <row r="740" spans="1:4" x14ac:dyDescent="0.25">
      <c r="A740" s="76"/>
      <c r="B740" t="s">
        <v>486</v>
      </c>
      <c r="D740">
        <f>POWER(D734, 2)*D719</f>
        <v>0.27054199815955915</v>
      </c>
    </row>
    <row r="741" spans="1:4" x14ac:dyDescent="0.25">
      <c r="A741" s="76"/>
      <c r="B741" t="s">
        <v>482</v>
      </c>
      <c r="D741">
        <f>POWER(D735, 2)*D722</f>
        <v>0.27412813793300184</v>
      </c>
    </row>
    <row r="742" spans="1:4" x14ac:dyDescent="0.25">
      <c r="A742" s="76"/>
      <c r="C742" t="s">
        <v>606</v>
      </c>
      <c r="D742" s="1">
        <f>0.5*D698*POWER(D743, 2)</f>
        <v>3.0311171733454588E-4</v>
      </c>
    </row>
    <row r="743" spans="1:4" x14ac:dyDescent="0.25">
      <c r="A743" s="76"/>
      <c r="C743" t="s">
        <v>607</v>
      </c>
      <c r="D743">
        <f>D2/D6</f>
        <v>5.2493438320209984</v>
      </c>
    </row>
    <row r="744" spans="1:4" x14ac:dyDescent="0.25">
      <c r="A744" s="76"/>
      <c r="C744" t="s">
        <v>608</v>
      </c>
      <c r="D744">
        <f>D6</f>
        <v>38.099999999999994</v>
      </c>
    </row>
    <row r="745" spans="1:4" x14ac:dyDescent="0.25">
      <c r="A745" s="76"/>
      <c r="C745" t="s">
        <v>609</v>
      </c>
      <c r="D745">
        <f>POWER(((0.5*D688*POWER(D744, 2))+D742)*2/D688, 0.5)</f>
        <v>38.100397782329424</v>
      </c>
    </row>
    <row r="746" spans="1:4" x14ac:dyDescent="0.25">
      <c r="A746" s="76"/>
      <c r="B746" t="s">
        <v>716</v>
      </c>
      <c r="C746" t="s">
        <v>715</v>
      </c>
      <c r="D746" s="1">
        <f>0.5*D688*POWER(D7, 2)</f>
        <v>19.448100000000004</v>
      </c>
    </row>
    <row r="747" spans="1:4" x14ac:dyDescent="0.25">
      <c r="A747" t="s">
        <v>714</v>
      </c>
      <c r="B747" t="s">
        <v>717</v>
      </c>
      <c r="C747" t="s">
        <v>718</v>
      </c>
      <c r="D747">
        <f>(0.06*0.022*0.0018)+(2*(0.06*0.0129*0.001))+(0.06*0.0091*0.0018)</f>
        <v>4.9067999999999993E-6</v>
      </c>
    </row>
    <row r="748" spans="1:4" x14ac:dyDescent="0.25">
      <c r="B748" t="s">
        <v>719</v>
      </c>
      <c r="C748" t="s">
        <v>720</v>
      </c>
      <c r="D748">
        <v>850</v>
      </c>
    </row>
    <row r="749" spans="1:4" x14ac:dyDescent="0.25">
      <c r="B749" t="s">
        <v>721</v>
      </c>
      <c r="C749" t="s">
        <v>722</v>
      </c>
      <c r="D749">
        <v>2700</v>
      </c>
    </row>
    <row r="750" spans="1:4" x14ac:dyDescent="0.25">
      <c r="B750" t="s">
        <v>693</v>
      </c>
      <c r="D750">
        <f>D746/(D749*D747*D748)</f>
        <v>1.7270150907024588</v>
      </c>
    </row>
    <row r="751" spans="1:4" x14ac:dyDescent="0.25">
      <c r="B751" t="s">
        <v>723</v>
      </c>
      <c r="C751" t="s">
        <v>730</v>
      </c>
      <c r="D751">
        <v>0.2</v>
      </c>
    </row>
    <row r="752" spans="1:4" x14ac:dyDescent="0.25">
      <c r="B752" t="s">
        <v>728</v>
      </c>
      <c r="C752" t="s">
        <v>727</v>
      </c>
      <c r="D752">
        <f>D748*D747*D749</f>
        <v>11.261106</v>
      </c>
    </row>
    <row r="753" spans="1:10" x14ac:dyDescent="0.25">
      <c r="B753" t="s">
        <v>734</v>
      </c>
      <c r="C753" t="s">
        <v>733</v>
      </c>
      <c r="D753">
        <f>0.022*0.06</f>
        <v>1.3199999999999998E-3</v>
      </c>
    </row>
    <row r="754" spans="1:10" x14ac:dyDescent="0.25">
      <c r="B754" t="s">
        <v>735</v>
      </c>
      <c r="C754" t="s">
        <v>736</v>
      </c>
      <c r="D754">
        <f>0.002</f>
        <v>2E-3</v>
      </c>
    </row>
    <row r="755" spans="1:10" x14ac:dyDescent="0.25">
      <c r="B755" t="s">
        <v>724</v>
      </c>
      <c r="C755" t="s">
        <v>725</v>
      </c>
      <c r="D755">
        <v>0.5</v>
      </c>
    </row>
    <row r="756" spans="1:10" x14ac:dyDescent="0.25">
      <c r="B756" t="s">
        <v>729</v>
      </c>
      <c r="C756" t="s">
        <v>726</v>
      </c>
      <c r="D756">
        <f>4.605*D752/D755</f>
        <v>103.71478626000001</v>
      </c>
    </row>
    <row r="757" spans="1:10" x14ac:dyDescent="0.25">
      <c r="B757" t="s">
        <v>731</v>
      </c>
      <c r="C757" t="s">
        <v>732</v>
      </c>
      <c r="D757">
        <f>D754/(D751*D753)</f>
        <v>7.575757575757577</v>
      </c>
    </row>
    <row r="758" spans="1:10" x14ac:dyDescent="0.25">
      <c r="B758" t="s">
        <v>737</v>
      </c>
      <c r="D758">
        <f>D752*D750/D756</f>
        <v>0.18751521071687935</v>
      </c>
    </row>
    <row r="759" spans="1:10" x14ac:dyDescent="0.25">
      <c r="B759" t="s">
        <v>738</v>
      </c>
      <c r="D759">
        <f>D758*D757</f>
        <v>1.4205697781581772</v>
      </c>
    </row>
    <row r="760" spans="1:10" x14ac:dyDescent="0.25">
      <c r="A760" s="37"/>
      <c r="C760" t="s">
        <v>614</v>
      </c>
      <c r="D760" t="s">
        <v>615</v>
      </c>
      <c r="E760" t="s">
        <v>617</v>
      </c>
      <c r="F760" t="s">
        <v>616</v>
      </c>
      <c r="G760" t="s">
        <v>618</v>
      </c>
    </row>
    <row r="761" spans="1:10" x14ac:dyDescent="0.25">
      <c r="A761" s="76" t="s">
        <v>610</v>
      </c>
      <c r="C761" t="s">
        <v>611</v>
      </c>
      <c r="D761">
        <f>D2/D5</f>
        <v>5.6497175141242932</v>
      </c>
      <c r="E761">
        <f>11*0.01</f>
        <v>0.11</v>
      </c>
      <c r="F761">
        <v>1</v>
      </c>
      <c r="G761">
        <v>22</v>
      </c>
      <c r="H761">
        <v>10</v>
      </c>
      <c r="I761">
        <v>10</v>
      </c>
      <c r="J761">
        <v>10</v>
      </c>
    </row>
    <row r="762" spans="1:10" x14ac:dyDescent="0.25">
      <c r="A762" s="76"/>
      <c r="C762" t="s">
        <v>612</v>
      </c>
      <c r="D762">
        <v>2</v>
      </c>
      <c r="E762">
        <v>2</v>
      </c>
      <c r="F762">
        <v>2</v>
      </c>
      <c r="G762">
        <v>2</v>
      </c>
      <c r="H762">
        <v>2</v>
      </c>
      <c r="I762">
        <v>2</v>
      </c>
      <c r="J762">
        <v>2</v>
      </c>
    </row>
    <row r="763" spans="1:10" x14ac:dyDescent="0.25">
      <c r="A763" s="76"/>
      <c r="C763" t="s">
        <v>613</v>
      </c>
      <c r="D763">
        <v>5</v>
      </c>
      <c r="E763">
        <v>5</v>
      </c>
      <c r="F763">
        <v>5</v>
      </c>
      <c r="G763">
        <v>5</v>
      </c>
      <c r="H763">
        <v>5</v>
      </c>
      <c r="I763">
        <v>5</v>
      </c>
      <c r="J763">
        <v>5</v>
      </c>
    </row>
    <row r="764" spans="1:10" x14ac:dyDescent="0.25">
      <c r="A764" s="76"/>
      <c r="C764" t="s">
        <v>621</v>
      </c>
      <c r="D764">
        <f>0.0254*POWER(D761/(0.048*POWER(D763, 0.44)), 1/0.725)/(D762*1.378)</f>
        <v>2.4923433704232472</v>
      </c>
      <c r="E764">
        <f t="shared" ref="E764:G764" si="76">0.0254*POWER(E761/(0.048*POWER(E763, 0.44)), 1/0.725)/(E762*1.378)</f>
        <v>1.0892125473680554E-2</v>
      </c>
      <c r="F764">
        <f t="shared" si="76"/>
        <v>0.22873341897835012</v>
      </c>
      <c r="G764">
        <f t="shared" si="76"/>
        <v>16.253508114154439</v>
      </c>
      <c r="H764">
        <f t="shared" ref="H764" si="77">0.0254*POWER(H761/(0.048*POWER(H763, 0.44)), 1/0.725)/(H762*1.378)</f>
        <v>5.4782262733389961</v>
      </c>
      <c r="I764">
        <f t="shared" ref="I764:J764" si="78">0.0254*POWER(I761/(0.048*POWER(I763, 0.44)), 1/0.725)/(I762*1.378)</f>
        <v>5.4782262733389961</v>
      </c>
      <c r="J764">
        <f t="shared" si="78"/>
        <v>5.4782262733389961</v>
      </c>
    </row>
    <row r="765" spans="1:10" x14ac:dyDescent="0.25">
      <c r="A765" s="76"/>
      <c r="C765" t="s">
        <v>622</v>
      </c>
      <c r="D765">
        <f>0.0254*POWER(D761/(0.024*POWER(D763, 0.44)), 1/0.725)/(D762*1.378)</f>
        <v>6.4836813405534928</v>
      </c>
      <c r="E765">
        <f t="shared" ref="E765:I765" si="79">0.0254*POWER(E761/(0.024*POWER(E763, 0.44)), 1/0.725)/(E762*1.378)</f>
        <v>2.8335209157266786E-2</v>
      </c>
      <c r="F765">
        <f t="shared" si="79"/>
        <v>0.59503622903255293</v>
      </c>
      <c r="G765">
        <f t="shared" si="79"/>
        <v>42.282523559497292</v>
      </c>
      <c r="H765">
        <f t="shared" si="79"/>
        <v>14.251276083899347</v>
      </c>
      <c r="I765">
        <f t="shared" si="79"/>
        <v>14.251276083899347</v>
      </c>
    </row>
    <row r="766" spans="1:10" x14ac:dyDescent="0.25">
      <c r="A766" s="76"/>
      <c r="C766" t="s">
        <v>620</v>
      </c>
      <c r="D766">
        <v>8</v>
      </c>
      <c r="E766">
        <v>1</v>
      </c>
      <c r="F766">
        <v>1</v>
      </c>
      <c r="G766">
        <v>8</v>
      </c>
      <c r="H766">
        <v>8</v>
      </c>
    </row>
    <row r="767" spans="1:10" x14ac:dyDescent="0.25">
      <c r="A767" s="76"/>
      <c r="C767" t="s">
        <v>625</v>
      </c>
      <c r="D767">
        <f>POWER(D761/POWER(D766*(D762*1.378)/0.0254, 0.725)/0.048, 1/0.44)</f>
        <v>0.7318559619713908</v>
      </c>
      <c r="E767">
        <f t="shared" ref="E767:H767" si="80">POWER(E761/POWER(E766*(E762*1.378)/0.0254, 0.725)/0.048, 1/0.44)</f>
        <v>2.9151906392472556E-3</v>
      </c>
      <c r="F767">
        <f t="shared" si="80"/>
        <v>0.43986554940209394</v>
      </c>
      <c r="G767">
        <f t="shared" si="80"/>
        <v>16.078094835159579</v>
      </c>
      <c r="H767">
        <f t="shared" si="80"/>
        <v>2.6791758539545092</v>
      </c>
    </row>
    <row r="768" spans="1:10" x14ac:dyDescent="0.25">
      <c r="A768" s="76"/>
      <c r="C768" t="s">
        <v>624</v>
      </c>
      <c r="D768">
        <f>POWER(D761/POWER(D766*(D762*1.378)/0.0254, 0.725)/0.024, 1/0.44)</f>
        <v>3.5365898499283999</v>
      </c>
      <c r="E768">
        <f t="shared" ref="E768:H768" si="81">POWER(E761/POWER(E766*(E762*1.378)/0.0254, 0.725)/0.024, 1/0.44)</f>
        <v>1.4087244158805046E-2</v>
      </c>
      <c r="F768">
        <f t="shared" si="81"/>
        <v>2.1255877087593311</v>
      </c>
      <c r="G768">
        <f t="shared" si="81"/>
        <v>77.695106625959824</v>
      </c>
      <c r="H768">
        <f t="shared" si="81"/>
        <v>12.946736275462857</v>
      </c>
    </row>
    <row r="769" spans="1:8" x14ac:dyDescent="0.25">
      <c r="A769" s="76"/>
      <c r="C769" t="s">
        <v>619</v>
      </c>
      <c r="D769">
        <v>100</v>
      </c>
      <c r="E769">
        <v>200</v>
      </c>
      <c r="F769">
        <v>120</v>
      </c>
      <c r="G769">
        <v>100</v>
      </c>
      <c r="H769">
        <v>100</v>
      </c>
    </row>
    <row r="770" spans="1:8" x14ac:dyDescent="0.25">
      <c r="A770" s="76"/>
      <c r="C770" t="s">
        <v>194</v>
      </c>
      <c r="D770">
        <f>(0.0000000168)*(D769/1000)/((D766/1000)*0.0000348*D762)</f>
        <v>3.0172413793103452E-3</v>
      </c>
      <c r="E770">
        <f>(0.0000000168)*(E769/1000)/((E766/1000)*0.0000348*E762)</f>
        <v>4.8275862068965524E-2</v>
      </c>
      <c r="F770">
        <f>(0.0000000168)*(F769/1000)/((F766/1000)*0.0000348*F762)</f>
        <v>2.8965517241379312E-2</v>
      </c>
      <c r="G770">
        <f>(0.0000000168)*(G769/1000)/((G766/1000)*0.0000348*G762)</f>
        <v>3.0172413793103452E-3</v>
      </c>
      <c r="H770">
        <f>(0.0000000168)*(H769/1000)/((H766/1000)*0.0000348*H762)</f>
        <v>3.0172413793103452E-3</v>
      </c>
    </row>
    <row r="771" spans="1:8" x14ac:dyDescent="0.25">
      <c r="A771" s="76"/>
      <c r="C771" t="s">
        <v>623</v>
      </c>
      <c r="D771">
        <f>POWER(D761, 2)*D770</f>
        <v>9.6308256864577377E-2</v>
      </c>
      <c r="E771">
        <f>POWER(E761, 2)*E770</f>
        <v>5.8413793103448278E-4</v>
      </c>
      <c r="F771">
        <f>POWER(F761, 2)*F770</f>
        <v>2.8965517241379312E-2</v>
      </c>
      <c r="G771">
        <f>POWER(G761, 2)*G770</f>
        <v>1.460344827586207</v>
      </c>
      <c r="H771">
        <f>POWER(H761, 2)*H770</f>
        <v>0.30172413793103453</v>
      </c>
    </row>
    <row r="772" spans="1:8" x14ac:dyDescent="0.25">
      <c r="A772" s="76"/>
      <c r="C772" t="s">
        <v>626</v>
      </c>
      <c r="D772">
        <f>D761*D770</f>
        <v>1.7046561465030197E-2</v>
      </c>
      <c r="E772">
        <f t="shared" ref="E772:H772" si="82">E761*E770</f>
        <v>5.3103448275862077E-3</v>
      </c>
      <c r="F772">
        <f t="shared" si="82"/>
        <v>2.8965517241379312E-2</v>
      </c>
      <c r="G772">
        <f t="shared" si="82"/>
        <v>6.6379310344827594E-2</v>
      </c>
      <c r="H772">
        <f t="shared" si="82"/>
        <v>3.0172413793103453E-2</v>
      </c>
    </row>
    <row r="773" spans="1:8" x14ac:dyDescent="0.25">
      <c r="A773" s="76"/>
    </row>
    <row r="774" spans="1:8" x14ac:dyDescent="0.25">
      <c r="A774" s="37"/>
    </row>
    <row r="775" spans="1:8" x14ac:dyDescent="0.25">
      <c r="A775" s="37"/>
    </row>
    <row r="779" spans="1:8" x14ac:dyDescent="0.25">
      <c r="A779" s="75" t="s">
        <v>699</v>
      </c>
      <c r="C779" t="s">
        <v>4</v>
      </c>
      <c r="D779">
        <v>1.2</v>
      </c>
    </row>
    <row r="780" spans="1:8" x14ac:dyDescent="0.25">
      <c r="A780" s="75"/>
      <c r="C780" t="s">
        <v>1070</v>
      </c>
      <c r="D780" s="52">
        <v>2</v>
      </c>
    </row>
    <row r="781" spans="1:8" x14ac:dyDescent="0.25">
      <c r="A781" s="75"/>
      <c r="C781" t="s">
        <v>1071</v>
      </c>
      <c r="D781" s="52">
        <f>1.2*D8</f>
        <v>96000</v>
      </c>
    </row>
    <row r="782" spans="1:8" x14ac:dyDescent="0.25">
      <c r="A782" s="75"/>
      <c r="C782" t="s">
        <v>1073</v>
      </c>
      <c r="D782" s="52">
        <v>25000</v>
      </c>
    </row>
    <row r="783" spans="1:8" x14ac:dyDescent="0.25">
      <c r="A783" s="75"/>
      <c r="C783" t="s">
        <v>1072</v>
      </c>
      <c r="D783" s="54">
        <v>1000000000</v>
      </c>
    </row>
    <row r="784" spans="1:8" x14ac:dyDescent="0.25">
      <c r="A784" s="75"/>
      <c r="C784" t="s">
        <v>1075</v>
      </c>
      <c r="D784" s="52">
        <v>3.5</v>
      </c>
    </row>
    <row r="785" spans="1:5" x14ac:dyDescent="0.25">
      <c r="A785" s="75"/>
      <c r="C785" t="s">
        <v>1077</v>
      </c>
      <c r="D785" s="52">
        <f>D782/D779</f>
        <v>20833.333333333336</v>
      </c>
    </row>
    <row r="786" spans="1:5" x14ac:dyDescent="0.25">
      <c r="A786" s="75"/>
      <c r="C786" t="s">
        <v>1076</v>
      </c>
      <c r="D786">
        <f>D784/D779</f>
        <v>2.916666666666667</v>
      </c>
    </row>
    <row r="787" spans="1:5" x14ac:dyDescent="0.25">
      <c r="A787" s="75"/>
      <c r="C787" t="s">
        <v>1074</v>
      </c>
      <c r="D787" s="52">
        <f>CEILING(D781/D785, 1)</f>
        <v>5</v>
      </c>
    </row>
    <row r="788" spans="1:5" x14ac:dyDescent="0.25">
      <c r="A788" s="75"/>
      <c r="C788" t="s">
        <v>700</v>
      </c>
      <c r="D788" s="52">
        <v>6</v>
      </c>
    </row>
    <row r="789" spans="1:5" x14ac:dyDescent="0.25">
      <c r="A789" s="75"/>
      <c r="C789" t="s">
        <v>1080</v>
      </c>
      <c r="D789" s="73">
        <f>D781/D788</f>
        <v>16000</v>
      </c>
    </row>
    <row r="790" spans="1:5" x14ac:dyDescent="0.25">
      <c r="A790" s="75"/>
      <c r="C790" t="s">
        <v>212</v>
      </c>
      <c r="D790" s="51">
        <f>D783*D788</f>
        <v>6000000000</v>
      </c>
    </row>
    <row r="791" spans="1:5" x14ac:dyDescent="0.25">
      <c r="A791" s="75"/>
      <c r="C791" t="s">
        <v>701</v>
      </c>
      <c r="D791" s="27">
        <f>D781/D780</f>
        <v>48000</v>
      </c>
    </row>
    <row r="792" spans="1:5" x14ac:dyDescent="0.25">
      <c r="A792" s="75"/>
      <c r="C792" t="s">
        <v>702</v>
      </c>
      <c r="D792" s="27">
        <f>D790/D791</f>
        <v>125000</v>
      </c>
    </row>
    <row r="793" spans="1:5" x14ac:dyDescent="0.25">
      <c r="A793" s="75"/>
      <c r="C793" t="s">
        <v>739</v>
      </c>
      <c r="D793" s="54">
        <f>D792</f>
        <v>125000</v>
      </c>
    </row>
    <row r="794" spans="1:5" x14ac:dyDescent="0.25">
      <c r="A794" s="75"/>
      <c r="C794" t="s">
        <v>703</v>
      </c>
      <c r="D794" s="51">
        <f>D781/D790</f>
        <v>1.5999999999999999E-5</v>
      </c>
      <c r="E794" t="s">
        <v>20</v>
      </c>
    </row>
    <row r="795" spans="1:5" x14ac:dyDescent="0.25">
      <c r="A795" s="75"/>
      <c r="C795" t="s">
        <v>704</v>
      </c>
      <c r="D795" s="51">
        <f>POWER(D794, 2)*D783</f>
        <v>0.25600000000000001</v>
      </c>
    </row>
    <row r="796" spans="1:5" x14ac:dyDescent="0.25">
      <c r="A796" s="75"/>
      <c r="C796" t="s">
        <v>1079</v>
      </c>
      <c r="D796" s="51" t="b">
        <f>D789&lt;=D785</f>
        <v>1</v>
      </c>
    </row>
    <row r="797" spans="1:5" x14ac:dyDescent="0.25">
      <c r="A797" s="75"/>
      <c r="C797" t="s">
        <v>1078</v>
      </c>
      <c r="D797" s="51" t="b">
        <f>D795&lt;=D786</f>
        <v>1</v>
      </c>
    </row>
    <row r="798" spans="1:5" x14ac:dyDescent="0.25">
      <c r="A798" s="75"/>
      <c r="C798" t="s">
        <v>705</v>
      </c>
      <c r="D798" s="51">
        <f>D795*D788</f>
        <v>1.536</v>
      </c>
    </row>
    <row r="799" spans="1:5" x14ac:dyDescent="0.25">
      <c r="A799" s="75"/>
      <c r="C799" t="s">
        <v>706</v>
      </c>
      <c r="D799" s="51">
        <f>POWER(D794, 2)*D793</f>
        <v>3.1999999999999999E-5</v>
      </c>
    </row>
    <row r="801" spans="1:4" x14ac:dyDescent="0.25">
      <c r="A801" s="75" t="s">
        <v>699</v>
      </c>
      <c r="C801" t="s">
        <v>4</v>
      </c>
      <c r="D801">
        <v>1.2</v>
      </c>
    </row>
    <row r="802" spans="1:4" x14ac:dyDescent="0.25">
      <c r="A802" s="75"/>
      <c r="C802" t="s">
        <v>1070</v>
      </c>
      <c r="D802" s="52">
        <v>2</v>
      </c>
    </row>
    <row r="803" spans="1:4" x14ac:dyDescent="0.25">
      <c r="A803" s="75"/>
      <c r="C803" t="s">
        <v>1071</v>
      </c>
      <c r="D803" s="52">
        <f>1.2*D12</f>
        <v>16800</v>
      </c>
    </row>
    <row r="804" spans="1:4" x14ac:dyDescent="0.25">
      <c r="A804" s="75"/>
      <c r="C804" t="s">
        <v>1073</v>
      </c>
      <c r="D804" s="52">
        <v>25000</v>
      </c>
    </row>
    <row r="805" spans="1:4" x14ac:dyDescent="0.25">
      <c r="A805" s="75"/>
      <c r="C805" t="s">
        <v>1072</v>
      </c>
      <c r="D805" s="54">
        <v>100000000</v>
      </c>
    </row>
    <row r="806" spans="1:4" x14ac:dyDescent="0.25">
      <c r="A806" s="75"/>
      <c r="C806" t="s">
        <v>1075</v>
      </c>
      <c r="D806" s="52">
        <v>3.5</v>
      </c>
    </row>
    <row r="807" spans="1:4" x14ac:dyDescent="0.25">
      <c r="A807" s="75"/>
      <c r="C807" t="s">
        <v>1077</v>
      </c>
      <c r="D807" s="52">
        <f>D804/D801</f>
        <v>20833.333333333336</v>
      </c>
    </row>
    <row r="808" spans="1:4" x14ac:dyDescent="0.25">
      <c r="A808" s="75"/>
      <c r="C808" t="s">
        <v>1076</v>
      </c>
      <c r="D808">
        <f>D806/D801</f>
        <v>2.916666666666667</v>
      </c>
    </row>
    <row r="809" spans="1:4" x14ac:dyDescent="0.25">
      <c r="A809" s="75"/>
      <c r="C809" t="s">
        <v>1074</v>
      </c>
      <c r="D809" s="52">
        <f>CEILING(D803/D807, 1)</f>
        <v>1</v>
      </c>
    </row>
    <row r="810" spans="1:4" x14ac:dyDescent="0.25">
      <c r="A810" s="75"/>
      <c r="C810" t="s">
        <v>700</v>
      </c>
      <c r="D810" s="52">
        <v>2</v>
      </c>
    </row>
    <row r="811" spans="1:4" x14ac:dyDescent="0.25">
      <c r="A811" s="75"/>
      <c r="C811" t="s">
        <v>1080</v>
      </c>
      <c r="D811" s="73">
        <f>D803/D810</f>
        <v>8400</v>
      </c>
    </row>
    <row r="812" spans="1:4" x14ac:dyDescent="0.25">
      <c r="A812" s="75"/>
      <c r="C812" t="s">
        <v>212</v>
      </c>
      <c r="D812" s="51">
        <f>D805*D810</f>
        <v>200000000</v>
      </c>
    </row>
    <row r="813" spans="1:4" x14ac:dyDescent="0.25">
      <c r="A813" s="75"/>
      <c r="C813" t="s">
        <v>701</v>
      </c>
      <c r="D813" s="27">
        <f>D803/D802</f>
        <v>8400</v>
      </c>
    </row>
    <row r="814" spans="1:4" x14ac:dyDescent="0.25">
      <c r="A814" s="75"/>
      <c r="C814" t="s">
        <v>702</v>
      </c>
      <c r="D814" s="27">
        <f>D812/D813</f>
        <v>23809.523809523809</v>
      </c>
    </row>
    <row r="815" spans="1:4" x14ac:dyDescent="0.25">
      <c r="A815" s="75"/>
      <c r="C815" t="s">
        <v>739</v>
      </c>
      <c r="D815" s="54">
        <f>D814</f>
        <v>23809.523809523809</v>
      </c>
    </row>
    <row r="816" spans="1:4" x14ac:dyDescent="0.25">
      <c r="A816" s="75"/>
      <c r="C816" t="s">
        <v>703</v>
      </c>
      <c r="D816" s="51">
        <f>D803/D812</f>
        <v>8.3999999999999995E-5</v>
      </c>
    </row>
    <row r="817" spans="1:5" x14ac:dyDescent="0.25">
      <c r="A817" s="75"/>
      <c r="C817" t="s">
        <v>704</v>
      </c>
      <c r="D817" s="51">
        <f>POWER(D816,2)*D805</f>
        <v>0.7056</v>
      </c>
    </row>
    <row r="818" spans="1:5" x14ac:dyDescent="0.25">
      <c r="A818" s="75"/>
      <c r="C818" t="s">
        <v>1079</v>
      </c>
      <c r="D818" s="51" t="b">
        <f>D811&lt;=D807</f>
        <v>1</v>
      </c>
    </row>
    <row r="819" spans="1:5" x14ac:dyDescent="0.25">
      <c r="A819" s="75"/>
      <c r="C819" t="s">
        <v>1078</v>
      </c>
      <c r="D819" s="51" t="b">
        <f>D817&lt;=D808</f>
        <v>1</v>
      </c>
    </row>
    <row r="820" spans="1:5" x14ac:dyDescent="0.25">
      <c r="A820" s="75"/>
      <c r="C820" t="s">
        <v>705</v>
      </c>
      <c r="D820" s="51">
        <f>D817*D810</f>
        <v>1.4112</v>
      </c>
    </row>
    <row r="821" spans="1:5" x14ac:dyDescent="0.25">
      <c r="A821" s="75"/>
      <c r="C821" t="s">
        <v>706</v>
      </c>
      <c r="D821" s="51">
        <f>POWER(D816, 2)*D815</f>
        <v>1.6799999999999999E-4</v>
      </c>
    </row>
    <row r="822" spans="1:5" x14ac:dyDescent="0.25">
      <c r="A822" s="69"/>
      <c r="D822" s="51"/>
    </row>
    <row r="823" spans="1:5" x14ac:dyDescent="0.25">
      <c r="C823" t="s">
        <v>708</v>
      </c>
      <c r="D823">
        <v>3</v>
      </c>
    </row>
    <row r="824" spans="1:5" x14ac:dyDescent="0.25">
      <c r="A824" s="76" t="s">
        <v>707</v>
      </c>
      <c r="C824" t="s">
        <v>709</v>
      </c>
      <c r="D824">
        <v>550</v>
      </c>
      <c r="E824" t="s">
        <v>711</v>
      </c>
    </row>
    <row r="825" spans="1:5" x14ac:dyDescent="0.25">
      <c r="A825" s="76"/>
      <c r="C825" t="s">
        <v>710</v>
      </c>
      <c r="D825">
        <f>25.4*41.9*0.000001</f>
        <v>1.06426E-3</v>
      </c>
    </row>
    <row r="826" spans="1:5" x14ac:dyDescent="0.25">
      <c r="A826" s="76"/>
      <c r="C826" t="s">
        <v>712</v>
      </c>
      <c r="D826">
        <f>D825*D824*0.3048</f>
        <v>0.17841254640000004</v>
      </c>
      <c r="E826" t="s">
        <v>628</v>
      </c>
    </row>
    <row r="827" spans="1:5" x14ac:dyDescent="0.25">
      <c r="A827" s="76"/>
      <c r="C827" t="s">
        <v>713</v>
      </c>
      <c r="D827">
        <f>D826*50</f>
        <v>8.9206273200000012</v>
      </c>
    </row>
    <row r="828" spans="1:5" x14ac:dyDescent="0.25">
      <c r="A828" s="76"/>
    </row>
    <row r="829" spans="1:5" x14ac:dyDescent="0.25">
      <c r="A829" s="76"/>
    </row>
    <row r="830" spans="1:5" x14ac:dyDescent="0.25">
      <c r="A830" s="76"/>
    </row>
    <row r="831" spans="1:5" x14ac:dyDescent="0.25">
      <c r="A831" s="76"/>
    </row>
    <row r="832" spans="1:5" x14ac:dyDescent="0.25">
      <c r="A832" s="76"/>
    </row>
    <row r="833" spans="1:5" x14ac:dyDescent="0.25">
      <c r="A833" s="76"/>
    </row>
    <row r="834" spans="1:5" x14ac:dyDescent="0.25">
      <c r="A834" s="76"/>
    </row>
    <row r="835" spans="1:5" x14ac:dyDescent="0.25">
      <c r="A835" s="76"/>
    </row>
    <row r="836" spans="1:5" x14ac:dyDescent="0.25">
      <c r="A836" s="76"/>
    </row>
    <row r="837" spans="1:5" x14ac:dyDescent="0.25">
      <c r="C837" t="s">
        <v>741</v>
      </c>
      <c r="E837" s="1">
        <f>D67</f>
        <v>0.15679999999999999</v>
      </c>
    </row>
    <row r="838" spans="1:5" x14ac:dyDescent="0.25">
      <c r="A838" s="76" t="s">
        <v>740</v>
      </c>
      <c r="C838" t="s">
        <v>742</v>
      </c>
      <c r="E838">
        <f>D27</f>
        <v>0.7</v>
      </c>
    </row>
    <row r="839" spans="1:5" x14ac:dyDescent="0.25">
      <c r="A839" s="76"/>
      <c r="C839" t="s">
        <v>743</v>
      </c>
      <c r="E839" s="1">
        <f>D217+D218</f>
        <v>1.5361505115495317</v>
      </c>
    </row>
    <row r="840" spans="1:5" x14ac:dyDescent="0.25">
      <c r="A840" s="76"/>
      <c r="C840" t="s">
        <v>744</v>
      </c>
      <c r="E840" s="1">
        <f>E837+E838+E839</f>
        <v>2.3929505115495315</v>
      </c>
    </row>
    <row r="841" spans="1:5" x14ac:dyDescent="0.25">
      <c r="A841" s="76"/>
    </row>
    <row r="842" spans="1:5" x14ac:dyDescent="0.25">
      <c r="A842" s="76"/>
    </row>
    <row r="843" spans="1:5" x14ac:dyDescent="0.25">
      <c r="A843" s="76"/>
      <c r="C843" t="s">
        <v>4</v>
      </c>
      <c r="E843">
        <v>2</v>
      </c>
    </row>
    <row r="844" spans="1:5" x14ac:dyDescent="0.25">
      <c r="A844" s="76"/>
      <c r="C844" t="s">
        <v>629</v>
      </c>
      <c r="D844" t="s">
        <v>206</v>
      </c>
      <c r="E844">
        <v>0.17399999999999999</v>
      </c>
    </row>
    <row r="845" spans="1:5" x14ac:dyDescent="0.25">
      <c r="A845" s="76"/>
      <c r="C845" t="s">
        <v>630</v>
      </c>
      <c r="D845" t="s">
        <v>206</v>
      </c>
      <c r="E845">
        <v>0.5</v>
      </c>
    </row>
    <row r="846" spans="1:5" x14ac:dyDescent="0.25">
      <c r="A846" s="76"/>
      <c r="C846" t="s">
        <v>627</v>
      </c>
      <c r="D846" t="s">
        <v>638</v>
      </c>
      <c r="E846">
        <f>POWER(E844/2, 2)*PI()*E845</f>
        <v>1.1889357397510571E-2</v>
      </c>
    </row>
    <row r="847" spans="1:5" x14ac:dyDescent="0.25">
      <c r="A847" s="76"/>
      <c r="C847" t="s">
        <v>631</v>
      </c>
      <c r="E847" s="1">
        <f>E840</f>
        <v>2.3929505115495315</v>
      </c>
    </row>
    <row r="848" spans="1:5" x14ac:dyDescent="0.25">
      <c r="A848" s="76"/>
      <c r="C848" t="s">
        <v>636</v>
      </c>
      <c r="D848" t="s">
        <v>632</v>
      </c>
      <c r="E848">
        <v>2300</v>
      </c>
    </row>
    <row r="849" spans="1:5" x14ac:dyDescent="0.25">
      <c r="A849" s="76"/>
      <c r="C849" t="s">
        <v>633</v>
      </c>
      <c r="D849" t="s">
        <v>634</v>
      </c>
      <c r="E849">
        <v>20</v>
      </c>
    </row>
    <row r="850" spans="1:5" x14ac:dyDescent="0.25">
      <c r="A850" s="76"/>
      <c r="C850" t="s">
        <v>635</v>
      </c>
      <c r="D850" t="s">
        <v>637</v>
      </c>
      <c r="E850">
        <v>800</v>
      </c>
    </row>
    <row r="851" spans="1:5" x14ac:dyDescent="0.25">
      <c r="A851" s="76"/>
      <c r="C851" t="s">
        <v>639</v>
      </c>
      <c r="D851" t="s">
        <v>640</v>
      </c>
      <c r="E851">
        <f>E850*E846</f>
        <v>9.5114859180084572</v>
      </c>
    </row>
    <row r="852" spans="1:5" x14ac:dyDescent="0.25">
      <c r="A852" s="76"/>
      <c r="C852" t="s">
        <v>641</v>
      </c>
      <c r="D852" t="s">
        <v>642</v>
      </c>
      <c r="E852">
        <f>E848*E851*E849</f>
        <v>437528.35222838906</v>
      </c>
    </row>
    <row r="853" spans="1:5" x14ac:dyDescent="0.25">
      <c r="A853" s="76"/>
      <c r="C853" t="s">
        <v>643</v>
      </c>
      <c r="D853" t="s">
        <v>323</v>
      </c>
      <c r="E853">
        <f>E852/E847</f>
        <v>182840.53519563674</v>
      </c>
    </row>
    <row r="854" spans="1:5" x14ac:dyDescent="0.25">
      <c r="A854" s="76"/>
      <c r="C854" t="s">
        <v>644</v>
      </c>
      <c r="D854" t="s">
        <v>323</v>
      </c>
      <c r="E854">
        <f>E853/E843</f>
        <v>91420.267597818369</v>
      </c>
    </row>
    <row r="855" spans="1:5" x14ac:dyDescent="0.25">
      <c r="A855" s="76"/>
      <c r="C855" t="s">
        <v>645</v>
      </c>
      <c r="D855" t="s">
        <v>646</v>
      </c>
      <c r="E855">
        <f>E846/E854</f>
        <v>1.3005165823638758E-7</v>
      </c>
    </row>
    <row r="856" spans="1:5" x14ac:dyDescent="0.25">
      <c r="A856" s="76"/>
      <c r="C856" t="s">
        <v>645</v>
      </c>
      <c r="D856" t="s">
        <v>647</v>
      </c>
      <c r="E856">
        <f>(1000000)*E855</f>
        <v>0.13005165823638759</v>
      </c>
    </row>
    <row r="857" spans="1:5" x14ac:dyDescent="0.25">
      <c r="A857" s="76"/>
      <c r="C857" t="s">
        <v>648</v>
      </c>
      <c r="D857" t="s">
        <v>649</v>
      </c>
      <c r="E857">
        <v>0.1</v>
      </c>
    </row>
    <row r="858" spans="1:5" x14ac:dyDescent="0.25">
      <c r="A858" s="76"/>
      <c r="C858" t="s">
        <v>650</v>
      </c>
      <c r="D858" t="s">
        <v>207</v>
      </c>
      <c r="E858">
        <f>E855/E857</f>
        <v>1.3005165823638757E-6</v>
      </c>
    </row>
    <row r="859" spans="1:5" x14ac:dyDescent="0.25">
      <c r="A859" s="76"/>
      <c r="C859" t="s">
        <v>651</v>
      </c>
      <c r="D859" t="s">
        <v>206</v>
      </c>
      <c r="E859">
        <f>2*POWER(E858/PI(), 0.5)</f>
        <v>1.286805790027971E-3</v>
      </c>
    </row>
    <row r="860" spans="1:5" x14ac:dyDescent="0.25">
      <c r="A860" s="76"/>
      <c r="C860" t="s">
        <v>653</v>
      </c>
      <c r="D860" t="s">
        <v>206</v>
      </c>
      <c r="E860">
        <f>CEILING(E859, 0.001)</f>
        <v>2E-3</v>
      </c>
    </row>
    <row r="861" spans="1:5" x14ac:dyDescent="0.25">
      <c r="A861" s="76"/>
      <c r="C861" t="s">
        <v>652</v>
      </c>
      <c r="D861" t="s">
        <v>133</v>
      </c>
      <c r="E861">
        <f>E860*1000</f>
        <v>2</v>
      </c>
    </row>
    <row r="862" spans="1:5" x14ac:dyDescent="0.25">
      <c r="A862" s="76"/>
      <c r="C862" t="s">
        <v>658</v>
      </c>
      <c r="D862" t="s">
        <v>133</v>
      </c>
      <c r="E862">
        <v>9</v>
      </c>
    </row>
    <row r="863" spans="1:5" x14ac:dyDescent="0.25">
      <c r="A863" s="76"/>
      <c r="C863" t="s">
        <v>659</v>
      </c>
      <c r="E863">
        <f>E862/1000</f>
        <v>8.9999999999999993E-3</v>
      </c>
    </row>
    <row r="864" spans="1:5" x14ac:dyDescent="0.25">
      <c r="C864" t="s">
        <v>656</v>
      </c>
      <c r="E864">
        <f>0.00604</f>
        <v>6.0400000000000002E-3</v>
      </c>
    </row>
    <row r="865" spans="1:15" x14ac:dyDescent="0.25">
      <c r="C865" t="s">
        <v>655</v>
      </c>
      <c r="E865">
        <f>E864/E850</f>
        <v>7.5500000000000006E-6</v>
      </c>
    </row>
    <row r="866" spans="1:15" x14ac:dyDescent="0.25">
      <c r="C866" t="s">
        <v>654</v>
      </c>
      <c r="E866">
        <v>2300</v>
      </c>
    </row>
    <row r="867" spans="1:15" x14ac:dyDescent="0.25">
      <c r="C867" t="s">
        <v>657</v>
      </c>
      <c r="E867">
        <f>E850*E857*E863/E864</f>
        <v>119.20529801324503</v>
      </c>
    </row>
    <row r="868" spans="1:15" x14ac:dyDescent="0.25">
      <c r="C868" t="s">
        <v>660</v>
      </c>
      <c r="E868" t="b">
        <f>E867&lt;E866</f>
        <v>1</v>
      </c>
    </row>
    <row r="871" spans="1:15" x14ac:dyDescent="0.25">
      <c r="B871" t="s">
        <v>37</v>
      </c>
      <c r="C871" t="s">
        <v>43</v>
      </c>
      <c r="D871" t="s">
        <v>21</v>
      </c>
      <c r="E871">
        <f>D5</f>
        <v>35.400000000000006</v>
      </c>
    </row>
    <row r="872" spans="1:15" x14ac:dyDescent="0.25">
      <c r="A872" s="76" t="s">
        <v>761</v>
      </c>
      <c r="B872" t="s">
        <v>474</v>
      </c>
      <c r="C872" t="s">
        <v>475</v>
      </c>
      <c r="D872" t="s">
        <v>21</v>
      </c>
      <c r="E872">
        <f>D6</f>
        <v>38.099999999999994</v>
      </c>
    </row>
    <row r="873" spans="1:15" x14ac:dyDescent="0.25">
      <c r="A873" s="76"/>
      <c r="B873" t="s">
        <v>38</v>
      </c>
      <c r="C873" t="s">
        <v>42</v>
      </c>
      <c r="D873" t="s">
        <v>21</v>
      </c>
      <c r="E873">
        <f>D7</f>
        <v>44.1</v>
      </c>
    </row>
    <row r="874" spans="1:15" x14ac:dyDescent="0.25">
      <c r="A874" s="76"/>
      <c r="C874" t="s">
        <v>762</v>
      </c>
      <c r="D874" t="s">
        <v>20</v>
      </c>
      <c r="E874">
        <v>3</v>
      </c>
    </row>
    <row r="875" spans="1:15" x14ac:dyDescent="0.25">
      <c r="A875" s="76"/>
      <c r="C875" t="s">
        <v>763</v>
      </c>
      <c r="E875">
        <f>(E873/E874)</f>
        <v>14.700000000000001</v>
      </c>
    </row>
    <row r="876" spans="1:15" x14ac:dyDescent="0.25">
      <c r="A876" s="76"/>
      <c r="C876" t="s">
        <v>764</v>
      </c>
      <c r="E876">
        <f>E871/E874</f>
        <v>11.800000000000002</v>
      </c>
    </row>
    <row r="877" spans="1:15" ht="18.75" customHeight="1" x14ac:dyDescent="0.25">
      <c r="A877" s="76"/>
      <c r="C877" t="s">
        <v>765</v>
      </c>
      <c r="E877">
        <f>E872/E874</f>
        <v>12.699999999999998</v>
      </c>
    </row>
    <row r="878" spans="1:15" hidden="1" x14ac:dyDescent="0.25">
      <c r="A878" s="76"/>
      <c r="C878" t="s">
        <v>766</v>
      </c>
      <c r="E878">
        <f>12</f>
        <v>12</v>
      </c>
    </row>
    <row r="879" spans="1:15" ht="115.5" customHeight="1" x14ac:dyDescent="0.25">
      <c r="A879" s="76"/>
      <c r="C879" t="s">
        <v>767</v>
      </c>
      <c r="E879">
        <f>E873*E873/E878</f>
        <v>162.06750000000002</v>
      </c>
      <c r="G879" s="17" t="s">
        <v>194</v>
      </c>
      <c r="H879" s="43" t="s">
        <v>773</v>
      </c>
      <c r="I879" s="43" t="s">
        <v>776</v>
      </c>
      <c r="J879" s="43" t="s">
        <v>775</v>
      </c>
      <c r="K879" s="43" t="s">
        <v>774</v>
      </c>
      <c r="L879" s="43" t="s">
        <v>777</v>
      </c>
      <c r="M879" s="43" t="s">
        <v>778</v>
      </c>
      <c r="N879" s="43" t="s">
        <v>780</v>
      </c>
      <c r="O879" s="42"/>
    </row>
    <row r="880" spans="1:15" x14ac:dyDescent="0.25">
      <c r="A880" s="76"/>
      <c r="C880" t="s">
        <v>768</v>
      </c>
      <c r="E880">
        <f>6</f>
        <v>6</v>
      </c>
      <c r="G880" s="17">
        <v>1</v>
      </c>
      <c r="H880" s="17">
        <f>E873/G880</f>
        <v>44.1</v>
      </c>
      <c r="I880" s="17">
        <f>H880*H880*G880</f>
        <v>1944.8100000000002</v>
      </c>
      <c r="J880" s="17">
        <f>I880/2</f>
        <v>972.40500000000009</v>
      </c>
      <c r="K880" s="17">
        <f>E871/G880</f>
        <v>35.400000000000006</v>
      </c>
      <c r="L880" s="17">
        <f>E871*E871/G880</f>
        <v>1253.1600000000003</v>
      </c>
      <c r="M880" s="17">
        <f>L880/2</f>
        <v>626.58000000000015</v>
      </c>
      <c r="N880" s="42"/>
    </row>
    <row r="881" spans="1:14" x14ac:dyDescent="0.25">
      <c r="A881" s="76"/>
      <c r="C881" t="s">
        <v>769</v>
      </c>
      <c r="E881">
        <v>2</v>
      </c>
      <c r="G881" s="17">
        <v>2</v>
      </c>
      <c r="H881" s="17">
        <f>E873/G881</f>
        <v>22.05</v>
      </c>
      <c r="I881" s="17">
        <f t="shared" ref="I881:I894" si="83">H881*H881*G881</f>
        <v>972.40500000000009</v>
      </c>
      <c r="J881" s="17">
        <f>I881/2</f>
        <v>486.20250000000004</v>
      </c>
      <c r="K881" s="17">
        <f>E871/G881</f>
        <v>17.700000000000003</v>
      </c>
      <c r="L881" s="17">
        <f>E871*E871/G881</f>
        <v>626.58000000000015</v>
      </c>
      <c r="M881" s="17">
        <f>L881/2</f>
        <v>313.29000000000008</v>
      </c>
      <c r="N881" s="42"/>
    </row>
    <row r="882" spans="1:14" x14ac:dyDescent="0.25">
      <c r="A882" s="76"/>
      <c r="C882" t="s">
        <v>770</v>
      </c>
      <c r="E882">
        <f xml:space="preserve"> E880*E881</f>
        <v>12</v>
      </c>
      <c r="G882" s="17">
        <v>3</v>
      </c>
      <c r="H882" s="17">
        <f>E873/G882</f>
        <v>14.700000000000001</v>
      </c>
      <c r="I882" s="17">
        <f t="shared" si="83"/>
        <v>648.2700000000001</v>
      </c>
      <c r="J882" s="17">
        <f>I882/2</f>
        <v>324.13500000000005</v>
      </c>
      <c r="K882" s="17">
        <f>E871/G882</f>
        <v>11.800000000000002</v>
      </c>
      <c r="L882" s="17">
        <f>E871*E871/G882</f>
        <v>417.72000000000008</v>
      </c>
      <c r="M882" s="17">
        <f>L882/2</f>
        <v>208.86000000000004</v>
      </c>
    </row>
    <row r="883" spans="1:14" x14ac:dyDescent="0.25">
      <c r="A883" s="76"/>
      <c r="G883" s="17">
        <v>4</v>
      </c>
      <c r="H883" s="17">
        <f>E873/G883</f>
        <v>11.025</v>
      </c>
      <c r="I883" s="17">
        <f t="shared" si="83"/>
        <v>486.20250000000004</v>
      </c>
      <c r="J883" s="17">
        <f t="shared" ref="J883:J894" si="84">I883/2</f>
        <v>243.10125000000002</v>
      </c>
      <c r="K883" s="17">
        <f>E871/G883</f>
        <v>8.8500000000000014</v>
      </c>
      <c r="L883" s="17">
        <f>E871*E871/G883</f>
        <v>313.29000000000008</v>
      </c>
      <c r="M883" s="17">
        <f t="shared" ref="M883:M894" si="85">L883/2</f>
        <v>156.64500000000004</v>
      </c>
    </row>
    <row r="884" spans="1:14" x14ac:dyDescent="0.25">
      <c r="A884" s="76"/>
      <c r="C884" t="s">
        <v>771</v>
      </c>
      <c r="E884">
        <f>(POWER(E873,2))/(200*2)</f>
        <v>4.862025</v>
      </c>
      <c r="G884" s="17">
        <v>5</v>
      </c>
      <c r="H884" s="17">
        <f>E873/G884</f>
        <v>8.82</v>
      </c>
      <c r="I884" s="17">
        <f t="shared" si="83"/>
        <v>388.96199999999999</v>
      </c>
      <c r="J884" s="17">
        <f t="shared" si="84"/>
        <v>194.48099999999999</v>
      </c>
      <c r="K884" s="17">
        <f>E871/G884</f>
        <v>7.080000000000001</v>
      </c>
      <c r="L884" s="17">
        <f>E871*E871/G884</f>
        <v>250.63200000000006</v>
      </c>
      <c r="M884" s="17">
        <f t="shared" si="85"/>
        <v>125.31600000000003</v>
      </c>
      <c r="N884" t="s">
        <v>779</v>
      </c>
    </row>
    <row r="885" spans="1:14" x14ac:dyDescent="0.25">
      <c r="A885" s="76"/>
      <c r="C885" t="s">
        <v>772</v>
      </c>
      <c r="E885">
        <f>E873/E884</f>
        <v>9.0702947845804989</v>
      </c>
      <c r="G885" s="17">
        <v>6</v>
      </c>
      <c r="H885" s="17">
        <f>E873/G885</f>
        <v>7.3500000000000005</v>
      </c>
      <c r="I885" s="17">
        <f t="shared" si="83"/>
        <v>324.13500000000005</v>
      </c>
      <c r="J885" s="17">
        <f t="shared" si="84"/>
        <v>162.06750000000002</v>
      </c>
      <c r="K885" s="17">
        <f>E871/G885</f>
        <v>5.9000000000000012</v>
      </c>
      <c r="L885" s="17">
        <f>E871*E871/G885</f>
        <v>208.86000000000004</v>
      </c>
      <c r="M885" s="17">
        <f t="shared" si="85"/>
        <v>104.43000000000002</v>
      </c>
      <c r="N885" t="s">
        <v>781</v>
      </c>
    </row>
    <row r="886" spans="1:14" x14ac:dyDescent="0.25">
      <c r="A886" s="76"/>
      <c r="G886" s="17">
        <v>7</v>
      </c>
      <c r="H886" s="17">
        <f>E873/G886</f>
        <v>6.3</v>
      </c>
      <c r="I886" s="17">
        <f t="shared" si="83"/>
        <v>277.83</v>
      </c>
      <c r="J886" s="17">
        <f t="shared" si="84"/>
        <v>138.91499999999999</v>
      </c>
      <c r="K886" s="17">
        <f>E871/G886</f>
        <v>5.0571428571428578</v>
      </c>
      <c r="L886" s="17">
        <f>E871*E871/G886</f>
        <v>179.02285714285719</v>
      </c>
      <c r="M886" s="17">
        <f t="shared" si="85"/>
        <v>89.511428571428596</v>
      </c>
      <c r="N886" t="s">
        <v>782</v>
      </c>
    </row>
    <row r="887" spans="1:14" x14ac:dyDescent="0.25">
      <c r="G887" s="17">
        <v>8</v>
      </c>
      <c r="H887" s="17">
        <f>E873/G887</f>
        <v>5.5125000000000002</v>
      </c>
      <c r="I887" s="17">
        <f t="shared" si="83"/>
        <v>243.10125000000002</v>
      </c>
      <c r="J887" s="17">
        <f t="shared" si="84"/>
        <v>121.55062500000001</v>
      </c>
      <c r="K887" s="17">
        <f>E871/G887</f>
        <v>4.4250000000000007</v>
      </c>
      <c r="L887" s="17">
        <f>E871*E871/G887</f>
        <v>156.64500000000004</v>
      </c>
      <c r="M887" s="17">
        <f t="shared" si="85"/>
        <v>78.322500000000019</v>
      </c>
      <c r="N887" t="s">
        <v>783</v>
      </c>
    </row>
    <row r="888" spans="1:14" x14ac:dyDescent="0.25">
      <c r="G888" s="17">
        <v>9</v>
      </c>
      <c r="H888" s="17">
        <f>E873/G888</f>
        <v>4.9000000000000004</v>
      </c>
      <c r="I888" s="17">
        <f t="shared" si="83"/>
        <v>216.09000000000003</v>
      </c>
      <c r="J888" s="17">
        <f t="shared" si="84"/>
        <v>108.04500000000002</v>
      </c>
      <c r="K888" s="17">
        <f>E871/G888</f>
        <v>3.933333333333334</v>
      </c>
      <c r="L888" s="17">
        <f>E871*E871/G888</f>
        <v>139.24000000000004</v>
      </c>
      <c r="M888" s="17">
        <f t="shared" si="85"/>
        <v>69.620000000000019</v>
      </c>
      <c r="N888" t="s">
        <v>784</v>
      </c>
    </row>
    <row r="889" spans="1:14" x14ac:dyDescent="0.25">
      <c r="G889" s="17">
        <v>10</v>
      </c>
      <c r="H889" s="17">
        <f>E873/G889</f>
        <v>4.41</v>
      </c>
      <c r="I889" s="17">
        <f t="shared" si="83"/>
        <v>194.48099999999999</v>
      </c>
      <c r="J889" s="17">
        <f t="shared" si="84"/>
        <v>97.240499999999997</v>
      </c>
      <c r="K889" s="17">
        <f>E871/G889</f>
        <v>3.5400000000000005</v>
      </c>
      <c r="L889" s="17">
        <f>E871*E871/G889</f>
        <v>125.31600000000003</v>
      </c>
      <c r="M889" s="17">
        <f t="shared" si="85"/>
        <v>62.658000000000015</v>
      </c>
      <c r="N889" t="s">
        <v>785</v>
      </c>
    </row>
    <row r="890" spans="1:14" x14ac:dyDescent="0.25">
      <c r="A890" s="76" t="s">
        <v>869</v>
      </c>
      <c r="B890" t="s">
        <v>855</v>
      </c>
      <c r="C890" t="s">
        <v>854</v>
      </c>
      <c r="E890">
        <v>5</v>
      </c>
      <c r="F890" s="8" t="s">
        <v>21</v>
      </c>
      <c r="G890" s="17">
        <v>11</v>
      </c>
      <c r="H890" s="17">
        <f>E873/G890</f>
        <v>4.0090909090909088</v>
      </c>
      <c r="I890" s="17">
        <f t="shared" si="83"/>
        <v>176.80090909090904</v>
      </c>
      <c r="J890" s="17">
        <f t="shared" si="84"/>
        <v>88.400454545454522</v>
      </c>
      <c r="K890" s="17">
        <f>E871/G890</f>
        <v>3.2181818181818187</v>
      </c>
      <c r="L890" s="17">
        <f>E871*E871/G890</f>
        <v>113.92363636363639</v>
      </c>
      <c r="M890" s="17">
        <f t="shared" si="85"/>
        <v>56.961818181818195</v>
      </c>
      <c r="N890" t="s">
        <v>786</v>
      </c>
    </row>
    <row r="891" spans="1:14" x14ac:dyDescent="0.25">
      <c r="A891" s="76"/>
      <c r="B891" t="s">
        <v>857</v>
      </c>
      <c r="C891" t="s">
        <v>858</v>
      </c>
      <c r="E891">
        <f>2000</f>
        <v>2000</v>
      </c>
      <c r="F891" s="8" t="s">
        <v>24</v>
      </c>
      <c r="G891" s="17">
        <v>12</v>
      </c>
      <c r="H891" s="17">
        <f>E873/G891</f>
        <v>3.6750000000000003</v>
      </c>
      <c r="I891" s="17">
        <f t="shared" si="83"/>
        <v>162.06750000000002</v>
      </c>
      <c r="J891" s="17">
        <f t="shared" si="84"/>
        <v>81.033750000000012</v>
      </c>
      <c r="K891" s="17">
        <f>E871/G891</f>
        <v>2.9500000000000006</v>
      </c>
      <c r="L891" s="17">
        <f>E871*E871/G891</f>
        <v>104.43000000000002</v>
      </c>
      <c r="M891" s="17">
        <f t="shared" si="85"/>
        <v>52.215000000000011</v>
      </c>
      <c r="N891" t="s">
        <v>788</v>
      </c>
    </row>
    <row r="892" spans="1:14" x14ac:dyDescent="0.25">
      <c r="A892" s="76"/>
      <c r="B892" t="s">
        <v>856</v>
      </c>
      <c r="C892" t="s">
        <v>859</v>
      </c>
      <c r="E892">
        <f>((E890/1.23)-1)*E891</f>
        <v>6130.081300813009</v>
      </c>
      <c r="F892" s="8" t="s">
        <v>24</v>
      </c>
      <c r="G892" s="17">
        <v>13</v>
      </c>
      <c r="H892" s="17">
        <f>E873/G892</f>
        <v>3.3923076923076922</v>
      </c>
      <c r="I892" s="17">
        <f t="shared" si="83"/>
        <v>149.60076923076923</v>
      </c>
      <c r="J892" s="17">
        <f t="shared" si="84"/>
        <v>74.800384615384615</v>
      </c>
      <c r="K892" s="17">
        <f>E871/G892</f>
        <v>2.7230769230769236</v>
      </c>
      <c r="L892" s="17">
        <f>E871*E871/G892</f>
        <v>96.396923076923102</v>
      </c>
      <c r="M892" s="17">
        <f t="shared" si="85"/>
        <v>48.198461538461551</v>
      </c>
      <c r="N892" t="s">
        <v>787</v>
      </c>
    </row>
    <row r="893" spans="1:14" x14ac:dyDescent="0.25">
      <c r="A893" s="47"/>
      <c r="B893" t="s">
        <v>868</v>
      </c>
      <c r="C893" t="s">
        <v>874</v>
      </c>
      <c r="E893">
        <f>1/(31000*E892)</f>
        <v>5.26225720886455E-9</v>
      </c>
      <c r="F893" s="8" t="s">
        <v>23</v>
      </c>
      <c r="G893" s="17"/>
      <c r="H893" s="17"/>
      <c r="I893" s="17"/>
      <c r="J893" s="17"/>
      <c r="K893" s="17"/>
      <c r="L893" s="17"/>
      <c r="M893" s="17"/>
    </row>
    <row r="894" spans="1:14" x14ac:dyDescent="0.25">
      <c r="G894" s="17">
        <v>14</v>
      </c>
      <c r="H894" s="17">
        <f>E873/G894</f>
        <v>3.15</v>
      </c>
      <c r="I894" s="17">
        <f t="shared" si="83"/>
        <v>138.91499999999999</v>
      </c>
      <c r="J894" s="17">
        <f t="shared" si="84"/>
        <v>69.457499999999996</v>
      </c>
      <c r="K894" s="17">
        <f>E871/G894</f>
        <v>2.5285714285714289</v>
      </c>
      <c r="L894" s="17">
        <f>E871*E871/G894</f>
        <v>89.511428571428596</v>
      </c>
      <c r="M894" s="17">
        <f t="shared" si="85"/>
        <v>44.755714285714298</v>
      </c>
      <c r="N894" t="s">
        <v>789</v>
      </c>
    </row>
    <row r="895" spans="1:14" x14ac:dyDescent="0.25">
      <c r="A895" s="76" t="s">
        <v>870</v>
      </c>
      <c r="B895" t="s">
        <v>855</v>
      </c>
      <c r="C895" t="s">
        <v>854</v>
      </c>
      <c r="E895">
        <v>3.3</v>
      </c>
      <c r="F895" s="8" t="s">
        <v>21</v>
      </c>
    </row>
    <row r="896" spans="1:14" x14ac:dyDescent="0.25">
      <c r="A896" s="76"/>
      <c r="B896" t="s">
        <v>857</v>
      </c>
      <c r="C896" t="s">
        <v>858</v>
      </c>
      <c r="E896">
        <f>2000</f>
        <v>2000</v>
      </c>
      <c r="F896" s="8" t="s">
        <v>24</v>
      </c>
    </row>
    <row r="897" spans="1:6" x14ac:dyDescent="0.25">
      <c r="A897" s="76"/>
      <c r="B897" t="s">
        <v>856</v>
      </c>
      <c r="C897" t="s">
        <v>859</v>
      </c>
      <c r="E897">
        <f>((E895/1.23)-1)*E896</f>
        <v>3365.8536585365846</v>
      </c>
      <c r="F897" s="8" t="s">
        <v>24</v>
      </c>
    </row>
    <row r="898" spans="1:6" x14ac:dyDescent="0.25">
      <c r="B898" t="s">
        <v>868</v>
      </c>
      <c r="C898" t="s">
        <v>874</v>
      </c>
      <c r="E898">
        <f>1/(31000*E897)</f>
        <v>9.583917718560077E-9</v>
      </c>
      <c r="F898" s="8" t="s">
        <v>23</v>
      </c>
    </row>
    <row r="900" spans="1:6" x14ac:dyDescent="0.25">
      <c r="A900" s="76" t="s">
        <v>873</v>
      </c>
      <c r="B900" t="s">
        <v>855</v>
      </c>
      <c r="C900" t="s">
        <v>854</v>
      </c>
      <c r="E900">
        <v>10</v>
      </c>
      <c r="F900" s="8" t="s">
        <v>21</v>
      </c>
    </row>
    <row r="901" spans="1:6" x14ac:dyDescent="0.25">
      <c r="A901" s="76"/>
      <c r="B901" t="s">
        <v>857</v>
      </c>
      <c r="C901" t="s">
        <v>858</v>
      </c>
      <c r="E901">
        <f>2000</f>
        <v>2000</v>
      </c>
      <c r="F901" s="8" t="s">
        <v>24</v>
      </c>
    </row>
    <row r="902" spans="1:6" x14ac:dyDescent="0.25">
      <c r="A902" s="76"/>
      <c r="B902" t="s">
        <v>856</v>
      </c>
      <c r="C902" t="s">
        <v>859</v>
      </c>
      <c r="E902">
        <f>((E900/1.23)-1)*E901</f>
        <v>14260.162601626018</v>
      </c>
      <c r="F902" s="8" t="s">
        <v>24</v>
      </c>
    </row>
    <row r="903" spans="1:6" x14ac:dyDescent="0.25">
      <c r="B903" t="s">
        <v>868</v>
      </c>
      <c r="C903" t="s">
        <v>874</v>
      </c>
      <c r="E903">
        <f>1/(31000*E902)</f>
        <v>2.2621105675506673E-9</v>
      </c>
      <c r="F903" s="8" t="s">
        <v>23</v>
      </c>
    </row>
    <row r="905" spans="1:6" x14ac:dyDescent="0.25">
      <c r="A905" s="76" t="s">
        <v>871</v>
      </c>
      <c r="B905" t="s">
        <v>861</v>
      </c>
      <c r="C905" t="s">
        <v>860</v>
      </c>
      <c r="E905">
        <v>2</v>
      </c>
      <c r="F905" s="8" t="s">
        <v>21</v>
      </c>
    </row>
    <row r="906" spans="1:6" x14ac:dyDescent="0.25">
      <c r="A906" s="76"/>
      <c r="B906" t="s">
        <v>862</v>
      </c>
      <c r="C906" t="s">
        <v>863</v>
      </c>
      <c r="E906">
        <v>30</v>
      </c>
      <c r="F906" s="8" t="s">
        <v>21</v>
      </c>
    </row>
    <row r="907" spans="1:6" x14ac:dyDescent="0.25">
      <c r="A907" s="76"/>
      <c r="B907" t="s">
        <v>857</v>
      </c>
      <c r="C907" t="s">
        <v>858</v>
      </c>
      <c r="E907">
        <f>2000</f>
        <v>2000</v>
      </c>
      <c r="F907" s="8" t="s">
        <v>24</v>
      </c>
    </row>
    <row r="908" spans="1:6" x14ac:dyDescent="0.25">
      <c r="A908" s="76"/>
      <c r="B908" t="s">
        <v>867</v>
      </c>
      <c r="C908" t="s">
        <v>864</v>
      </c>
      <c r="E908">
        <f>((E905/1.23)-1)*E907</f>
        <v>1252.0325203252032</v>
      </c>
      <c r="F908" s="8" t="s">
        <v>24</v>
      </c>
    </row>
    <row r="909" spans="1:6" x14ac:dyDescent="0.25">
      <c r="A909" s="76"/>
      <c r="B909" t="s">
        <v>866</v>
      </c>
      <c r="C909" t="s">
        <v>865</v>
      </c>
      <c r="E909">
        <f>((E906/1.23)-1)*E907</f>
        <v>46780.487804878052</v>
      </c>
      <c r="F909" s="8" t="s">
        <v>24</v>
      </c>
    </row>
    <row r="910" spans="1:6" x14ac:dyDescent="0.25">
      <c r="A910" s="76"/>
      <c r="B910" t="s">
        <v>868</v>
      </c>
      <c r="C910" t="s">
        <v>874</v>
      </c>
      <c r="E910">
        <f>1/(31000*E908)</f>
        <v>2.5764558022622537E-8</v>
      </c>
      <c r="F910" s="8" t="s">
        <v>23</v>
      </c>
    </row>
    <row r="912" spans="1:6" x14ac:dyDescent="0.25">
      <c r="A912" s="76" t="s">
        <v>872</v>
      </c>
      <c r="B912" t="s">
        <v>861</v>
      </c>
      <c r="C912" t="s">
        <v>860</v>
      </c>
      <c r="E912">
        <v>9</v>
      </c>
      <c r="F912" s="8" t="s">
        <v>21</v>
      </c>
    </row>
    <row r="913" spans="1:6" x14ac:dyDescent="0.25">
      <c r="A913" s="76"/>
      <c r="B913" t="s">
        <v>862</v>
      </c>
      <c r="C913" t="s">
        <v>863</v>
      </c>
      <c r="E913">
        <v>20</v>
      </c>
      <c r="F913" s="8" t="s">
        <v>21</v>
      </c>
    </row>
    <row r="914" spans="1:6" x14ac:dyDescent="0.25">
      <c r="A914" s="76"/>
      <c r="B914" t="s">
        <v>857</v>
      </c>
      <c r="C914" t="s">
        <v>858</v>
      </c>
      <c r="E914">
        <f>2000</f>
        <v>2000</v>
      </c>
      <c r="F914" s="8" t="s">
        <v>24</v>
      </c>
    </row>
    <row r="915" spans="1:6" x14ac:dyDescent="0.25">
      <c r="A915" s="76"/>
      <c r="B915" t="s">
        <v>867</v>
      </c>
      <c r="C915" t="s">
        <v>864</v>
      </c>
      <c r="E915">
        <f>((E912/1.23)-1)*E914</f>
        <v>12634.146341463415</v>
      </c>
      <c r="F915" s="8" t="s">
        <v>24</v>
      </c>
    </row>
    <row r="916" spans="1:6" x14ac:dyDescent="0.25">
      <c r="A916" s="76"/>
      <c r="B916" t="s">
        <v>866</v>
      </c>
      <c r="C916" t="s">
        <v>865</v>
      </c>
      <c r="E916">
        <f>((E913/1.23)-1)*E914</f>
        <v>30520.325203252036</v>
      </c>
      <c r="F916" s="8" t="s">
        <v>24</v>
      </c>
    </row>
    <row r="917" spans="1:6" x14ac:dyDescent="0.25">
      <c r="A917" s="76"/>
      <c r="B917" t="s">
        <v>868</v>
      </c>
      <c r="C917" t="s">
        <v>874</v>
      </c>
      <c r="E917">
        <f>1/(31000*E915)</f>
        <v>2.5532444887283596E-9</v>
      </c>
      <c r="F917" s="8" t="s">
        <v>23</v>
      </c>
    </row>
  </sheetData>
  <mergeCells count="34">
    <mergeCell ref="A872:A886"/>
    <mergeCell ref="A548:A560"/>
    <mergeCell ref="A561:A564"/>
    <mergeCell ref="A761:A773"/>
    <mergeCell ref="A675:A746"/>
    <mergeCell ref="A633:A672"/>
    <mergeCell ref="A779:A799"/>
    <mergeCell ref="A801:A821"/>
    <mergeCell ref="A31:A59"/>
    <mergeCell ref="A838:A863"/>
    <mergeCell ref="A286:A337"/>
    <mergeCell ref="G19:J22"/>
    <mergeCell ref="G29:K34"/>
    <mergeCell ref="A565:A631"/>
    <mergeCell ref="A20:A29"/>
    <mergeCell ref="A61:A69"/>
    <mergeCell ref="A71:A95"/>
    <mergeCell ref="A339:A360"/>
    <mergeCell ref="A376:A412"/>
    <mergeCell ref="A229:A284"/>
    <mergeCell ref="A362:A374"/>
    <mergeCell ref="A824:A836"/>
    <mergeCell ref="A414:A454"/>
    <mergeCell ref="A456:A546"/>
    <mergeCell ref="A890:A892"/>
    <mergeCell ref="A895:A897"/>
    <mergeCell ref="A900:A902"/>
    <mergeCell ref="A905:A910"/>
    <mergeCell ref="A912:A917"/>
    <mergeCell ref="G111:K111"/>
    <mergeCell ref="A99:A136"/>
    <mergeCell ref="A196:A220"/>
    <mergeCell ref="A167:A193"/>
    <mergeCell ref="A138:A164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68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77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0" t="s">
        <v>149</v>
      </c>
      <c r="B1" s="80"/>
    </row>
    <row r="18" spans="3:5" x14ac:dyDescent="0.25">
      <c r="C18" s="81" t="s">
        <v>161</v>
      </c>
      <c r="D18" s="82"/>
      <c r="E18" s="83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160</v>
      </c>
      <c r="B1" s="80"/>
    </row>
    <row r="17" spans="1:4" x14ac:dyDescent="0.25">
      <c r="B17" s="81" t="s">
        <v>161</v>
      </c>
      <c r="C17" s="82"/>
      <c r="D17" s="83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167</v>
      </c>
      <c r="B1" s="80"/>
    </row>
    <row r="17" spans="1:4" x14ac:dyDescent="0.25">
      <c r="B17" s="81" t="s">
        <v>161</v>
      </c>
      <c r="C17" s="82"/>
      <c r="D17" s="83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2026-02-06T05:13:14Z</dcterms:modified>
</cp:coreProperties>
</file>