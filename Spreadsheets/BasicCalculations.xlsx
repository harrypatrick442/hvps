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695" i="1" l="1"/>
  <c r="E970" i="1" l="1"/>
  <c r="E969" i="1"/>
  <c r="E973" i="1" l="1"/>
  <c r="E974" i="1" s="1"/>
  <c r="E956" i="1"/>
  <c r="E950" i="1"/>
  <c r="E952" i="1" s="1"/>
  <c r="D492" i="1"/>
  <c r="D560" i="1" s="1"/>
  <c r="D490" i="1"/>
  <c r="E963" i="1"/>
  <c r="D562" i="1" s="1"/>
  <c r="D564" i="1" s="1"/>
  <c r="D561" i="1"/>
  <c r="F958" i="1"/>
  <c r="E947" i="1"/>
  <c r="D565" i="1" l="1"/>
  <c r="E951" i="1"/>
  <c r="E953" i="1"/>
  <c r="G947" i="1"/>
  <c r="N947" i="1"/>
  <c r="M947" i="1"/>
  <c r="L947" i="1"/>
  <c r="K947" i="1"/>
  <c r="J947" i="1"/>
  <c r="I947" i="1"/>
  <c r="H947" i="1"/>
  <c r="D823" i="1"/>
  <c r="D832" i="1"/>
  <c r="D836" i="1" s="1"/>
  <c r="D837" i="1" s="1"/>
  <c r="D828" i="1"/>
  <c r="D827" i="1"/>
  <c r="D833" i="1"/>
  <c r="D806" i="1"/>
  <c r="D805" i="1"/>
  <c r="D801" i="1"/>
  <c r="D811" i="1" s="1"/>
  <c r="H955" i="1" l="1"/>
  <c r="H958" i="1" s="1"/>
  <c r="J955" i="1"/>
  <c r="J958" i="1" s="1"/>
  <c r="N955" i="1"/>
  <c r="N958" i="1" s="1"/>
  <c r="I955" i="1"/>
  <c r="I958" i="1" s="1"/>
  <c r="K955" i="1"/>
  <c r="K958" i="1" s="1"/>
  <c r="L955" i="1"/>
  <c r="L958" i="1" s="1"/>
  <c r="M955" i="1"/>
  <c r="M958" i="1" s="1"/>
  <c r="G955" i="1"/>
  <c r="G958" i="1" s="1"/>
  <c r="E955" i="1"/>
  <c r="E958" i="1" s="1"/>
  <c r="D829" i="1"/>
  <c r="D831" i="1"/>
  <c r="D838" i="1" s="1"/>
  <c r="D834" i="1"/>
  <c r="D835" i="1" s="1"/>
  <c r="D841" i="1" s="1"/>
  <c r="D809" i="1"/>
  <c r="D816" i="1" s="1"/>
  <c r="D807" i="1"/>
  <c r="D390" i="1"/>
  <c r="D391" i="1" s="1"/>
  <c r="D392" i="1" s="1"/>
  <c r="D403" i="1"/>
  <c r="D402" i="1"/>
  <c r="D404" i="1" s="1"/>
  <c r="D839" i="1" l="1"/>
  <c r="D840" i="1"/>
  <c r="D406" i="1"/>
  <c r="D408" i="1" s="1"/>
  <c r="D405" i="1"/>
  <c r="D407" i="1" s="1"/>
  <c r="D409" i="1" s="1"/>
  <c r="D410" i="1" l="1"/>
  <c r="D104" i="1"/>
  <c r="D144" i="1"/>
  <c r="D143" i="1"/>
  <c r="D142" i="1"/>
  <c r="D160" i="1" s="1"/>
  <c r="Z118" i="1" l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J118" i="1"/>
  <c r="K118" i="1"/>
  <c r="D147" i="1" s="1"/>
  <c r="L118" i="1"/>
  <c r="I118" i="1"/>
  <c r="D141" i="1"/>
  <c r="D150" i="1" s="1"/>
  <c r="D200" i="1"/>
  <c r="D206" i="1" s="1"/>
  <c r="D101" i="1"/>
  <c r="D100" i="1"/>
  <c r="D99" i="1"/>
  <c r="D111" i="1" l="1"/>
  <c r="D105" i="1"/>
  <c r="D122" i="1"/>
  <c r="D108" i="1"/>
  <c r="D151" i="1"/>
  <c r="D152" i="1" s="1"/>
  <c r="D161" i="1"/>
  <c r="D503" i="1"/>
  <c r="D508" i="1" s="1"/>
  <c r="D513" i="1"/>
  <c r="D479" i="1"/>
  <c r="D478" i="1"/>
  <c r="D458" i="1"/>
  <c r="D537" i="1" s="1"/>
  <c r="D457" i="1"/>
  <c r="D475" i="1" s="1"/>
  <c r="D456" i="1"/>
  <c r="D498" i="1" s="1"/>
  <c r="D414" i="1"/>
  <c r="D415" i="1"/>
  <c r="D416" i="1"/>
  <c r="D480" i="1" l="1"/>
  <c r="D482" i="1" s="1"/>
  <c r="D483" i="1" s="1"/>
  <c r="D504" i="1"/>
  <c r="D505" i="1" s="1"/>
  <c r="D506" i="1" s="1"/>
  <c r="D157" i="1"/>
  <c r="D154" i="1"/>
  <c r="D155" i="1" s="1"/>
  <c r="D156" i="1" s="1"/>
  <c r="D556" i="1"/>
  <c r="D557" i="1" s="1"/>
  <c r="D558" i="1" s="1"/>
  <c r="D469" i="1"/>
  <c r="D471" i="1" s="1"/>
  <c r="D485" i="1"/>
  <c r="D493" i="1" s="1"/>
  <c r="E934" i="1"/>
  <c r="E935" i="1" s="1"/>
  <c r="E937" i="1" s="1"/>
  <c r="E921" i="1"/>
  <c r="E922" i="1" s="1"/>
  <c r="E923" i="1" s="1"/>
  <c r="E927" i="1"/>
  <c r="E928" i="1" s="1"/>
  <c r="E930" i="1" s="1"/>
  <c r="E916" i="1"/>
  <c r="E917" i="1" s="1"/>
  <c r="E918" i="1" s="1"/>
  <c r="E911" i="1"/>
  <c r="E912" i="1" s="1"/>
  <c r="E913" i="1" s="1"/>
  <c r="C691" i="1"/>
  <c r="D545" i="1" l="1"/>
  <c r="D481" i="1"/>
  <c r="D509" i="1"/>
  <c r="D511" i="1" s="1"/>
  <c r="D486" i="1"/>
  <c r="D517" i="1" s="1"/>
  <c r="D518" i="1" s="1"/>
  <c r="D519" i="1" s="1"/>
  <c r="D524" i="1"/>
  <c r="D527" i="1" s="1"/>
  <c r="D535" i="1" s="1"/>
  <c r="D164" i="1"/>
  <c r="D158" i="1"/>
  <c r="D162" i="1"/>
  <c r="D163" i="1" s="1"/>
  <c r="D153" i="1"/>
  <c r="D514" i="1"/>
  <c r="D515" i="1" s="1"/>
  <c r="D528" i="1"/>
  <c r="D494" i="1"/>
  <c r="D499" i="1" s="1"/>
  <c r="D550" i="1"/>
  <c r="E929" i="1"/>
  <c r="E936" i="1"/>
  <c r="D552" i="1" l="1"/>
  <c r="D554" i="1" s="1"/>
  <c r="D516" i="1"/>
  <c r="D655" i="1"/>
  <c r="D657" i="1"/>
  <c r="D682" i="1" s="1"/>
  <c r="D684" i="1" s="1"/>
  <c r="D660" i="1" l="1"/>
  <c r="D678" i="1" s="1"/>
  <c r="D685" i="1"/>
  <c r="C685" i="1"/>
  <c r="C687" i="1" s="1"/>
  <c r="C688" i="1" s="1"/>
  <c r="D656" i="1"/>
  <c r="D596" i="1"/>
  <c r="E900" i="1"/>
  <c r="E902" i="1" s="1"/>
  <c r="E898" i="1"/>
  <c r="E893" i="1"/>
  <c r="H907" i="1" s="1"/>
  <c r="I907" i="1" s="1"/>
  <c r="J907" i="1" s="1"/>
  <c r="E685" i="1" l="1"/>
  <c r="D687" i="1"/>
  <c r="D688" i="1" s="1"/>
  <c r="D665" i="1"/>
  <c r="D666" i="1" s="1"/>
  <c r="D676" i="1" s="1"/>
  <c r="D673" i="1"/>
  <c r="E899" i="1"/>
  <c r="E904" i="1"/>
  <c r="E905" i="1" s="1"/>
  <c r="H900" i="1"/>
  <c r="I900" i="1" s="1"/>
  <c r="J900" i="1" s="1"/>
  <c r="H901" i="1"/>
  <c r="I901" i="1" s="1"/>
  <c r="J901" i="1" s="1"/>
  <c r="H902" i="1"/>
  <c r="I902" i="1" s="1"/>
  <c r="J902" i="1" s="1"/>
  <c r="H908" i="1"/>
  <c r="I908" i="1" s="1"/>
  <c r="J908" i="1" s="1"/>
  <c r="H909" i="1"/>
  <c r="I909" i="1" s="1"/>
  <c r="J909" i="1" s="1"/>
  <c r="H910" i="1"/>
  <c r="I910" i="1" s="1"/>
  <c r="J910" i="1" s="1"/>
  <c r="H911" i="1"/>
  <c r="I911" i="1" s="1"/>
  <c r="J911" i="1" s="1"/>
  <c r="H912" i="1"/>
  <c r="I912" i="1" s="1"/>
  <c r="J912" i="1" s="1"/>
  <c r="H914" i="1"/>
  <c r="I914" i="1" s="1"/>
  <c r="J914" i="1" s="1"/>
  <c r="H905" i="1"/>
  <c r="I905" i="1" s="1"/>
  <c r="J905" i="1" s="1"/>
  <c r="H903" i="1"/>
  <c r="I903" i="1" s="1"/>
  <c r="J903" i="1" s="1"/>
  <c r="E895" i="1"/>
  <c r="H904" i="1"/>
  <c r="I904" i="1" s="1"/>
  <c r="J904" i="1" s="1"/>
  <c r="H906" i="1"/>
  <c r="I906" i="1" s="1"/>
  <c r="J906" i="1" s="1"/>
  <c r="D52" i="1"/>
  <c r="D54" i="1" s="1"/>
  <c r="D57" i="1" s="1"/>
  <c r="D58" i="1"/>
  <c r="D49" i="1"/>
  <c r="D669" i="1" l="1"/>
  <c r="C689" i="1"/>
  <c r="D689" i="1"/>
  <c r="F685" i="1"/>
  <c r="E687" i="1"/>
  <c r="E688" i="1" s="1"/>
  <c r="E689" i="1" s="1"/>
  <c r="D59" i="1"/>
  <c r="D53" i="1"/>
  <c r="D47" i="1"/>
  <c r="G685" i="1" l="1"/>
  <c r="F687" i="1"/>
  <c r="F688" i="1" s="1"/>
  <c r="F689" i="1" s="1"/>
  <c r="E866" i="1"/>
  <c r="E871" i="1" s="1"/>
  <c r="E872" i="1" s="1"/>
  <c r="E883" i="1"/>
  <c r="E884" i="1"/>
  <c r="E885" i="1" s="1"/>
  <c r="H685" i="1" l="1"/>
  <c r="G687" i="1"/>
  <c r="G688" i="1" s="1"/>
  <c r="G689" i="1" s="1"/>
  <c r="E887" i="1"/>
  <c r="E888" i="1" s="1"/>
  <c r="D774" i="1"/>
  <c r="D773" i="1"/>
  <c r="D767" i="1"/>
  <c r="D772" i="1" s="1"/>
  <c r="H687" i="1" l="1"/>
  <c r="H688" i="1" s="1"/>
  <c r="H689" i="1" s="1"/>
  <c r="I685" i="1"/>
  <c r="D777" i="1"/>
  <c r="D776" i="1"/>
  <c r="D845" i="1"/>
  <c r="D846" i="1" s="1"/>
  <c r="D847" i="1" s="1"/>
  <c r="D810" i="1"/>
  <c r="D814" i="1" s="1"/>
  <c r="D815" i="1" s="1"/>
  <c r="D573" i="1"/>
  <c r="D572" i="1"/>
  <c r="I687" i="1" l="1"/>
  <c r="I688" i="1" s="1"/>
  <c r="I689" i="1" s="1"/>
  <c r="J685" i="1"/>
  <c r="D812" i="1"/>
  <c r="D813" i="1" s="1"/>
  <c r="D819" i="1" s="1"/>
  <c r="D575" i="1"/>
  <c r="D818" i="1" l="1"/>
  <c r="D817" i="1"/>
  <c r="K685" i="1"/>
  <c r="J687" i="1"/>
  <c r="J688" i="1" s="1"/>
  <c r="J689" i="1" s="1"/>
  <c r="F787" i="1"/>
  <c r="G787" i="1"/>
  <c r="H787" i="1"/>
  <c r="F788" i="1"/>
  <c r="G788" i="1"/>
  <c r="H788" i="1"/>
  <c r="E790" i="1"/>
  <c r="F790" i="1"/>
  <c r="F792" i="1" s="1"/>
  <c r="G790" i="1"/>
  <c r="G792" i="1" s="1"/>
  <c r="H790" i="1"/>
  <c r="H791" i="1" s="1"/>
  <c r="D790" i="1"/>
  <c r="E781" i="1"/>
  <c r="E784" i="1" s="1"/>
  <c r="J784" i="1"/>
  <c r="F785" i="1"/>
  <c r="G785" i="1"/>
  <c r="H785" i="1"/>
  <c r="I785" i="1"/>
  <c r="H784" i="1"/>
  <c r="I784" i="1"/>
  <c r="F784" i="1"/>
  <c r="G784" i="1"/>
  <c r="F791" i="1" l="1"/>
  <c r="L685" i="1"/>
  <c r="K687" i="1"/>
  <c r="K688" i="1" s="1"/>
  <c r="K689" i="1" s="1"/>
  <c r="G791" i="1"/>
  <c r="E788" i="1"/>
  <c r="E791" i="1"/>
  <c r="E785" i="1"/>
  <c r="H792" i="1"/>
  <c r="E787" i="1"/>
  <c r="E792" i="1"/>
  <c r="M685" i="1" l="1"/>
  <c r="L687" i="1"/>
  <c r="L688" i="1" s="1"/>
  <c r="L689" i="1" s="1"/>
  <c r="D324" i="1"/>
  <c r="N685" i="1" l="1"/>
  <c r="M687" i="1"/>
  <c r="M688" i="1" s="1"/>
  <c r="M689" i="1" s="1"/>
  <c r="D365" i="1"/>
  <c r="O685" i="1" l="1"/>
  <c r="N687" i="1"/>
  <c r="N688" i="1" s="1"/>
  <c r="N689" i="1" s="1"/>
  <c r="D372" i="1"/>
  <c r="E305" i="1"/>
  <c r="F305" i="1" s="1"/>
  <c r="G305" i="1" s="1"/>
  <c r="P685" i="1" l="1"/>
  <c r="O687" i="1"/>
  <c r="O688" i="1" s="1"/>
  <c r="O689" i="1" s="1"/>
  <c r="D302" i="1"/>
  <c r="E302" i="1" s="1"/>
  <c r="G302" i="1" s="1"/>
  <c r="I302" i="1" s="1"/>
  <c r="K302" i="1" s="1"/>
  <c r="J311" i="1"/>
  <c r="M311" i="1"/>
  <c r="L311" i="1"/>
  <c r="H305" i="1"/>
  <c r="I305" i="1" s="1"/>
  <c r="J305" i="1" s="1"/>
  <c r="K305" i="1" s="1"/>
  <c r="H300" i="1"/>
  <c r="I300" i="1" s="1"/>
  <c r="J300" i="1" s="1"/>
  <c r="K300" i="1" s="1"/>
  <c r="K295" i="1"/>
  <c r="J295" i="1"/>
  <c r="I295" i="1"/>
  <c r="D293" i="1"/>
  <c r="D442" i="1" s="1"/>
  <c r="Q685" i="1" l="1"/>
  <c r="P687" i="1"/>
  <c r="P688" i="1" s="1"/>
  <c r="P689" i="1" s="1"/>
  <c r="F302" i="1"/>
  <c r="H302" i="1" s="1"/>
  <c r="J302" i="1" s="1"/>
  <c r="Q687" i="1" l="1"/>
  <c r="Q688" i="1" s="1"/>
  <c r="Q689" i="1" s="1"/>
  <c r="R685" i="1"/>
  <c r="T11" i="6"/>
  <c r="U18" i="6" s="1"/>
  <c r="T10" i="6"/>
  <c r="T8" i="6"/>
  <c r="T16" i="6"/>
  <c r="E293" i="1"/>
  <c r="F293" i="1" s="1"/>
  <c r="G293" i="1" s="1"/>
  <c r="H293" i="1" s="1"/>
  <c r="I293" i="1" s="1"/>
  <c r="J293" i="1" s="1"/>
  <c r="K293" i="1" s="1"/>
  <c r="D294" i="1"/>
  <c r="D297" i="1"/>
  <c r="E297" i="1" s="1"/>
  <c r="F297" i="1" s="1"/>
  <c r="G297" i="1" s="1"/>
  <c r="H297" i="1" s="1"/>
  <c r="D298" i="1"/>
  <c r="E298" i="1" s="1"/>
  <c r="F298" i="1" s="1"/>
  <c r="G298" i="1" s="1"/>
  <c r="H298" i="1" s="1"/>
  <c r="I298" i="1" s="1"/>
  <c r="D229" i="1"/>
  <c r="D239" i="1"/>
  <c r="S685" i="1" l="1"/>
  <c r="R687" i="1"/>
  <c r="R688" i="1" s="1"/>
  <c r="R689" i="1" s="1"/>
  <c r="J298" i="1"/>
  <c r="H303" i="1"/>
  <c r="I297" i="1"/>
  <c r="J297" i="1" s="1"/>
  <c r="K297" i="1" s="1"/>
  <c r="T18" i="6"/>
  <c r="E294" i="1"/>
  <c r="D255" i="1"/>
  <c r="K263" i="1"/>
  <c r="N263" i="1"/>
  <c r="M260" i="1"/>
  <c r="D254" i="1"/>
  <c r="N258" i="1"/>
  <c r="N259" i="1"/>
  <c r="N260" i="1"/>
  <c r="N261" i="1"/>
  <c r="N262" i="1"/>
  <c r="N257" i="1"/>
  <c r="M259" i="1"/>
  <c r="K259" i="1"/>
  <c r="K258" i="1"/>
  <c r="M258" i="1"/>
  <c r="K260" i="1"/>
  <c r="K261" i="1"/>
  <c r="K262" i="1"/>
  <c r="M257" i="1"/>
  <c r="K257" i="1"/>
  <c r="D753" i="1"/>
  <c r="D752" i="1"/>
  <c r="D747" i="1"/>
  <c r="D746" i="1"/>
  <c r="D741" i="1"/>
  <c r="D6" i="1"/>
  <c r="E892" i="1" s="1"/>
  <c r="E897" i="1" s="1"/>
  <c r="D5" i="1"/>
  <c r="D745" i="1"/>
  <c r="D742" i="1"/>
  <c r="D103" i="1" l="1"/>
  <c r="D112" i="1" s="1"/>
  <c r="D378" i="1"/>
  <c r="T685" i="1"/>
  <c r="S687" i="1"/>
  <c r="S688" i="1" s="1"/>
  <c r="S689" i="1" s="1"/>
  <c r="D781" i="1"/>
  <c r="D785" i="1" s="1"/>
  <c r="E891" i="1"/>
  <c r="D792" i="1"/>
  <c r="D784" i="1"/>
  <c r="D788" i="1"/>
  <c r="D787" i="1"/>
  <c r="D791" i="1"/>
  <c r="D754" i="1"/>
  <c r="D760" i="1" s="1"/>
  <c r="D764" i="1"/>
  <c r="D763" i="1"/>
  <c r="D762" i="1" s="1"/>
  <c r="H294" i="1"/>
  <c r="I303" i="1"/>
  <c r="K298" i="1"/>
  <c r="K303" i="1" s="1"/>
  <c r="J303" i="1"/>
  <c r="D719" i="1"/>
  <c r="D720" i="1" s="1"/>
  <c r="F294" i="1"/>
  <c r="D303" i="1"/>
  <c r="D756" i="1"/>
  <c r="D759" i="1" s="1"/>
  <c r="D755" i="1"/>
  <c r="D761" i="1" s="1"/>
  <c r="D748" i="1"/>
  <c r="D749" i="1"/>
  <c r="D123" i="1" l="1"/>
  <c r="D113" i="1"/>
  <c r="D118" i="1" s="1"/>
  <c r="U685" i="1"/>
  <c r="T687" i="1"/>
  <c r="T688" i="1" s="1"/>
  <c r="T689" i="1" s="1"/>
  <c r="D114" i="1"/>
  <c r="L914" i="1"/>
  <c r="M914" i="1" s="1"/>
  <c r="K911" i="1"/>
  <c r="L911" i="1"/>
  <c r="M911" i="1" s="1"/>
  <c r="E896" i="1"/>
  <c r="L910" i="1"/>
  <c r="M910" i="1" s="1"/>
  <c r="K908" i="1"/>
  <c r="L909" i="1"/>
  <c r="M909" i="1" s="1"/>
  <c r="K907" i="1"/>
  <c r="K906" i="1"/>
  <c r="L907" i="1"/>
  <c r="M907" i="1" s="1"/>
  <c r="K905" i="1"/>
  <c r="K902" i="1"/>
  <c r="L902" i="1"/>
  <c r="M902" i="1" s="1"/>
  <c r="L901" i="1"/>
  <c r="M901" i="1" s="1"/>
  <c r="L900" i="1"/>
  <c r="M900" i="1" s="1"/>
  <c r="K914" i="1"/>
  <c r="K912" i="1"/>
  <c r="L912" i="1"/>
  <c r="M912" i="1" s="1"/>
  <c r="K910" i="1"/>
  <c r="K909" i="1"/>
  <c r="L908" i="1"/>
  <c r="M908" i="1" s="1"/>
  <c r="L906" i="1"/>
  <c r="M906" i="1" s="1"/>
  <c r="K904" i="1"/>
  <c r="L905" i="1"/>
  <c r="M905" i="1" s="1"/>
  <c r="K903" i="1"/>
  <c r="L904" i="1"/>
  <c r="M904" i="1" s="1"/>
  <c r="L903" i="1"/>
  <c r="M903" i="1" s="1"/>
  <c r="K900" i="1"/>
  <c r="K901" i="1"/>
  <c r="I294" i="1"/>
  <c r="G294" i="1"/>
  <c r="D757" i="1"/>
  <c r="D707" i="1"/>
  <c r="D709" i="1"/>
  <c r="D708" i="1"/>
  <c r="D734" i="1"/>
  <c r="D421" i="1" l="1"/>
  <c r="D463" i="1"/>
  <c r="D119" i="1"/>
  <c r="D120" i="1" s="1"/>
  <c r="D199" i="1"/>
  <c r="D203" i="1" s="1"/>
  <c r="D115" i="1"/>
  <c r="D116" i="1" s="1"/>
  <c r="D201" i="1"/>
  <c r="V685" i="1"/>
  <c r="U687" i="1"/>
  <c r="U688" i="1" s="1"/>
  <c r="U689" i="1" s="1"/>
  <c r="D653" i="1"/>
  <c r="D766" i="1"/>
  <c r="D770" i="1" s="1"/>
  <c r="D778" i="1" s="1"/>
  <c r="D779" i="1" s="1"/>
  <c r="D765" i="1"/>
  <c r="J294" i="1"/>
  <c r="D710" i="1"/>
  <c r="D733" i="1"/>
  <c r="D737" i="1" s="1"/>
  <c r="D735" i="1"/>
  <c r="D728" i="1"/>
  <c r="D727" i="1"/>
  <c r="D725" i="1"/>
  <c r="D703" i="1" s="1"/>
  <c r="D723" i="1"/>
  <c r="D721" i="1"/>
  <c r="D697" i="1"/>
  <c r="D614" i="1"/>
  <c r="D613" i="1"/>
  <c r="D615" i="1"/>
  <c r="D612" i="1"/>
  <c r="D633" i="1"/>
  <c r="D634" i="1"/>
  <c r="D586" i="1"/>
  <c r="D623" i="1"/>
  <c r="D602" i="1"/>
  <c r="D585" i="1"/>
  <c r="D454" i="1"/>
  <c r="D449" i="1"/>
  <c r="D439" i="1"/>
  <c r="D437" i="1"/>
  <c r="D434" i="1"/>
  <c r="D435" i="1" s="1"/>
  <c r="D270" i="1"/>
  <c r="D441" i="1" l="1"/>
  <c r="D431" i="1"/>
  <c r="W685" i="1"/>
  <c r="V687" i="1"/>
  <c r="V688" i="1" s="1"/>
  <c r="V689" i="1" s="1"/>
  <c r="D659" i="1"/>
  <c r="D677" i="1" s="1"/>
  <c r="D654" i="1"/>
  <c r="D661" i="1" s="1"/>
  <c r="D672" i="1" s="1"/>
  <c r="D674" i="1"/>
  <c r="D671" i="1"/>
  <c r="D662" i="1"/>
  <c r="D670" i="1" s="1"/>
  <c r="D617" i="1"/>
  <c r="K294" i="1"/>
  <c r="D616" i="1"/>
  <c r="D637" i="1"/>
  <c r="D722" i="1"/>
  <c r="D736" i="1"/>
  <c r="D738" i="1"/>
  <c r="D729" i="1"/>
  <c r="D730" i="1" s="1"/>
  <c r="D731" i="1" s="1"/>
  <c r="D732" i="1" s="1"/>
  <c r="D630" i="1"/>
  <c r="D631" i="1" s="1"/>
  <c r="D610" i="1"/>
  <c r="D436" i="1"/>
  <c r="D440" i="1"/>
  <c r="D377" i="1"/>
  <c r="D380" i="1" s="1"/>
  <c r="D381" i="1" s="1"/>
  <c r="D385" i="1" s="1"/>
  <c r="D353" i="1"/>
  <c r="D356" i="1"/>
  <c r="D358" i="1" s="1"/>
  <c r="D359" i="1" s="1"/>
  <c r="D351" i="1"/>
  <c r="D349" i="1"/>
  <c r="D348" i="1"/>
  <c r="D343" i="1"/>
  <c r="D282" i="1"/>
  <c r="D283" i="1" s="1"/>
  <c r="D281" i="1"/>
  <c r="D276" i="1"/>
  <c r="D277" i="1" s="1"/>
  <c r="D279" i="1" s="1"/>
  <c r="D274" i="1"/>
  <c r="D231" i="1"/>
  <c r="D177" i="1"/>
  <c r="D190" i="1" s="1"/>
  <c r="D387" i="1" l="1"/>
  <c r="D386" i="1"/>
  <c r="X685" i="1"/>
  <c r="W687" i="1"/>
  <c r="W688" i="1" s="1"/>
  <c r="W689" i="1" s="1"/>
  <c r="D340" i="1"/>
  <c r="D339" i="1"/>
  <c r="D352" i="1"/>
  <c r="D640" i="1"/>
  <c r="D638" i="1"/>
  <c r="D639" i="1" s="1"/>
  <c r="D618" i="1"/>
  <c r="D619" i="1" s="1"/>
  <c r="D632" i="1"/>
  <c r="D627" i="1"/>
  <c r="D626" i="1"/>
  <c r="D628" i="1" s="1"/>
  <c r="D620" i="1"/>
  <c r="D622" i="1" s="1"/>
  <c r="D344" i="1"/>
  <c r="D345" i="1" s="1"/>
  <c r="D284" i="1"/>
  <c r="D341" i="1"/>
  <c r="D278" i="1"/>
  <c r="D280" i="1" s="1"/>
  <c r="D202" i="1"/>
  <c r="D207" i="1"/>
  <c r="D204" i="1"/>
  <c r="D186" i="1"/>
  <c r="D178" i="1"/>
  <c r="D179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88" i="1" l="1"/>
  <c r="D398" i="1"/>
  <c r="D395" i="1"/>
  <c r="D397" i="1"/>
  <c r="D394" i="1"/>
  <c r="Y685" i="1"/>
  <c r="X687" i="1"/>
  <c r="X688" i="1" s="1"/>
  <c r="X689" i="1" s="1"/>
  <c r="D667" i="1"/>
  <c r="D342" i="1"/>
  <c r="D645" i="1"/>
  <c r="D641" i="1"/>
  <c r="D346" i="1"/>
  <c r="D209" i="1"/>
  <c r="D174" i="1"/>
  <c r="D175" i="1" s="1"/>
  <c r="D181" i="1" s="1"/>
  <c r="D208" i="1"/>
  <c r="C26" i="5"/>
  <c r="D396" i="1" l="1"/>
  <c r="D399" i="1"/>
  <c r="D400" i="1" s="1"/>
  <c r="Z685" i="1"/>
  <c r="Y687" i="1"/>
  <c r="Y688" i="1" s="1"/>
  <c r="Y689" i="1" s="1"/>
  <c r="D642" i="1"/>
  <c r="D210" i="1"/>
  <c r="D215" i="1" s="1"/>
  <c r="D218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1" i="1" l="1"/>
  <c r="D411" i="1"/>
  <c r="AA685" i="1"/>
  <c r="Z687" i="1"/>
  <c r="Z688" i="1" s="1"/>
  <c r="Z689" i="1" s="1"/>
  <c r="D75" i="1"/>
  <c r="D76" i="1" s="1"/>
  <c r="C8" i="2"/>
  <c r="C15" i="2" s="1"/>
  <c r="R64" i="1"/>
  <c r="R66" i="1" s="1"/>
  <c r="R65" i="1"/>
  <c r="R67" i="1" s="1"/>
  <c r="AB685" i="1" l="1"/>
  <c r="AA687" i="1"/>
  <c r="AA688" i="1" s="1"/>
  <c r="AA689" i="1" s="1"/>
  <c r="D77" i="1"/>
  <c r="D78" i="1" s="1"/>
  <c r="D79" i="1" s="1"/>
  <c r="D91" i="1" s="1"/>
  <c r="AC685" i="1" l="1"/>
  <c r="AB687" i="1"/>
  <c r="AB688" i="1" s="1"/>
  <c r="AB689" i="1" s="1"/>
  <c r="D88" i="1"/>
  <c r="D89" i="1"/>
  <c r="D90" i="1"/>
  <c r="AD685" i="1" l="1"/>
  <c r="AC687" i="1"/>
  <c r="AC688" i="1" s="1"/>
  <c r="AC689" i="1" s="1"/>
  <c r="D23" i="1"/>
  <c r="D13" i="1"/>
  <c r="AE685" i="1" l="1"/>
  <c r="AD687" i="1"/>
  <c r="AD688" i="1" s="1"/>
  <c r="AD689" i="1" s="1"/>
  <c r="D32" i="1"/>
  <c r="D35" i="1" s="1"/>
  <c r="D38" i="1" s="1"/>
  <c r="D39" i="1" s="1"/>
  <c r="D139" i="1" s="1"/>
  <c r="D102" i="1"/>
  <c r="D234" i="1"/>
  <c r="D696" i="1"/>
  <c r="D232" i="1"/>
  <c r="D295" i="1" s="1"/>
  <c r="H295" i="1" s="1"/>
  <c r="D133" i="1" l="1"/>
  <c r="D121" i="1"/>
  <c r="D124" i="1" s="1"/>
  <c r="D459" i="1"/>
  <c r="D417" i="1"/>
  <c r="D450" i="1" s="1"/>
  <c r="AF685" i="1"/>
  <c r="AE687" i="1"/>
  <c r="AE688" i="1" s="1"/>
  <c r="AE689" i="1" s="1"/>
  <c r="D37" i="1"/>
  <c r="D40" i="1" s="1"/>
  <c r="D41" i="1" s="1"/>
  <c r="D46" i="1" s="1"/>
  <c r="D587" i="1"/>
  <c r="D643" i="1" s="1"/>
  <c r="D646" i="1" s="1"/>
  <c r="D649" i="1" s="1"/>
  <c r="D292" i="1"/>
  <c r="D309" i="1" s="1"/>
  <c r="D132" i="1"/>
  <c r="D264" i="1"/>
  <c r="D212" i="1"/>
  <c r="D698" i="1"/>
  <c r="D712" i="1" s="1"/>
  <c r="D711" i="1"/>
  <c r="D714" i="1" s="1"/>
  <c r="D715" i="1" s="1"/>
  <c r="D257" i="1"/>
  <c r="D259" i="1" s="1"/>
  <c r="D260" i="1" s="1"/>
  <c r="D42" i="1"/>
  <c r="D127" i="1" l="1"/>
  <c r="D128" i="1"/>
  <c r="D125" i="1"/>
  <c r="D126" i="1"/>
  <c r="D136" i="1"/>
  <c r="D168" i="1" s="1"/>
  <c r="D117" i="1"/>
  <c r="D167" i="1" s="1"/>
  <c r="D134" i="1"/>
  <c r="D135" i="1" s="1"/>
  <c r="D230" i="1"/>
  <c r="D296" i="1" s="1"/>
  <c r="E296" i="1" s="1"/>
  <c r="F296" i="1" s="1"/>
  <c r="G296" i="1" s="1"/>
  <c r="H296" i="1" s="1"/>
  <c r="I296" i="1" s="1"/>
  <c r="J296" i="1" s="1"/>
  <c r="K296" i="1" s="1"/>
  <c r="D424" i="1"/>
  <c r="D647" i="1"/>
  <c r="D650" i="1" s="1"/>
  <c r="D538" i="1"/>
  <c r="D539" i="1" s="1"/>
  <c r="D466" i="1"/>
  <c r="D468" i="1" s="1"/>
  <c r="D465" i="1"/>
  <c r="D546" i="1"/>
  <c r="D43" i="1"/>
  <c r="AG685" i="1"/>
  <c r="AF687" i="1"/>
  <c r="AF688" i="1" s="1"/>
  <c r="AF689" i="1" s="1"/>
  <c r="D591" i="1"/>
  <c r="D592" i="1"/>
  <c r="D589" i="1"/>
  <c r="D644" i="1" s="1"/>
  <c r="D648" i="1" s="1"/>
  <c r="D651" i="1" s="1"/>
  <c r="D594" i="1"/>
  <c r="D205" i="1"/>
  <c r="D180" i="1"/>
  <c r="D182" i="1" s="1"/>
  <c r="D183" i="1" s="1"/>
  <c r="D184" i="1" s="1"/>
  <c r="D185" i="1" s="1"/>
  <c r="D192" i="1" s="1"/>
  <c r="D193" i="1" s="1"/>
  <c r="D213" i="1"/>
  <c r="D624" i="1"/>
  <c r="D625" i="1" s="1"/>
  <c r="D214" i="1"/>
  <c r="D453" i="1"/>
  <c r="D443" i="1"/>
  <c r="D444" i="1" s="1"/>
  <c r="D423" i="1"/>
  <c r="D700" i="1"/>
  <c r="D702" i="1" s="1"/>
  <c r="D717" i="1" s="1"/>
  <c r="E292" i="1"/>
  <c r="F292" i="1" s="1"/>
  <c r="G292" i="1" s="1"/>
  <c r="H292" i="1" s="1"/>
  <c r="I292" i="1" s="1"/>
  <c r="J292" i="1" s="1"/>
  <c r="K292" i="1" s="1"/>
  <c r="D713" i="1"/>
  <c r="G10" i="1"/>
  <c r="D21" i="1"/>
  <c r="D26" i="1"/>
  <c r="D236" i="1" l="1"/>
  <c r="D238" i="1" s="1"/>
  <c r="D129" i="1"/>
  <c r="D130" i="1" s="1"/>
  <c r="D226" i="1"/>
  <c r="D227" i="1" s="1"/>
  <c r="D291" i="1" s="1"/>
  <c r="D224" i="1"/>
  <c r="D216" i="1"/>
  <c r="D217" i="1"/>
  <c r="E859" i="1" s="1"/>
  <c r="D549" i="1"/>
  <c r="D548" i="1"/>
  <c r="D540" i="1"/>
  <c r="D541" i="1" s="1"/>
  <c r="AH685" i="1"/>
  <c r="AG687" i="1"/>
  <c r="AG688" i="1" s="1"/>
  <c r="AG689" i="1" s="1"/>
  <c r="D445" i="1"/>
  <c r="D568" i="1" s="1"/>
  <c r="D576" i="1" s="1"/>
  <c r="D578" i="1" s="1"/>
  <c r="D580" i="1" s="1"/>
  <c r="D170" i="1"/>
  <c r="D593" i="1"/>
  <c r="D595" i="1"/>
  <c r="D604" i="1" s="1"/>
  <c r="D621" i="1" s="1"/>
  <c r="D452" i="1"/>
  <c r="D187" i="1"/>
  <c r="D189" i="1" s="1"/>
  <c r="D15" i="1"/>
  <c r="D74" i="1"/>
  <c r="D44" i="1" s="1"/>
  <c r="D95" i="1"/>
  <c r="D94" i="1"/>
  <c r="D93" i="1"/>
  <c r="D92" i="1"/>
  <c r="D66" i="1"/>
  <c r="D67" i="1" s="1"/>
  <c r="E857" i="1" s="1"/>
  <c r="D27" i="1"/>
  <c r="E858" i="1" s="1"/>
  <c r="D63" i="1"/>
  <c r="D64" i="1" s="1"/>
  <c r="D235" i="1" l="1"/>
  <c r="D240" i="1" s="1"/>
  <c r="D267" i="1" s="1"/>
  <c r="D290" i="1"/>
  <c r="D308" i="1" s="1"/>
  <c r="D314" i="1" s="1"/>
  <c r="D418" i="1" s="1"/>
  <c r="D425" i="1" s="1"/>
  <c r="D219" i="1"/>
  <c r="AI685" i="1"/>
  <c r="AH687" i="1"/>
  <c r="AH688" i="1" s="1"/>
  <c r="AH689" i="1" s="1"/>
  <c r="D220" i="1"/>
  <c r="D605" i="1"/>
  <c r="D608" i="1" s="1"/>
  <c r="E860" i="1"/>
  <c r="E867" i="1" s="1"/>
  <c r="E873" i="1" s="1"/>
  <c r="E874" i="1" s="1"/>
  <c r="E875" i="1" s="1"/>
  <c r="E876" i="1" s="1"/>
  <c r="E291" i="1"/>
  <c r="F291" i="1" s="1"/>
  <c r="G291" i="1" s="1"/>
  <c r="H291" i="1" s="1"/>
  <c r="D304" i="1"/>
  <c r="D306" i="1" s="1"/>
  <c r="D29" i="1"/>
  <c r="D68" i="1"/>
  <c r="D69" i="1" s="1"/>
  <c r="D97" i="1"/>
  <c r="D243" i="1" l="1"/>
  <c r="D244" i="1" s="1"/>
  <c r="D246" i="1" s="1"/>
  <c r="D265" i="1"/>
  <c r="D241" i="1"/>
  <c r="D242" i="1" s="1"/>
  <c r="D301" i="1"/>
  <c r="E290" i="1"/>
  <c r="F290" i="1" s="1"/>
  <c r="D310" i="1"/>
  <c r="D311" i="1" s="1"/>
  <c r="AJ685" i="1"/>
  <c r="AI687" i="1"/>
  <c r="AI688" i="1" s="1"/>
  <c r="AI689" i="1" s="1"/>
  <c r="D606" i="1"/>
  <c r="E878" i="1"/>
  <c r="E879" i="1" s="1"/>
  <c r="E880" i="1" s="1"/>
  <c r="E881" i="1" s="1"/>
  <c r="D322" i="1"/>
  <c r="D362" i="1"/>
  <c r="D328" i="1"/>
  <c r="D325" i="1"/>
  <c r="D326" i="1" s="1"/>
  <c r="D312" i="1"/>
  <c r="D313" i="1" s="1"/>
  <c r="D317" i="1" s="1"/>
  <c r="D316" i="1"/>
  <c r="D321" i="1" s="1"/>
  <c r="D315" i="1"/>
  <c r="D320" i="1" s="1"/>
  <c r="I291" i="1"/>
  <c r="D248" i="1" l="1"/>
  <c r="AK685" i="1"/>
  <c r="AJ687" i="1"/>
  <c r="AJ688" i="1" s="1"/>
  <c r="AJ689" i="1" s="1"/>
  <c r="D319" i="1"/>
  <c r="D318" i="1"/>
  <c r="D371" i="1"/>
  <c r="D373" i="1" s="1"/>
  <c r="D366" i="1"/>
  <c r="J291" i="1"/>
  <c r="E303" i="1"/>
  <c r="E304" i="1"/>
  <c r="G290" i="1"/>
  <c r="H290" i="1" s="1"/>
  <c r="D427" i="1"/>
  <c r="D247" i="1"/>
  <c r="D250" i="1"/>
  <c r="D256" i="1"/>
  <c r="E306" i="1" l="1"/>
  <c r="AL685" i="1"/>
  <c r="AK687" i="1"/>
  <c r="AK688" i="1" s="1"/>
  <c r="AK689" i="1" s="1"/>
  <c r="D368" i="1"/>
  <c r="D367" i="1"/>
  <c r="I290" i="1"/>
  <c r="H304" i="1"/>
  <c r="H306" i="1" s="1"/>
  <c r="K291" i="1"/>
  <c r="F303" i="1"/>
  <c r="F304" i="1"/>
  <c r="G303" i="1"/>
  <c r="G304" i="1"/>
  <c r="D261" i="1"/>
  <c r="D262" i="1" s="1"/>
  <c r="D263" i="1" s="1"/>
  <c r="D258" i="1"/>
  <c r="T17" i="6"/>
  <c r="D369" i="1" l="1"/>
  <c r="AM685" i="1"/>
  <c r="AL687" i="1"/>
  <c r="AL688" i="1" s="1"/>
  <c r="AL689" i="1" s="1"/>
  <c r="F306" i="1"/>
  <c r="J290" i="1"/>
  <c r="I304" i="1"/>
  <c r="I306" i="1" s="1"/>
  <c r="G306" i="1"/>
  <c r="T13" i="6"/>
  <c r="AN685" i="1" l="1"/>
  <c r="AM687" i="1"/>
  <c r="AM688" i="1" s="1"/>
  <c r="AM689" i="1" s="1"/>
  <c r="K290" i="1"/>
  <c r="K304" i="1" s="1"/>
  <c r="K306" i="1" s="1"/>
  <c r="J304" i="1"/>
  <c r="J306" i="1" s="1"/>
  <c r="T14" i="6"/>
  <c r="T15" i="6" s="1"/>
  <c r="AO685" i="1" l="1"/>
  <c r="AN687" i="1"/>
  <c r="AN688" i="1" s="1"/>
  <c r="AN689" i="1" s="1"/>
  <c r="AP685" i="1" l="1"/>
  <c r="AO687" i="1"/>
  <c r="AO688" i="1" s="1"/>
  <c r="AO689" i="1" s="1"/>
  <c r="AQ685" i="1" l="1"/>
  <c r="AP687" i="1"/>
  <c r="AP688" i="1" s="1"/>
  <c r="AP689" i="1" s="1"/>
  <c r="AR685" i="1" l="1"/>
  <c r="AQ687" i="1"/>
  <c r="AQ688" i="1" s="1"/>
  <c r="AQ689" i="1" s="1"/>
  <c r="AS685" i="1" l="1"/>
  <c r="AR687" i="1"/>
  <c r="AR688" i="1" s="1"/>
  <c r="AR689" i="1" s="1"/>
  <c r="AT685" i="1" l="1"/>
  <c r="AS687" i="1"/>
  <c r="AS688" i="1" s="1"/>
  <c r="AS689" i="1" s="1"/>
  <c r="AU685" i="1" l="1"/>
  <c r="AT687" i="1"/>
  <c r="AT688" i="1" s="1"/>
  <c r="AT689" i="1" s="1"/>
  <c r="AV685" i="1" l="1"/>
  <c r="AU687" i="1"/>
  <c r="AU688" i="1" s="1"/>
  <c r="AU689" i="1" s="1"/>
  <c r="AW685" i="1" l="1"/>
  <c r="AV687" i="1"/>
  <c r="AV688" i="1" s="1"/>
  <c r="AV689" i="1" s="1"/>
  <c r="AX685" i="1" l="1"/>
  <c r="AW687" i="1"/>
  <c r="AW688" i="1" s="1"/>
  <c r="AW689" i="1" s="1"/>
  <c r="AY685" i="1" l="1"/>
  <c r="AX687" i="1"/>
  <c r="AX688" i="1" s="1"/>
  <c r="AX689" i="1" s="1"/>
  <c r="AZ685" i="1" l="1"/>
  <c r="AY687" i="1"/>
  <c r="AY688" i="1" s="1"/>
  <c r="AY689" i="1" s="1"/>
  <c r="BA685" i="1" l="1"/>
  <c r="AZ687" i="1"/>
  <c r="AZ688" i="1" s="1"/>
  <c r="AZ689" i="1" s="1"/>
  <c r="BB685" i="1" l="1"/>
  <c r="BA687" i="1"/>
  <c r="BA688" i="1" s="1"/>
  <c r="BA689" i="1" s="1"/>
  <c r="BC685" i="1" l="1"/>
  <c r="BB687" i="1"/>
  <c r="BB688" i="1" s="1"/>
  <c r="BB689" i="1" s="1"/>
  <c r="BD685" i="1" l="1"/>
  <c r="BC687" i="1"/>
  <c r="BC688" i="1" s="1"/>
  <c r="BC689" i="1" s="1"/>
  <c r="BE685" i="1" l="1"/>
  <c r="BD687" i="1"/>
  <c r="BD688" i="1" s="1"/>
  <c r="BD689" i="1" s="1"/>
  <c r="BF685" i="1" l="1"/>
  <c r="BE687" i="1"/>
  <c r="BE688" i="1" s="1"/>
  <c r="BE689" i="1" s="1"/>
  <c r="BG685" i="1" l="1"/>
  <c r="BF687" i="1"/>
  <c r="BF688" i="1" s="1"/>
  <c r="BF689" i="1" s="1"/>
  <c r="BH685" i="1" l="1"/>
  <c r="BG687" i="1"/>
  <c r="BG688" i="1" s="1"/>
  <c r="BG689" i="1" s="1"/>
  <c r="BI685" i="1" l="1"/>
  <c r="BH687" i="1"/>
  <c r="BH688" i="1" s="1"/>
  <c r="BH689" i="1" s="1"/>
  <c r="BJ685" i="1" l="1"/>
  <c r="BI687" i="1"/>
  <c r="BI688" i="1" s="1"/>
  <c r="BI689" i="1" s="1"/>
  <c r="BK685" i="1" l="1"/>
  <c r="BJ687" i="1"/>
  <c r="BJ688" i="1" s="1"/>
  <c r="BJ689" i="1" s="1"/>
  <c r="BL685" i="1" l="1"/>
  <c r="BK687" i="1"/>
  <c r="BK688" i="1" s="1"/>
  <c r="BK689" i="1" s="1"/>
  <c r="BM685" i="1" l="1"/>
  <c r="BL687" i="1"/>
  <c r="BL688" i="1" s="1"/>
  <c r="BL689" i="1" s="1"/>
  <c r="BN685" i="1" l="1"/>
  <c r="BM687" i="1"/>
  <c r="BM688" i="1" s="1"/>
  <c r="BM689" i="1" s="1"/>
  <c r="BO685" i="1" l="1"/>
  <c r="BN687" i="1"/>
  <c r="BN688" i="1" s="1"/>
  <c r="BN689" i="1" s="1"/>
  <c r="BP685" i="1" l="1"/>
  <c r="BO687" i="1"/>
  <c r="BO688" i="1" s="1"/>
  <c r="BO689" i="1" s="1"/>
  <c r="BQ685" i="1" l="1"/>
  <c r="BP687" i="1"/>
  <c r="BP688" i="1" s="1"/>
  <c r="BP689" i="1" s="1"/>
  <c r="BR685" i="1" l="1"/>
  <c r="BQ687" i="1"/>
  <c r="BQ688" i="1" s="1"/>
  <c r="BQ689" i="1" s="1"/>
  <c r="BS685" i="1" l="1"/>
  <c r="BR687" i="1"/>
  <c r="BR688" i="1" s="1"/>
  <c r="BR689" i="1" s="1"/>
  <c r="BT685" i="1" l="1"/>
  <c r="BS687" i="1"/>
  <c r="BS688" i="1" s="1"/>
  <c r="BS689" i="1" s="1"/>
  <c r="BU685" i="1" l="1"/>
  <c r="BT687" i="1"/>
  <c r="BT688" i="1" s="1"/>
  <c r="BT689" i="1" s="1"/>
  <c r="BV685" i="1" l="1"/>
  <c r="BU687" i="1"/>
  <c r="BU688" i="1" s="1"/>
  <c r="BU689" i="1" s="1"/>
  <c r="BW685" i="1" l="1"/>
  <c r="BV687" i="1"/>
  <c r="BV688" i="1" s="1"/>
  <c r="BV689" i="1" s="1"/>
  <c r="BX685" i="1" l="1"/>
  <c r="BW687" i="1"/>
  <c r="BW688" i="1" s="1"/>
  <c r="BW689" i="1" s="1"/>
  <c r="BY685" i="1" l="1"/>
  <c r="BX687" i="1"/>
  <c r="BX688" i="1" s="1"/>
  <c r="BX689" i="1" s="1"/>
  <c r="BZ685" i="1" l="1"/>
  <c r="BY687" i="1"/>
  <c r="BY688" i="1" s="1"/>
  <c r="BY689" i="1" s="1"/>
  <c r="CA685" i="1" l="1"/>
  <c r="BZ687" i="1"/>
  <c r="BZ688" i="1" s="1"/>
  <c r="BZ689" i="1" s="1"/>
  <c r="CB685" i="1" l="1"/>
  <c r="CA687" i="1"/>
  <c r="CA688" i="1" s="1"/>
  <c r="CA689" i="1" s="1"/>
  <c r="CC685" i="1" l="1"/>
  <c r="CB687" i="1"/>
  <c r="CB688" i="1" s="1"/>
  <c r="CB689" i="1" s="1"/>
  <c r="CD685" i="1" l="1"/>
  <c r="CC687" i="1"/>
  <c r="CC688" i="1" s="1"/>
  <c r="CC689" i="1" s="1"/>
  <c r="CE685" i="1" l="1"/>
  <c r="CD687" i="1"/>
  <c r="CD688" i="1" s="1"/>
  <c r="CD689" i="1" s="1"/>
  <c r="CF685" i="1" l="1"/>
  <c r="CE687" i="1"/>
  <c r="CE688" i="1" s="1"/>
  <c r="CE689" i="1" s="1"/>
  <c r="CG685" i="1" l="1"/>
  <c r="CF687" i="1"/>
  <c r="CF688" i="1" s="1"/>
  <c r="CF689" i="1" s="1"/>
  <c r="CH685" i="1" l="1"/>
  <c r="CG687" i="1"/>
  <c r="CG688" i="1" s="1"/>
  <c r="CG689" i="1" s="1"/>
  <c r="CI685" i="1" l="1"/>
  <c r="CH687" i="1"/>
  <c r="CH688" i="1" s="1"/>
  <c r="CH689" i="1" s="1"/>
  <c r="CJ685" i="1" l="1"/>
  <c r="CI687" i="1"/>
  <c r="CI688" i="1" s="1"/>
  <c r="CI689" i="1" s="1"/>
  <c r="CK685" i="1" l="1"/>
  <c r="CJ687" i="1"/>
  <c r="CJ688" i="1" s="1"/>
  <c r="CJ689" i="1" s="1"/>
  <c r="CL685" i="1" l="1"/>
  <c r="CK687" i="1"/>
  <c r="CK688" i="1" s="1"/>
  <c r="CK689" i="1" s="1"/>
  <c r="CM685" i="1" l="1"/>
  <c r="CL687" i="1"/>
  <c r="CL688" i="1" s="1"/>
  <c r="CL689" i="1" s="1"/>
  <c r="CN685" i="1" l="1"/>
  <c r="CM687" i="1"/>
  <c r="CM688" i="1" s="1"/>
  <c r="CM689" i="1" s="1"/>
  <c r="CO685" i="1" l="1"/>
  <c r="CN687" i="1"/>
  <c r="CN688" i="1" s="1"/>
  <c r="CN689" i="1" s="1"/>
  <c r="CP685" i="1" l="1"/>
  <c r="CO687" i="1"/>
  <c r="CO688" i="1" s="1"/>
  <c r="CO689" i="1" s="1"/>
  <c r="CQ685" i="1" l="1"/>
  <c r="CP687" i="1"/>
  <c r="CP688" i="1" s="1"/>
  <c r="CP689" i="1" s="1"/>
  <c r="CR685" i="1" l="1"/>
  <c r="CQ687" i="1"/>
  <c r="CQ688" i="1" s="1"/>
  <c r="CQ689" i="1" s="1"/>
  <c r="CS685" i="1" l="1"/>
  <c r="CR687" i="1"/>
  <c r="CR688" i="1" s="1"/>
  <c r="CR689" i="1" s="1"/>
  <c r="CT685" i="1" l="1"/>
  <c r="CS687" i="1"/>
  <c r="CS688" i="1" s="1"/>
  <c r="CS689" i="1" s="1"/>
  <c r="CU685" i="1" l="1"/>
  <c r="CT687" i="1"/>
  <c r="CT688" i="1" s="1"/>
  <c r="CT689" i="1" s="1"/>
  <c r="CV685" i="1" l="1"/>
  <c r="CU687" i="1"/>
  <c r="CU688" i="1" s="1"/>
  <c r="CU689" i="1" s="1"/>
  <c r="CW685" i="1" l="1"/>
  <c r="CV687" i="1"/>
  <c r="CV688" i="1" s="1"/>
  <c r="CV689" i="1" s="1"/>
  <c r="CX685" i="1" l="1"/>
  <c r="CX687" i="1" s="1"/>
  <c r="CX688" i="1" s="1"/>
  <c r="CX689" i="1" s="1"/>
  <c r="CW687" i="1"/>
  <c r="CW688" i="1" s="1"/>
  <c r="CW689" i="1" s="1"/>
  <c r="C690" i="1" l="1"/>
  <c r="D692" i="1" s="1"/>
  <c r="D532" i="1"/>
  <c r="D536" i="1" s="1"/>
</calcChain>
</file>

<file path=xl/sharedStrings.xml><?xml version="1.0" encoding="utf-8"?>
<sst xmlns="http://schemas.openxmlformats.org/spreadsheetml/2006/main" count="1789" uniqueCount="1147">
  <si>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</si>
  <si>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</si>
  <si>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</si>
  <si>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</si>
  <si>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</si>
  <si>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</si>
  <si>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</si>
  <si>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</si>
  <si>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</si>
  <si>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</si>
  <si>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</si>
  <si>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</si>
  <si>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</si>
  <si>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</si>
  <si>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</si>
  <si>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</si>
  <si>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</si>
  <si>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</si>
  <si>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</si>
  <si>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</si>
  <si>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</si>
  <si>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</si>
  <si>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</si>
  <si>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</si>
  <si>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</si>
  <si>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</si>
  <si>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</si>
  <si>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</si>
  <si>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</si>
  <si>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</si>
  <si>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</si>
  <si>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</si>
  <si>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</si>
  <si>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</si>
  <si>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</si>
  <si>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</si>
  <si>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</si>
  <si>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</si>
  <si>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</si>
  <si>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</si>
  <si>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</si>
  <si>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</si>
  <si>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</si>
  <si>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</si>
  <si>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</si>
  <si>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</si>
  <si>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</si>
  <si>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</si>
  <si>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</si>
  <si>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</si>
  <si>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</si>
  <si>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</si>
  <si>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</si>
  <si>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</si>
  <si>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</si>
  <si>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</si>
  <si>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</si>
  <si>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</si>
  <si>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</si>
  <si>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</si>
  <si>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</si>
  <si>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</si>
  <si>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</si>
  <si>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</si>
  <si>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</si>
  <si>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</si>
  <si>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</si>
  <si>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</si>
  <si>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</si>
  <si>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</si>
  <si>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</si>
  <si>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</si>
  <si>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</si>
  <si>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</si>
  <si>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</si>
  <si>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</si>
  <si>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</si>
  <si>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</si>
  <si>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</si>
  <si>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</si>
  <si>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</si>
  <si>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</si>
  <si>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</si>
  <si>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</si>
  <si>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</si>
  <si>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</si>
  <si>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</si>
  <si>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</si>
  <si>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</si>
  <si>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</si>
  <si>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</si>
  <si>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</si>
  <si>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</si>
  <si>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</si>
  <si>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</si>
  <si>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</si>
  <si>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</si>
  <si>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</si>
  <si>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</si>
  <si>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</si>
  <si>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</si>
  <si>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</si>
  <si>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</si>
  <si>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</si>
  <si>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</si>
  <si>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</si>
  <si>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</si>
  <si>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</si>
  <si>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</si>
  <si>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</si>
  <si>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</si>
  <si>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</si>
  <si>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</si>
  <si>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</si>
  <si>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</si>
  <si>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</si>
  <si>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</si>
  <si>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</si>
  <si>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</si>
  <si>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</si>
  <si>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</si>
  <si>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</si>
  <si>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</si>
  <si>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</si>
  <si>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</si>
  <si>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</si>
  <si>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</si>
  <si>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</si>
  <si>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</si>
  <si>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</si>
  <si>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</si>
  <si>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</si>
  <si>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</si>
  <si>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</si>
  <si>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</si>
  <si>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</si>
  <si>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</si>
  <si>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</si>
  <si>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</si>
  <si>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</si>
  <si>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</si>
  <si>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</si>
  <si>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</si>
  <si>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</si>
  <si>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</si>
  <si>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</si>
  <si>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</si>
  <si>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</si>
  <si>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</si>
  <si>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</si>
  <si>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</si>
  <si>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</si>
  <si>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</si>
  <si>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</si>
  <si>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</si>
  <si>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</si>
  <si>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</si>
  <si>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</si>
  <si>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</si>
  <si>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</si>
  <si>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</si>
  <si>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</si>
  <si>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</si>
  <si>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</si>
  <si>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</si>
  <si>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</si>
  <si>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</si>
  <si>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</si>
  <si>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</si>
  <si>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</si>
  <si>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</si>
  <si>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</si>
  <si>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</si>
  <si>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</si>
  <si>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</si>
  <si>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</si>
  <si>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</si>
  <si>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</si>
  <si>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</si>
  <si>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</si>
  <si>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</si>
  <si>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</si>
  <si>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</si>
  <si>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</si>
  <si>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</si>
  <si>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</si>
  <si>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</si>
  <si>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</si>
  <si>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</si>
  <si>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</si>
  <si>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</si>
  <si>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</si>
  <si>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</si>
  <si>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</si>
  <si>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</si>
  <si>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</si>
  <si>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</si>
  <si>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</si>
  <si>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</si>
  <si>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</si>
  <si>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</si>
  <si>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</si>
  <si>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</si>
  <si>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</si>
  <si>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</si>
  <si>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</si>
  <si>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</si>
  <si>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</si>
  <si>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</si>
  <si>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</si>
  <si>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</si>
  <si>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</si>
  <si>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</si>
  <si>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</si>
  <si>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</si>
  <si>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</si>
  <si>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</si>
  <si>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</si>
  <si>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</si>
  <si>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</si>
  <si>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</si>
  <si>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</si>
  <si>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</si>
  <si>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</si>
  <si>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</si>
  <si>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</si>
  <si>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</si>
  <si>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</si>
  <si>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</si>
  <si>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</si>
  <si>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</si>
  <si>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</si>
  <si>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</si>
  <si>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</si>
  <si>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</si>
  <si>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</si>
  <si>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</si>
  <si>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</si>
  <si>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</si>
  <si>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</si>
  <si>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</si>
  <si>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</si>
  <si>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</si>
  <si>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</si>
  <si>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</si>
  <si>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</si>
  <si>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</si>
  <si>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</si>
  <si>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</si>
  <si>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</si>
  <si>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</si>
  <si>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</si>
  <si>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</si>
  <si>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</si>
  <si>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</si>
  <si>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</si>
  <si>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</si>
  <si>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</si>
  <si>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</si>
  <si>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</si>
  <si>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</si>
  <si>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</si>
  <si>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</si>
  <si>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</si>
  <si>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</si>
  <si>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</si>
  <si>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</si>
  <si>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</si>
  <si>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</si>
  <si>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</si>
  <si>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</si>
  <si>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</si>
  <si>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</si>
  <si>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</si>
  <si>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</si>
  <si>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</si>
  <si>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</si>
  <si>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</si>
  <si>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</si>
  <si>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</si>
  <si>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</si>
  <si>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</si>
  <si>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</si>
  <si>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</si>
  <si>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</si>
  <si>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</si>
  <si>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</si>
  <si>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</si>
  <si>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</si>
  <si>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</si>
  <si>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</si>
  <si>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</si>
  <si>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</si>
  <si>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</si>
  <si>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</si>
  <si>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</si>
  <si>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</si>
  <si>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</si>
  <si>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</si>
  <si>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</si>
  <si>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</si>
  <si>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</si>
  <si>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</si>
  <si>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</si>
  <si>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</si>
  <si>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</si>
  <si>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</si>
  <si>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</si>
  <si>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</si>
  <si>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</si>
  <si>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</si>
  <si>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</si>
  <si>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</si>
  <si>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</si>
  <si>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</si>
  <si>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</si>
  <si>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</si>
  <si>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</si>
  <si>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</si>
  <si>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</si>
  <si>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</si>
  <si>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</si>
  <si>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</si>
  <si>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</si>
  <si>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</si>
  <si>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</si>
  <si>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</si>
  <si>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</si>
  <si>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</si>
  <si>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</si>
  <si>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</si>
  <si>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</si>
  <si>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</si>
  <si>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</si>
  <si>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</si>
  <si>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</si>
  <si>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</si>
  <si>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</si>
  <si>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</si>
  <si>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</si>
  <si>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</si>
  <si>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</si>
  <si>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</si>
  <si>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</si>
  <si>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</si>
  <si>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</si>
  <si>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</si>
  <si>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</si>
  <si>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</si>
  <si>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</si>
  <si>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</si>
  <si>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</si>
  <si>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</si>
  <si>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</si>
  <si>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</si>
  <si>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</si>
  <si>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</si>
  <si>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</si>
  <si>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</si>
  <si>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</si>
  <si>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</si>
  <si>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</si>
  <si>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</si>
  <si>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</si>
  <si>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</si>
  <si>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</si>
  <si>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</si>
  <si>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</si>
  <si>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</si>
  <si>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</si>
  <si>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</si>
  <si>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</si>
  <si>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</si>
  <si>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</si>
  <si>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</si>
  <si>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</si>
  <si>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</si>
  <si>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</si>
  <si>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</si>
  <si>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</si>
  <si>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</si>
  <si>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</si>
  <si>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</si>
  <si>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</si>
  <si>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</si>
  <si>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</si>
  <si>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</si>
  <si>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</si>
  <si>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</si>
  <si>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</si>
  <si>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</si>
  <si>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</si>
  <si>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</si>
  <si>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</si>
  <si>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</si>
  <si>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</si>
  <si>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</si>
  <si>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</si>
  <si>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</si>
  <si>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</si>
  <si>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</si>
  <si>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</si>
  <si>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</si>
  <si>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</si>
  <si>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</si>
  <si>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</si>
  <si>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</si>
  <si>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</si>
  <si>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</si>
  <si>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</si>
  <si>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</si>
  <si>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</si>
  <si>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</si>
  <si>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</si>
  <si>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</si>
  <si>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</si>
  <si>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</si>
  <si>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</si>
  <si>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</si>
  <si>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</si>
  <si>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</si>
  <si>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</si>
  <si>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</si>
  <si>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</si>
  <si>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</si>
  <si>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</si>
  <si>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</si>
  <si>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</si>
  <si>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</si>
  <si>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</si>
  <si>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</si>
  <si>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</si>
  <si>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</si>
  <si>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</si>
  <si>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</si>
  <si>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</si>
  <si>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</si>
  <si>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</si>
  <si>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</si>
  <si>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</si>
  <si>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</si>
  <si>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</si>
  <si>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</si>
  <si>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</si>
  <si>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</si>
  <si>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</si>
  <si>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</si>
  <si>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</si>
  <si>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</si>
  <si>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</si>
  <si>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</si>
  <si>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</si>
  <si>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</si>
  <si>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</si>
  <si>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</si>
  <si>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</si>
  <si>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</si>
  <si>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</si>
  <si>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</si>
  <si>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</si>
  <si>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</si>
  <si>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</si>
  <si>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</si>
  <si>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</si>
  <si>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</si>
  <si>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</si>
  <si>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</si>
  <si>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</si>
  <si>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</si>
  <si>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</si>
  <si>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</si>
  <si>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</si>
  <si>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</si>
  <si>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</si>
  <si>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</si>
  <si>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</si>
  <si>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</si>
  <si>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</si>
  <si>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</si>
  <si>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</si>
  <si>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</si>
  <si>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</si>
  <si>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</si>
  <si>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</si>
  <si>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</si>
  <si>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</si>
  <si>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</si>
  <si>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</si>
  <si>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</si>
  <si>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</si>
  <si>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</si>
  <si>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</si>
  <si>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</si>
  <si>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</si>
  <si>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</si>
  <si>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</si>
  <si>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</si>
  <si>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</si>
  <si>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</si>
  <si>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</si>
  <si>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</si>
  <si>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</si>
  <si>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</si>
  <si>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</si>
  <si>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</si>
  <si>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</si>
  <si>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</si>
  <si>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</si>
  <si>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</si>
  <si>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</si>
  <si>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</si>
  <si>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</si>
  <si>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</si>
  <si>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</si>
  <si>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</si>
  <si>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</si>
  <si>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</si>
  <si>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</si>
  <si>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</si>
  <si>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</si>
  <si>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</si>
  <si>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</si>
  <si>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</si>
  <si>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</si>
  <si>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</si>
  <si>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</si>
  <si>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</si>
  <si>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</si>
  <si>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</si>
  <si>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</si>
  <si>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</si>
  <si>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</si>
  <si>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</si>
  <si>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</si>
  <si>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</si>
  <si>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</si>
  <si>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</si>
  <si>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</si>
  <si>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</si>
  <si>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</si>
  <si>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</si>
  <si>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</si>
  <si>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</si>
  <si>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</si>
  <si>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</si>
  <si>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</si>
  <si>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</si>
  <si>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</si>
  <si>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</si>
  <si>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</si>
  <si>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</si>
  <si>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</si>
  <si>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</si>
  <si>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</si>
  <si>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</si>
  <si>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</si>
  <si>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</si>
  <si>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</si>
  <si>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</si>
  <si>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</si>
  <si>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</si>
  <si>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</si>
  <si>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</si>
  <si>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</si>
  <si>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</si>
  <si>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</si>
  <si>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</si>
  <si>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</si>
  <si>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</si>
  <si>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</si>
  <si>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</si>
  <si>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</si>
  <si>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</si>
  <si>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</si>
  <si>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</si>
  <si>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</si>
  <si>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</si>
  <si>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</si>
  <si>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</si>
  <si>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</si>
  <si>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</si>
  <si>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</si>
  <si>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</si>
  <si>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</si>
  <si>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</si>
  <si>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</si>
  <si>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</si>
  <si>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</si>
  <si>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</si>
  <si>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</si>
  <si>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</si>
  <si>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</si>
  <si>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</si>
  <si>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</si>
  <si>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</si>
  <si>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</si>
  <si>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</si>
  <si>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</si>
  <si>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</si>
  <si>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</si>
  <si>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</si>
  <si>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</si>
  <si>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</si>
  <si>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</si>
  <si>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</si>
  <si>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</si>
  <si>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</si>
  <si>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</si>
  <si>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</si>
  <si>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</si>
  <si>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</si>
  <si>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</si>
  <si>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</si>
  <si>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</si>
  <si>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</si>
  <si>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</si>
  <si>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</si>
  <si>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</si>
  <si>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</si>
  <si>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</si>
  <si>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</si>
  <si>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</si>
  <si>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</si>
  <si>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</si>
  <si>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</si>
  <si>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</si>
  <si>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</si>
  <si>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</si>
  <si>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</si>
  <si>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</si>
  <si>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</si>
  <si>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</si>
  <si>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</si>
  <si>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</si>
  <si>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</si>
  <si>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</si>
  <si>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</si>
  <si>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</si>
  <si>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</si>
  <si>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</si>
  <si>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</si>
  <si>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</si>
  <si>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</si>
  <si>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</si>
  <si>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</si>
  <si>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</si>
  <si>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</si>
  <si>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</si>
  <si>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</si>
  <si>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</si>
  <si>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</si>
  <si>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</si>
  <si>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</si>
  <si>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</si>
  <si>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</si>
  <si>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</si>
  <si>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</si>
  <si>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</si>
  <si>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</si>
  <si>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</si>
  <si>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</si>
  <si>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</si>
  <si>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</si>
  <si>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</si>
  <si>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</si>
  <si>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</si>
  <si>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</si>
  <si>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</si>
  <si>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</si>
  <si>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</si>
  <si>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</si>
  <si>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</si>
  <si>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</si>
  <si>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</si>
  <si>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</si>
  <si>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</si>
  <si>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</si>
  <si>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</si>
  <si>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</si>
  <si>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</si>
  <si>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</si>
  <si>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</si>
  <si>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</si>
  <si>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</si>
  <si>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</si>
  <si>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</si>
  <si>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</si>
  <si>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</si>
  <si>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</si>
  <si>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</si>
  <si>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</si>
  <si>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</si>
  <si>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</si>
  <si>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</si>
  <si>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</si>
  <si>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</si>
  <si>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</si>
  <si>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</si>
  <si>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</si>
  <si>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</si>
  <si>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</si>
  <si>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</si>
  <si>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</si>
  <si>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</si>
  <si>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</si>
  <si>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</si>
  <si>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</si>
  <si>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</si>
  <si>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</si>
  <si>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</si>
  <si>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</si>
  <si>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</si>
  <si>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</si>
  <si>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</si>
  <si>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</si>
  <si>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</si>
  <si>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</si>
  <si>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</si>
  <si>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</si>
  <si>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</si>
  <si>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</si>
  <si>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</si>
  <si>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</si>
  <si>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</si>
  <si>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</si>
  <si>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</si>
  <si>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</si>
  <si>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</si>
  <si>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</si>
  <si>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</si>
  <si>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</si>
  <si>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</si>
  <si>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</si>
  <si>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</si>
  <si>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</si>
  <si>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</si>
  <si>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</si>
  <si>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</si>
  <si>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</si>
  <si>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</si>
  <si>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</si>
  <si>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</si>
  <si>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</si>
  <si>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</si>
  <si>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</si>
  <si>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</si>
  <si>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</si>
  <si>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</si>
  <si>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</si>
  <si>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</si>
  <si>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</si>
  <si>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</si>
  <si>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</si>
  <si>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</si>
  <si>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</si>
  <si>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</si>
  <si>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</si>
  <si>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</si>
  <si>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</si>
  <si>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</si>
  <si>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</si>
  <si>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</si>
  <si>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</si>
  <si>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</si>
  <si>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</si>
  <si>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</si>
  <si>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</si>
  <si>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</si>
  <si>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</si>
  <si>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</si>
  <si>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</si>
  <si>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</si>
  <si>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</si>
  <si>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</si>
  <si>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</si>
  <si>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</si>
  <si>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</si>
  <si>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</si>
  <si>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</si>
  <si>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</si>
  <si>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</si>
  <si>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</si>
  <si>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</si>
  <si>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</si>
  <si>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</si>
  <si>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</si>
  <si>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</si>
  <si>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</si>
  <si>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</si>
  <si>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</si>
  <si>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</si>
  <si>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</si>
  <si>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</si>
  <si>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</si>
  <si>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</si>
  <si>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</si>
  <si>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</si>
  <si>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</si>
  <si>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</si>
  <si>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</si>
  <si>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</si>
  <si>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</si>
  <si>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</si>
  <si>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</si>
  <si>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</si>
  <si>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</si>
  <si>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</si>
  <si>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</si>
  <si>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</si>
  <si>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</si>
  <si>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</si>
  <si>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</si>
  <si>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</si>
  <si>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</si>
  <si>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</si>
  <si>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</si>
  <si>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</si>
  <si>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</si>
  <si>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</si>
  <si>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</si>
  <si>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</si>
  <si>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</si>
  <si>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</si>
  <si>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</si>
  <si>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</si>
  <si>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</si>
  <si>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</si>
  <si>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</si>
  <si>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</si>
  <si>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</si>
  <si>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</si>
  <si>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</si>
  <si>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</si>
  <si>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</si>
  <si>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</si>
  <si>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</si>
  <si>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</si>
  <si>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</si>
  <si>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</si>
  <si>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</si>
  <si>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</si>
  <si>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</si>
  <si>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</si>
  <si>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</si>
  <si>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</si>
  <si>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</si>
  <si>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</si>
  <si>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</si>
  <si>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</si>
  <si>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</si>
  <si>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</si>
  <si>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</si>
  <si>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</si>
  <si>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</si>
  <si>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</si>
  <si>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</si>
  <si>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</si>
  <si>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</si>
  <si>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</si>
  <si>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</si>
  <si>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</si>
  <si>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</si>
  <si>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</si>
  <si>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</si>
  <si>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</si>
  <si>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</si>
  <si>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</si>
  <si>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</si>
  <si>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</si>
  <si>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</si>
  <si>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</si>
  <si>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</si>
  <si>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</si>
  <si>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</si>
  <si>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</si>
  <si>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</si>
  <si>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</si>
  <si>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</si>
  <si>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</si>
  <si>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</si>
  <si>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</si>
  <si>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</si>
  <si>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</si>
  <si>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</si>
  <si>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</si>
  <si>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</si>
  <si>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</si>
  <si>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</si>
  <si>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</si>
  <si>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</si>
  <si>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</si>
  <si>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</si>
  <si>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</si>
  <si>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</si>
  <si>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</si>
  <si>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</si>
  <si>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</si>
  <si>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</si>
  <si>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</si>
  <si>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</si>
  <si>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</si>
  <si>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</si>
  <si>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</si>
  <si>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</si>
  <si>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</si>
  <si>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</si>
  <si>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</si>
  <si>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</si>
  <si>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</si>
  <si>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</si>
  <si>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</si>
  <si>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</si>
  <si>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</si>
  <si>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</si>
  <si>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</si>
  <si>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</si>
  <si>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</si>
  <si>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</si>
  <si>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</si>
  <si>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</si>
  <si>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</si>
  <si>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</si>
  <si>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</si>
  <si>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</si>
  <si>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</si>
  <si>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</si>
  <si>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</si>
  <si>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</si>
  <si>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</si>
  <si>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</si>
  <si>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</si>
  <si>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</si>
  <si>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</si>
  <si>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</si>
  <si>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</si>
  <si>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</si>
  <si>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</si>
  <si>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</si>
  <si>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</si>
  <si>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</si>
  <si>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</si>
  <si>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</si>
  <si>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</si>
  <si>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</si>
  <si>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</si>
  <si>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</si>
  <si>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</si>
  <si>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</si>
  <si>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</si>
  <si>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</si>
  <si>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</si>
  <si>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</si>
  <si>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</si>
  <si>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</si>
  <si>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</si>
  <si>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</si>
  <si>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</si>
  <si>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</si>
  <si>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</si>
  <si>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</si>
  <si>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</si>
  <si>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</si>
  <si>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</si>
  <si>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</si>
  <si>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</si>
  <si>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</si>
  <si>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</si>
  <si>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</si>
  <si>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</si>
  <si>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</si>
  <si>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</si>
  <si>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</si>
  <si>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</si>
  <si>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</si>
  <si>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</si>
  <si>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</si>
  <si>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</si>
  <si>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</si>
  <si>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</si>
  <si>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</si>
  <si>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</si>
  <si>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</si>
  <si>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</si>
  <si>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</si>
  <si>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</si>
  <si>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</si>
  <si>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</si>
  <si>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</si>
  <si>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</si>
  <si>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</si>
  <si>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</si>
  <si>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</si>
  <si>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</si>
  <si>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</si>
  <si>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</si>
  <si>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</si>
  <si>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</si>
  <si>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</si>
  <si>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</si>
  <si>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</si>
  <si>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</si>
  <si>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</si>
  <si>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</si>
  <si>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</si>
  <si>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</si>
  <si>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</si>
  <si>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</si>
  <si>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</si>
  <si>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</si>
  <si>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</si>
  <si>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</si>
  <si>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</si>
  <si>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</si>
  <si>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</si>
  <si>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(driving villard cascading voltage multiplier) with primary current feedback (use minimum input voltage to determine inductance required)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</si>
  <si>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</si>
  <si>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</si>
  <si>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</si>
  <si>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</si>
  <si>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Primary inductance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</si>
  <si>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</si>
  <si>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</si>
  <si>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</si>
  <si>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</si>
  <si>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</si>
  <si>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</si>
  <si>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</si>
  <si>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</si>
  <si>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</si>
  <si>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</si>
  <si>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</si>
  <si>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</si>
  <si>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</si>
  <si>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</si>
  <si>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</si>
  <si>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</si>
  <si>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</si>
  <si>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</si>
  <si>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</si>
  <si>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</si>
  <si>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</si>
  <si>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</si>
  <si>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</si>
  <si>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</si>
  <si>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</si>
  <si>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</si>
  <si>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</si>
  <si>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</si>
  <si>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</si>
  <si>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</si>
  <si>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</si>
  <si>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</si>
  <si>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</si>
  <si>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</si>
  <si>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</si>
  <si>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</si>
  <si>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</si>
  <si>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</si>
  <si>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</si>
  <si>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</si>
  <si>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</si>
  <si>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</si>
  <si>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</si>
  <si>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</si>
  <si>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</si>
  <si>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</si>
  <si>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</si>
  <si>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</si>
  <si>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</si>
  <si>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</si>
  <si>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</si>
  <si>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</si>
  <si>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</si>
  <si>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</si>
  <si>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</si>
  <si>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</si>
  <si>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</si>
  <si>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</si>
  <si>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</si>
  <si>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</si>
  <si>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</si>
  <si>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</si>
  <si>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</si>
  <si>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</si>
  <si>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</si>
  <si>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</si>
  <si>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</si>
  <si>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</si>
  <si>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</si>
  <si>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</si>
  <si>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</si>
  <si>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</si>
  <si>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</si>
  <si>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</si>
  <si>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</si>
  <si>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</si>
  <si>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</si>
  <si>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</si>
  <si>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</si>
  <si>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</si>
  <si>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</si>
  <si>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</si>
  <si>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</si>
  <si>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</si>
  <si>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</si>
  <si>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</si>
  <si>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</si>
  <si>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</si>
  <si>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</si>
  <si>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</si>
  <si>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</si>
  <si>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</si>
  <si>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</si>
  <si>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</si>
  <si>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</si>
  <si>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</si>
  <si>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</si>
  <si>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</si>
  <si>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</si>
  <si>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</si>
  <si>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</si>
  <si>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</si>
  <si>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</si>
  <si>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</si>
  <si>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</si>
  <si>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</si>
  <si>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</si>
  <si>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</si>
  <si>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</si>
  <si>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</si>
  <si>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</si>
  <si>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</si>
  <si>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</si>
  <si>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</si>
  <si>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</si>
  <si>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</si>
  <si>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</si>
  <si>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</si>
  <si>
    <t>IPC-2221 Track Thickness Calculation</t>
  </si>
  <si>
    <t>Internal else External</t>
  </si>
  <si>
    <t>I</t>
  </si>
  <si>
    <t>Allowable rise in temperature</t>
  </si>
  <si>
    <t xml:space="preserve">Cross-Sectional Area </t>
  </si>
  <si>
    <t>mil^2</t>
  </si>
  <si>
    <t>Thickness</t>
  </si>
  <si>
    <t>RMS Current</t>
  </si>
  <si>
    <t>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</si>
</sst>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5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11" fontId="0" fillId="3" borderId="0" xfId="0" applyNumberFormat="1" applyFont="1" applyFill="1"/>
    <xf numFmtId="0" fontId="7" fillId="3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png"/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175</xdr:row>
      <xdr:rowOff>47625</xdr:rowOff>
    </xdr:from>
    <xdr:to>
      <xdr:col>16</xdr:col>
      <xdr:colOff>3648942</xdr:colOff>
      <xdr:row>184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282</xdr:row>
      <xdr:rowOff>13607</xdr:rowOff>
    </xdr:from>
    <xdr:to>
      <xdr:col>6</xdr:col>
      <xdr:colOff>743904</xdr:colOff>
      <xdr:row>285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369</xdr:row>
      <xdr:rowOff>134471</xdr:rowOff>
    </xdr:from>
    <xdr:to>
      <xdr:col>16</xdr:col>
      <xdr:colOff>481958</xdr:colOff>
      <xdr:row>376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374815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480582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</xdr:col>
      <xdr:colOff>304800</xdr:colOff>
      <xdr:row>313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307</xdr:row>
      <xdr:rowOff>0</xdr:rowOff>
    </xdr:from>
    <xdr:to>
      <xdr:col>4</xdr:col>
      <xdr:colOff>304800</xdr:colOff>
      <xdr:row>308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311</xdr:row>
      <xdr:rowOff>0</xdr:rowOff>
    </xdr:from>
    <xdr:to>
      <xdr:col>1</xdr:col>
      <xdr:colOff>304800</xdr:colOff>
      <xdr:row>312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306</xdr:row>
      <xdr:rowOff>122464</xdr:rowOff>
    </xdr:from>
    <xdr:to>
      <xdr:col>5</xdr:col>
      <xdr:colOff>35466</xdr:colOff>
      <xdr:row>322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809</xdr:row>
      <xdr:rowOff>81643</xdr:rowOff>
    </xdr:from>
    <xdr:to>
      <xdr:col>7</xdr:col>
      <xdr:colOff>1286530</xdr:colOff>
      <xdr:row>831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416</xdr:row>
      <xdr:rowOff>0</xdr:rowOff>
    </xdr:from>
    <xdr:to>
      <xdr:col>1</xdr:col>
      <xdr:colOff>304800</xdr:colOff>
      <xdr:row>417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458</xdr:row>
      <xdr:rowOff>0</xdr:rowOff>
    </xdr:from>
    <xdr:to>
      <xdr:col>1</xdr:col>
      <xdr:colOff>304800</xdr:colOff>
      <xdr:row>459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550</xdr:row>
      <xdr:rowOff>27214</xdr:rowOff>
    </xdr:from>
    <xdr:to>
      <xdr:col>7</xdr:col>
      <xdr:colOff>319057</xdr:colOff>
      <xdr:row>551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551</xdr:row>
      <xdr:rowOff>176892</xdr:rowOff>
    </xdr:from>
    <xdr:to>
      <xdr:col>6</xdr:col>
      <xdr:colOff>263602</xdr:colOff>
      <xdr:row>555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519</xdr:row>
      <xdr:rowOff>176891</xdr:rowOff>
    </xdr:from>
    <xdr:to>
      <xdr:col>10</xdr:col>
      <xdr:colOff>338407</xdr:colOff>
      <xdr:row>526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526</xdr:row>
      <xdr:rowOff>81643</xdr:rowOff>
    </xdr:from>
    <xdr:to>
      <xdr:col>8</xdr:col>
      <xdr:colOff>484923</xdr:colOff>
      <xdr:row>534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536</xdr:row>
      <xdr:rowOff>27214</xdr:rowOff>
    </xdr:from>
    <xdr:to>
      <xdr:col>8</xdr:col>
      <xdr:colOff>1433475</xdr:colOff>
      <xdr:row>555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536</xdr:row>
      <xdr:rowOff>27215</xdr:rowOff>
    </xdr:from>
    <xdr:to>
      <xdr:col>15</xdr:col>
      <xdr:colOff>483482</xdr:colOff>
      <xdr:row>555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500</xdr:row>
      <xdr:rowOff>13608</xdr:rowOff>
    </xdr:from>
    <xdr:to>
      <xdr:col>8</xdr:col>
      <xdr:colOff>1010549</xdr:colOff>
      <xdr:row>503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2514600</xdr:colOff>
      <xdr:row>951</xdr:row>
      <xdr:rowOff>180975</xdr:rowOff>
    </xdr:from>
    <xdr:to>
      <xdr:col>4</xdr:col>
      <xdr:colOff>105079</xdr:colOff>
      <xdr:row>955</xdr:row>
      <xdr:rowOff>57150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0" y="181403625"/>
          <a:ext cx="3686479" cy="638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3829050</xdr:colOff>
      <xdr:row>966</xdr:row>
      <xdr:rowOff>171450</xdr:rowOff>
    </xdr:from>
    <xdr:to>
      <xdr:col>3</xdr:col>
      <xdr:colOff>1483610</xdr:colOff>
      <xdr:row>972</xdr:row>
      <xdr:rowOff>136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410450" y="184251600"/>
          <a:ext cx="2219635" cy="971686"/>
        </a:xfrm>
        <a:prstGeom prst="rect">
          <a:avLst/>
        </a:prstGeom>
      </xdr:spPr>
    </xdr:pic>
    <xdr:clientData/>
  </xdr:twoCellAnchor>
  <xdr:twoCellAnchor editAs="oneCell">
    <xdr:from>
      <xdr:col>2</xdr:col>
      <xdr:colOff>3800475</xdr:colOff>
      <xdr:row>972</xdr:row>
      <xdr:rowOff>47625</xdr:rowOff>
    </xdr:from>
    <xdr:to>
      <xdr:col>3</xdr:col>
      <xdr:colOff>654823</xdr:colOff>
      <xdr:row>976</xdr:row>
      <xdr:rowOff>95363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81875" y="185270775"/>
          <a:ext cx="1419423" cy="8097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74"/>
  <sheetViews>
    <sheetView tabSelected="1" topLeftCell="A941" zoomScale="70" zoomScaleNormal="70" workbookViewId="0">
      <selection activeCell="A941" sqref="A941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125</v>
      </c>
      <c r="B1" t="s">
        <v>124</v>
      </c>
      <c r="C1" t="s">
        <v>123</v>
      </c>
      <c r="D1" t="s">
        <v>65</v>
      </c>
      <c r="E1" t="s">
        <v>19</v>
      </c>
      <c r="F1" t="s">
        <v>973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474</v>
      </c>
      <c r="C6" t="s">
        <v>475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80000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128</v>
      </c>
      <c r="D11" s="5">
        <f>D2/D8</f>
        <v>2.5000000000000001E-3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101</v>
      </c>
      <c r="C13" s="5" t="s">
        <v>0</v>
      </c>
      <c r="D13" s="5">
        <f>ROUND(D8/D12, 0)</f>
        <v>6</v>
      </c>
      <c r="E13" s="5"/>
    </row>
    <row r="14" spans="1:7" x14ac:dyDescent="0.25">
      <c r="B14" s="7" t="s">
        <v>100</v>
      </c>
      <c r="C14" s="7" t="s">
        <v>99</v>
      </c>
      <c r="D14" s="7">
        <v>6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8" t="s">
        <v>569</v>
      </c>
      <c r="H19" s="78"/>
      <c r="I19" s="78"/>
      <c r="J19" s="78"/>
    </row>
    <row r="20" spans="1:11" x14ac:dyDescent="0.25">
      <c r="A20" s="76" t="s">
        <v>98</v>
      </c>
      <c r="B20" t="s">
        <v>96</v>
      </c>
      <c r="C20" t="s">
        <v>2</v>
      </c>
      <c r="D20">
        <v>0.3</v>
      </c>
      <c r="E20" t="s">
        <v>20</v>
      </c>
      <c r="G20" s="78"/>
      <c r="H20" s="78"/>
      <c r="I20" s="78"/>
      <c r="J20" s="78"/>
    </row>
    <row r="21" spans="1:11" x14ac:dyDescent="0.25">
      <c r="A21" s="76"/>
      <c r="B21" s="5"/>
      <c r="C21" s="5" t="s">
        <v>3</v>
      </c>
      <c r="D21" s="5">
        <f>D20/D4</f>
        <v>0.25</v>
      </c>
      <c r="E21" s="5" t="s">
        <v>20</v>
      </c>
      <c r="G21" s="78"/>
      <c r="H21" s="78"/>
      <c r="I21" s="78"/>
      <c r="J21" s="78"/>
    </row>
    <row r="22" spans="1:11" x14ac:dyDescent="0.25">
      <c r="A22" s="76"/>
      <c r="B22" t="s">
        <v>64</v>
      </c>
      <c r="C22" t="s">
        <v>97</v>
      </c>
      <c r="D22">
        <v>0.1</v>
      </c>
      <c r="G22" s="78"/>
      <c r="H22" s="78"/>
      <c r="I22" s="78"/>
      <c r="J22" s="78"/>
    </row>
    <row r="23" spans="1:11" x14ac:dyDescent="0.25">
      <c r="A23" s="76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6"/>
      <c r="C24" t="s">
        <v>7</v>
      </c>
      <c r="D24">
        <v>35</v>
      </c>
    </row>
    <row r="25" spans="1:11" x14ac:dyDescent="0.25">
      <c r="A25" s="76"/>
      <c r="B25" s="5"/>
      <c r="C25" s="5" t="s">
        <v>28</v>
      </c>
      <c r="D25" s="5"/>
      <c r="E25" s="5"/>
    </row>
    <row r="26" spans="1:11" x14ac:dyDescent="0.25">
      <c r="A26" s="76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6"/>
      <c r="B27" s="5"/>
      <c r="C27" s="5" t="s">
        <v>11</v>
      </c>
      <c r="D27" s="5">
        <f>D26*D14</f>
        <v>0.7</v>
      </c>
      <c r="E27" s="5" t="s">
        <v>22</v>
      </c>
    </row>
    <row r="28" spans="1:11" x14ac:dyDescent="0.25">
      <c r="A28" s="76"/>
      <c r="C28" t="s">
        <v>8</v>
      </c>
      <c r="D28">
        <v>100</v>
      </c>
      <c r="E28" t="s">
        <v>21</v>
      </c>
    </row>
    <row r="29" spans="1:11" x14ac:dyDescent="0.25">
      <c r="A29" s="76"/>
      <c r="C29" t="s">
        <v>10</v>
      </c>
      <c r="D29" s="1">
        <f>D71/D14</f>
        <v>0</v>
      </c>
      <c r="E29" t="s">
        <v>25</v>
      </c>
      <c r="G29" s="78" t="s">
        <v>570</v>
      </c>
      <c r="H29" s="79"/>
      <c r="I29" s="79"/>
      <c r="J29" s="79"/>
      <c r="K29" s="79"/>
    </row>
    <row r="30" spans="1:11" x14ac:dyDescent="0.25">
      <c r="B30" s="7"/>
      <c r="C30" s="9"/>
      <c r="D30" s="7"/>
      <c r="E30" s="7"/>
      <c r="G30" s="79"/>
      <c r="H30" s="79"/>
      <c r="I30" s="79"/>
      <c r="J30" s="79"/>
      <c r="K30" s="79"/>
    </row>
    <row r="31" spans="1:11" ht="15" customHeight="1" x14ac:dyDescent="0.25">
      <c r="A31" s="76" t="s">
        <v>126</v>
      </c>
      <c r="B31" s="5"/>
      <c r="C31" s="5"/>
      <c r="D31" s="5"/>
      <c r="E31" s="6"/>
      <c r="G31" s="79"/>
      <c r="H31" s="79"/>
      <c r="I31" s="79"/>
      <c r="J31" s="79"/>
      <c r="K31" s="79"/>
    </row>
    <row r="32" spans="1:11" x14ac:dyDescent="0.25">
      <c r="A32" s="76"/>
      <c r="B32" s="5"/>
      <c r="C32" s="5" t="s">
        <v>120</v>
      </c>
      <c r="D32" s="5">
        <f>D8/D23</f>
        <v>959999.99999999988</v>
      </c>
      <c r="E32" s="6" t="s">
        <v>24</v>
      </c>
      <c r="G32" s="79"/>
      <c r="H32" s="79"/>
      <c r="I32" s="79"/>
      <c r="J32" s="79"/>
      <c r="K32" s="79"/>
    </row>
    <row r="33" spans="1:11" x14ac:dyDescent="0.25">
      <c r="A33" s="76"/>
      <c r="B33" s="7"/>
      <c r="C33" s="7" t="s">
        <v>121</v>
      </c>
      <c r="D33" s="7">
        <v>200000</v>
      </c>
      <c r="E33" s="8" t="s">
        <v>24</v>
      </c>
      <c r="G33" s="79"/>
      <c r="H33" s="79"/>
      <c r="I33" s="79"/>
      <c r="J33" s="79"/>
      <c r="K33" s="79"/>
    </row>
    <row r="34" spans="1:11" x14ac:dyDescent="0.25">
      <c r="A34" s="76"/>
      <c r="B34" s="7"/>
      <c r="C34" s="7" t="s">
        <v>122</v>
      </c>
      <c r="D34" s="7">
        <v>5</v>
      </c>
      <c r="E34" s="8"/>
      <c r="G34" s="79"/>
      <c r="H34" s="79"/>
      <c r="I34" s="79"/>
      <c r="J34" s="79"/>
      <c r="K34" s="79"/>
    </row>
    <row r="35" spans="1:11" x14ac:dyDescent="0.25">
      <c r="A35" s="76"/>
      <c r="C35" t="s">
        <v>127</v>
      </c>
      <c r="D35">
        <f>D33*D34</f>
        <v>1000000</v>
      </c>
    </row>
    <row r="36" spans="1:11" x14ac:dyDescent="0.25">
      <c r="A36" s="76"/>
      <c r="C36" t="s">
        <v>130</v>
      </c>
      <c r="D36">
        <v>5</v>
      </c>
      <c r="E36" t="s">
        <v>162</v>
      </c>
    </row>
    <row r="37" spans="1:11" x14ac:dyDescent="0.25">
      <c r="A37" s="76"/>
      <c r="C37" t="s">
        <v>163</v>
      </c>
      <c r="D37">
        <f>(1+(D36/200))*D35</f>
        <v>1024999.9999999999</v>
      </c>
    </row>
    <row r="38" spans="1:11" x14ac:dyDescent="0.25">
      <c r="A38" s="76"/>
      <c r="C38" t="s">
        <v>164</v>
      </c>
      <c r="D38">
        <f>(1-(D36/200))*D35</f>
        <v>975000</v>
      </c>
    </row>
    <row r="39" spans="1:11" x14ac:dyDescent="0.25">
      <c r="A39" s="76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6"/>
      <c r="B40" s="5"/>
      <c r="C40" s="5" t="s">
        <v>748</v>
      </c>
      <c r="D40" s="5">
        <f>POWER(D10, 2)*D37</f>
        <v>11.388888888888889</v>
      </c>
      <c r="E40" s="5" t="s">
        <v>22</v>
      </c>
    </row>
    <row r="41" spans="1:11" x14ac:dyDescent="0.25">
      <c r="A41" s="76"/>
      <c r="B41" s="5"/>
      <c r="C41" s="5" t="s">
        <v>165</v>
      </c>
      <c r="D41" s="5">
        <f>D40/D34</f>
        <v>2.2777777777777777</v>
      </c>
      <c r="E41" s="5"/>
    </row>
    <row r="42" spans="1:11" x14ac:dyDescent="0.25">
      <c r="A42" s="76"/>
      <c r="B42" s="5"/>
      <c r="C42" s="5" t="s">
        <v>166</v>
      </c>
      <c r="D42" s="5">
        <f>D33*POWER(D102, 2)/(2*3)</f>
        <v>231.48148148148152</v>
      </c>
      <c r="E42" s="5"/>
    </row>
    <row r="43" spans="1:11" x14ac:dyDescent="0.25">
      <c r="A43" s="76"/>
      <c r="B43" s="5"/>
      <c r="C43" s="5" t="s">
        <v>749</v>
      </c>
      <c r="D43" s="5">
        <f>POWER(D11, 2)*D37</f>
        <v>6.40625</v>
      </c>
      <c r="E43" s="5" t="s">
        <v>22</v>
      </c>
    </row>
    <row r="44" spans="1:11" x14ac:dyDescent="0.25">
      <c r="A44" s="76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6"/>
      <c r="B45" s="5"/>
      <c r="C45" s="5" t="s">
        <v>746</v>
      </c>
      <c r="D45" s="10">
        <v>3</v>
      </c>
      <c r="E45" s="5" t="s">
        <v>22</v>
      </c>
    </row>
    <row r="46" spans="1:11" x14ac:dyDescent="0.25">
      <c r="A46" s="76"/>
      <c r="B46" s="5"/>
      <c r="C46" s="5" t="s">
        <v>747</v>
      </c>
      <c r="D46" t="b">
        <f>D45/D4&gt;=D41</f>
        <v>1</v>
      </c>
      <c r="E46" s="5"/>
    </row>
    <row r="47" spans="1:11" x14ac:dyDescent="0.25">
      <c r="A47" s="76"/>
      <c r="B47" s="5"/>
      <c r="C47" s="5" t="s">
        <v>750</v>
      </c>
      <c r="D47" s="10">
        <f>D45*D34/D4</f>
        <v>12.5</v>
      </c>
      <c r="E47" s="5"/>
    </row>
    <row r="48" spans="1:11" x14ac:dyDescent="0.25">
      <c r="A48" s="76"/>
      <c r="B48" s="5"/>
      <c r="C48" s="5"/>
      <c r="D48" s="10"/>
      <c r="E48" s="5"/>
    </row>
    <row r="49" spans="1:18" x14ac:dyDescent="0.25">
      <c r="A49" s="76"/>
      <c r="B49" s="7"/>
      <c r="C49" s="7" t="s">
        <v>752</v>
      </c>
      <c r="D49" s="12">
        <f>22000</f>
        <v>22000</v>
      </c>
      <c r="E49" s="7"/>
    </row>
    <row r="50" spans="1:18" x14ac:dyDescent="0.25">
      <c r="A50" s="76"/>
      <c r="B50" s="7"/>
      <c r="C50" s="7" t="s">
        <v>662</v>
      </c>
      <c r="D50" s="12">
        <v>0.1</v>
      </c>
      <c r="E50" s="7"/>
    </row>
    <row r="51" spans="1:18" x14ac:dyDescent="0.25">
      <c r="A51" s="76"/>
      <c r="B51" s="7"/>
      <c r="C51" s="7" t="s">
        <v>663</v>
      </c>
      <c r="D51" s="12">
        <v>0.06</v>
      </c>
      <c r="E51" s="7"/>
    </row>
    <row r="52" spans="1:18" x14ac:dyDescent="0.25">
      <c r="A52" s="76"/>
      <c r="B52" s="7"/>
      <c r="C52" s="7" t="s">
        <v>753</v>
      </c>
      <c r="D52" s="12">
        <f>PI()*D51*D51/4</f>
        <v>2.8274333882308137E-3</v>
      </c>
      <c r="E52" s="7"/>
    </row>
    <row r="53" spans="1:18" x14ac:dyDescent="0.25">
      <c r="A53" s="76"/>
      <c r="B53" s="39"/>
      <c r="C53" s="39" t="s">
        <v>194</v>
      </c>
      <c r="D53" s="40">
        <f>D49*D50/D52</f>
        <v>778090.83289371058</v>
      </c>
      <c r="E53" s="39"/>
    </row>
    <row r="54" spans="1:18" x14ac:dyDescent="0.25">
      <c r="A54" s="76"/>
      <c r="B54" s="5"/>
      <c r="C54" s="5" t="s">
        <v>755</v>
      </c>
      <c r="D54" s="10">
        <f>D51*D52</f>
        <v>1.696460032938488E-4</v>
      </c>
      <c r="E54" s="5"/>
    </row>
    <row r="55" spans="1:18" x14ac:dyDescent="0.25">
      <c r="A55" s="76"/>
      <c r="B55" s="5"/>
      <c r="C55" s="5" t="s">
        <v>756</v>
      </c>
      <c r="D55" s="10">
        <v>3990</v>
      </c>
      <c r="E55" s="41" t="s">
        <v>757</v>
      </c>
    </row>
    <row r="56" spans="1:18" x14ac:dyDescent="0.25">
      <c r="A56" s="76"/>
      <c r="B56" s="5"/>
      <c r="C56" s="5" t="s">
        <v>758</v>
      </c>
      <c r="D56" s="10">
        <v>1020</v>
      </c>
      <c r="E56" s="5"/>
    </row>
    <row r="57" spans="1:18" x14ac:dyDescent="0.25">
      <c r="A57" s="76"/>
      <c r="B57" s="5"/>
      <c r="C57" s="5" t="s">
        <v>754</v>
      </c>
      <c r="D57" s="10">
        <f>D56*D54*D55</f>
        <v>690.42530420530591</v>
      </c>
      <c r="E57" s="5"/>
    </row>
    <row r="58" spans="1:18" x14ac:dyDescent="0.25">
      <c r="A58" s="76"/>
      <c r="B58" s="5"/>
      <c r="C58" s="5" t="s">
        <v>759</v>
      </c>
      <c r="D58" s="10">
        <f>20</f>
        <v>20</v>
      </c>
      <c r="E58" s="5"/>
    </row>
    <row r="59" spans="1:18" x14ac:dyDescent="0.25">
      <c r="A59" s="76"/>
      <c r="B59" s="5"/>
      <c r="C59" s="5" t="s">
        <v>760</v>
      </c>
      <c r="D59" s="10">
        <f>D58*D57</f>
        <v>13808.506084106119</v>
      </c>
      <c r="E59" s="5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6" t="s">
        <v>30</v>
      </c>
      <c r="C61" s="7" t="s">
        <v>29</v>
      </c>
      <c r="D61" s="7">
        <v>180</v>
      </c>
      <c r="E61" s="7" t="s">
        <v>323</v>
      </c>
      <c r="P61" t="s">
        <v>75</v>
      </c>
      <c r="Q61" t="s">
        <v>76</v>
      </c>
      <c r="R61">
        <f xml:space="preserve"> D8/R60</f>
        <v>800000</v>
      </c>
    </row>
    <row r="62" spans="1:18" x14ac:dyDescent="0.25">
      <c r="A62" s="76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2.5000000000000001E-3</v>
      </c>
    </row>
    <row r="63" spans="1:18" x14ac:dyDescent="0.25">
      <c r="A63" s="76"/>
      <c r="B63" s="5"/>
      <c r="C63" s="5" t="s">
        <v>13</v>
      </c>
      <c r="D63" s="5">
        <f>D62/D14</f>
        <v>5</v>
      </c>
      <c r="E63" s="5" t="s">
        <v>323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6"/>
      <c r="B64" s="5"/>
      <c r="C64" s="5" t="s">
        <v>14</v>
      </c>
      <c r="D64" s="10">
        <f>D61/(D16*LN(D12/D63))</f>
        <v>22677523348.74741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6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2666.666666666667</v>
      </c>
    </row>
    <row r="66" spans="1:18" x14ac:dyDescent="0.25">
      <c r="A66" s="76"/>
      <c r="B66" s="5"/>
      <c r="C66" s="5" t="s">
        <v>102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5</v>
      </c>
    </row>
    <row r="67" spans="1:18" x14ac:dyDescent="0.25">
      <c r="A67" s="76"/>
      <c r="B67" s="5"/>
      <c r="C67" s="5" t="s">
        <v>15</v>
      </c>
      <c r="D67" s="10">
        <f>2*D66*D14</f>
        <v>0.15679999999999999</v>
      </c>
      <c r="E67" s="5" t="s">
        <v>22</v>
      </c>
      <c r="Q67" t="s">
        <v>84</v>
      </c>
      <c r="R67">
        <f xml:space="preserve"> POWER(R65, 2)/R61</f>
        <v>8.8888888888888911</v>
      </c>
    </row>
    <row r="68" spans="1:18" x14ac:dyDescent="0.25">
      <c r="A68" s="76"/>
      <c r="B68" s="5"/>
      <c r="C68" s="5" t="s">
        <v>32</v>
      </c>
      <c r="D68" s="10">
        <f>D65*D16*LN(D12/D63)</f>
        <v>119.06062044244945</v>
      </c>
      <c r="E68" s="5"/>
    </row>
    <row r="69" spans="1:18" x14ac:dyDescent="0.25">
      <c r="A69" s="76"/>
      <c r="B69" s="5"/>
      <c r="C69" s="5" t="s">
        <v>103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7" t="s">
        <v>104</v>
      </c>
      <c r="C71" s="5"/>
      <c r="D71" s="10"/>
      <c r="E71" s="5"/>
    </row>
    <row r="72" spans="1:18" x14ac:dyDescent="0.25">
      <c r="A72" s="77"/>
      <c r="B72" s="5"/>
      <c r="C72" s="5" t="s">
        <v>85</v>
      </c>
      <c r="D72" s="5">
        <f>D2/D3</f>
        <v>1.2500000000000001E-2</v>
      </c>
      <c r="E72" s="5"/>
    </row>
    <row r="73" spans="1:18" x14ac:dyDescent="0.25">
      <c r="A73" s="77"/>
      <c r="B73" s="5" t="s">
        <v>119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7"/>
      <c r="B74" s="5"/>
      <c r="C74" s="5" t="s">
        <v>129</v>
      </c>
      <c r="D74" s="10">
        <f>D73*2*D14</f>
        <v>1.1760000000000002</v>
      </c>
      <c r="E74" s="5"/>
    </row>
    <row r="75" spans="1:18" x14ac:dyDescent="0.25">
      <c r="A75" s="77"/>
      <c r="B75" s="5"/>
      <c r="C75" s="5" t="s">
        <v>86</v>
      </c>
      <c r="D75" s="10">
        <f>D73-D72</f>
        <v>8.5500000000000007E-2</v>
      </c>
      <c r="E75" s="5"/>
      <c r="R75" s="1"/>
    </row>
    <row r="76" spans="1:18" x14ac:dyDescent="0.25">
      <c r="A76" s="77"/>
      <c r="B76" s="5"/>
      <c r="C76" s="5" t="s">
        <v>87</v>
      </c>
      <c r="D76" s="5">
        <f xml:space="preserve"> POWER(D75*2/D16, 0.5)</f>
        <v>13076.696830622021</v>
      </c>
      <c r="E76" s="5"/>
    </row>
    <row r="77" spans="1:18" x14ac:dyDescent="0.25">
      <c r="A77" s="77"/>
      <c r="B77" s="5" t="s">
        <v>118</v>
      </c>
      <c r="C77" s="5" t="s">
        <v>88</v>
      </c>
      <c r="D77" s="5">
        <f>D12-D76</f>
        <v>923.30316937797943</v>
      </c>
      <c r="E77" s="5"/>
    </row>
    <row r="78" spans="1:18" x14ac:dyDescent="0.25">
      <c r="A78" s="77"/>
      <c r="B78" s="5" t="s">
        <v>114</v>
      </c>
      <c r="C78" s="5" t="s">
        <v>115</v>
      </c>
      <c r="D78" s="5">
        <f>D77/POWER(2, 0.5)</f>
        <v>652.87393215820066</v>
      </c>
      <c r="E78" s="5"/>
    </row>
    <row r="79" spans="1:18" x14ac:dyDescent="0.25">
      <c r="A79" s="77"/>
      <c r="B79" s="5" t="s">
        <v>117</v>
      </c>
      <c r="C79" s="5" t="s">
        <v>116</v>
      </c>
      <c r="D79" s="10">
        <f>2 * PI() * D3* D16*POWER(D78, 2)</f>
        <v>42.850757935489241</v>
      </c>
      <c r="E79" s="5"/>
    </row>
    <row r="80" spans="1:18" x14ac:dyDescent="0.25">
      <c r="A80" s="77"/>
      <c r="C80" t="s">
        <v>89</v>
      </c>
      <c r="D80">
        <v>0.01</v>
      </c>
    </row>
    <row r="81" spans="1:8" x14ac:dyDescent="0.25">
      <c r="A81" s="77"/>
      <c r="C81" t="s">
        <v>90</v>
      </c>
      <c r="D81">
        <v>0.03</v>
      </c>
    </row>
    <row r="82" spans="1:8" x14ac:dyDescent="0.25">
      <c r="A82" s="77"/>
      <c r="C82" t="s">
        <v>91</v>
      </c>
      <c r="D82">
        <v>5.0000000000000001E-4</v>
      </c>
      <c r="G82" s="4" t="s">
        <v>33</v>
      </c>
      <c r="H82" t="s">
        <v>34</v>
      </c>
    </row>
    <row r="83" spans="1:8" x14ac:dyDescent="0.25">
      <c r="A83" s="77"/>
      <c r="C83" t="s">
        <v>92</v>
      </c>
      <c r="D83">
        <v>1E-3</v>
      </c>
      <c r="G83" s="4"/>
    </row>
    <row r="84" spans="1:8" x14ac:dyDescent="0.25">
      <c r="A84" s="77"/>
      <c r="C84" t="s">
        <v>93</v>
      </c>
      <c r="D84">
        <v>5.0000000000000001E-3</v>
      </c>
    </row>
    <row r="85" spans="1:8" x14ac:dyDescent="0.25">
      <c r="A85" s="77"/>
      <c r="C85" t="s">
        <v>94</v>
      </c>
      <c r="D85">
        <v>1.4999999999999999E-2</v>
      </c>
    </row>
    <row r="86" spans="1:8" x14ac:dyDescent="0.25">
      <c r="A86" s="77"/>
      <c r="C86" t="s">
        <v>95</v>
      </c>
      <c r="D86">
        <v>0.01</v>
      </c>
    </row>
    <row r="87" spans="1:8" x14ac:dyDescent="0.25">
      <c r="A87" s="77"/>
      <c r="C87" t="s">
        <v>108</v>
      </c>
      <c r="D87">
        <v>0.02</v>
      </c>
    </row>
    <row r="88" spans="1:8" x14ac:dyDescent="0.25">
      <c r="A88" s="77"/>
      <c r="B88" s="5"/>
      <c r="C88" s="5" t="s">
        <v>105</v>
      </c>
      <c r="D88" s="5">
        <f>D79*D81</f>
        <v>1.2855227380646772</v>
      </c>
      <c r="E88" s="5"/>
    </row>
    <row r="89" spans="1:8" x14ac:dyDescent="0.25">
      <c r="A89" s="77"/>
      <c r="B89" s="5"/>
      <c r="C89" s="5" t="s">
        <v>106</v>
      </c>
      <c r="D89" s="5">
        <f>D79*D83</f>
        <v>4.2850757935489245E-2</v>
      </c>
      <c r="E89" s="5"/>
    </row>
    <row r="90" spans="1:8" x14ac:dyDescent="0.25">
      <c r="A90" s="77"/>
      <c r="B90" s="5"/>
      <c r="C90" s="5" t="s">
        <v>107</v>
      </c>
      <c r="D90" s="5">
        <f>D79*D85</f>
        <v>0.6427613690323386</v>
      </c>
      <c r="E90" s="5"/>
    </row>
    <row r="91" spans="1:8" x14ac:dyDescent="0.25">
      <c r="A91" s="77"/>
      <c r="B91" s="5"/>
      <c r="C91" s="5" t="s">
        <v>109</v>
      </c>
      <c r="D91" s="10">
        <f>D79*D87</f>
        <v>0.85701515870978484</v>
      </c>
      <c r="E91" s="5"/>
    </row>
    <row r="92" spans="1:8" x14ac:dyDescent="0.25">
      <c r="A92" s="77"/>
      <c r="B92" s="5"/>
      <c r="C92" s="5" t="s">
        <v>110</v>
      </c>
      <c r="D92" s="5">
        <f>D88*D14*2</f>
        <v>15.426272856776126</v>
      </c>
      <c r="E92" s="5"/>
    </row>
    <row r="93" spans="1:8" x14ac:dyDescent="0.25">
      <c r="A93" s="77"/>
      <c r="B93" s="5"/>
      <c r="C93" s="5" t="s">
        <v>111</v>
      </c>
      <c r="D93" s="5">
        <f>D89*D14*2</f>
        <v>0.51420909522587088</v>
      </c>
      <c r="E93" s="5"/>
    </row>
    <row r="94" spans="1:8" x14ac:dyDescent="0.25">
      <c r="A94" s="77"/>
      <c r="B94" s="5"/>
      <c r="C94" s="5" t="s">
        <v>112</v>
      </c>
      <c r="D94" s="5">
        <f>D90*D14*2</f>
        <v>7.7131364283880632</v>
      </c>
      <c r="E94" s="5"/>
    </row>
    <row r="95" spans="1:8" x14ac:dyDescent="0.25">
      <c r="A95" s="77"/>
      <c r="B95" s="5"/>
      <c r="C95" s="5" t="s">
        <v>113</v>
      </c>
      <c r="D95" s="10">
        <f>D91*D14*2</f>
        <v>10.284181904517418</v>
      </c>
      <c r="E95" s="5"/>
    </row>
    <row r="97" spans="1:11" x14ac:dyDescent="0.25">
      <c r="C97" s="2" t="s">
        <v>18</v>
      </c>
      <c r="D97" s="3">
        <f>D43+D27+D67</f>
        <v>7.2630499999999998</v>
      </c>
    </row>
    <row r="99" spans="1:11" ht="15" customHeight="1" x14ac:dyDescent="0.25">
      <c r="A99" s="76" t="s">
        <v>1014</v>
      </c>
      <c r="B99" s="7" t="s">
        <v>993</v>
      </c>
      <c r="C99" s="7" t="s">
        <v>17</v>
      </c>
      <c r="D99" s="7">
        <f>D12</f>
        <v>14000</v>
      </c>
      <c r="E99" t="s">
        <v>21</v>
      </c>
    </row>
    <row r="100" spans="1:11" x14ac:dyDescent="0.25">
      <c r="A100" s="76"/>
      <c r="B100" s="7" t="s">
        <v>994</v>
      </c>
      <c r="C100" s="7" t="s">
        <v>72</v>
      </c>
      <c r="D100" s="7">
        <f>D2</f>
        <v>200</v>
      </c>
      <c r="E100" t="s">
        <v>22</v>
      </c>
    </row>
    <row r="101" spans="1:11" x14ac:dyDescent="0.25">
      <c r="A101" s="76"/>
      <c r="B101" s="7" t="s">
        <v>47</v>
      </c>
      <c r="C101" s="7" t="s">
        <v>46</v>
      </c>
      <c r="D101" s="7">
        <f>D3</f>
        <v>16000</v>
      </c>
      <c r="E101" t="s">
        <v>68</v>
      </c>
    </row>
    <row r="102" spans="1:11" x14ac:dyDescent="0.25">
      <c r="A102" s="76"/>
      <c r="B102" t="s">
        <v>986</v>
      </c>
      <c r="C102" t="s">
        <v>987</v>
      </c>
      <c r="D102">
        <f>D23</f>
        <v>8.3333333333333343E-2</v>
      </c>
      <c r="E102" t="s">
        <v>20</v>
      </c>
    </row>
    <row r="103" spans="1:11" x14ac:dyDescent="0.25">
      <c r="A103" s="76"/>
      <c r="B103" t="s">
        <v>37</v>
      </c>
      <c r="C103" t="s">
        <v>43</v>
      </c>
      <c r="D103">
        <f>D5</f>
        <v>35.400000000000006</v>
      </c>
      <c r="E103" t="s">
        <v>21</v>
      </c>
    </row>
    <row r="104" spans="1:11" x14ac:dyDescent="0.25">
      <c r="A104" s="76"/>
      <c r="B104" t="s">
        <v>38</v>
      </c>
      <c r="C104" t="s">
        <v>42</v>
      </c>
      <c r="D104">
        <f>D7</f>
        <v>44.1</v>
      </c>
    </row>
    <row r="105" spans="1:11" x14ac:dyDescent="0.25">
      <c r="A105" s="76"/>
      <c r="B105" s="7" t="s">
        <v>60</v>
      </c>
      <c r="C105" s="7" t="s">
        <v>61</v>
      </c>
      <c r="D105" s="9">
        <f>D99/2</f>
        <v>7000</v>
      </c>
      <c r="E105" s="7" t="s">
        <v>21</v>
      </c>
    </row>
    <row r="106" spans="1:11" x14ac:dyDescent="0.25">
      <c r="A106" s="76"/>
      <c r="B106" t="s">
        <v>56</v>
      </c>
      <c r="C106" s="7" t="s">
        <v>57</v>
      </c>
      <c r="D106" s="52">
        <v>0.38</v>
      </c>
      <c r="E106" t="s">
        <v>984</v>
      </c>
    </row>
    <row r="107" spans="1:11" x14ac:dyDescent="0.25">
      <c r="A107" s="76"/>
      <c r="B107" t="s">
        <v>55</v>
      </c>
      <c r="D107" s="52">
        <v>6.9999999999999999E-4</v>
      </c>
      <c r="E107" t="s">
        <v>207</v>
      </c>
    </row>
    <row r="108" spans="1:11" x14ac:dyDescent="0.25">
      <c r="A108" s="76"/>
      <c r="B108" t="s">
        <v>49</v>
      </c>
      <c r="C108" t="s">
        <v>50</v>
      </c>
      <c r="D108" s="54">
        <f>K118*10^9</f>
        <v>552.77777777777771</v>
      </c>
      <c r="E108" t="s">
        <v>985</v>
      </c>
    </row>
    <row r="109" spans="1:11" x14ac:dyDescent="0.25">
      <c r="A109" s="76"/>
      <c r="C109" t="s">
        <v>36</v>
      </c>
      <c r="D109" s="52">
        <v>0.9</v>
      </c>
    </row>
    <row r="110" spans="1:11" x14ac:dyDescent="0.25">
      <c r="A110" s="76"/>
      <c r="B110" t="s">
        <v>39</v>
      </c>
      <c r="C110" s="57" t="s">
        <v>41</v>
      </c>
      <c r="D110" s="52">
        <v>0.5</v>
      </c>
    </row>
    <row r="111" spans="1:11" x14ac:dyDescent="0.25">
      <c r="A111" s="76"/>
      <c r="B111" t="s">
        <v>558</v>
      </c>
      <c r="C111" s="57" t="s">
        <v>559</v>
      </c>
      <c r="D111" s="51">
        <f>D100/D101</f>
        <v>1.2500000000000001E-2</v>
      </c>
      <c r="E111" t="s">
        <v>25</v>
      </c>
      <c r="G111" s="75" t="s">
        <v>1013</v>
      </c>
      <c r="H111" s="75"/>
      <c r="I111" s="75"/>
      <c r="J111" s="75"/>
      <c r="K111" s="75"/>
    </row>
    <row r="112" spans="1:11" x14ac:dyDescent="0.25">
      <c r="A112" s="76"/>
      <c r="B112" t="s">
        <v>1029</v>
      </c>
      <c r="C112" s="57" t="s">
        <v>1020</v>
      </c>
      <c r="D112" s="51">
        <f>POWER(D103, 2)*POWER(D110/D101, 2)/(2*D111)</f>
        <v>4.8951562500000008E-5</v>
      </c>
      <c r="G112" s="68"/>
      <c r="H112" s="68"/>
      <c r="I112" s="68"/>
      <c r="J112" s="68"/>
      <c r="K112" s="68"/>
    </row>
    <row r="113" spans="1:26" x14ac:dyDescent="0.25">
      <c r="A113" s="76"/>
      <c r="B113" t="s">
        <v>1030</v>
      </c>
      <c r="C113" t="s">
        <v>1019</v>
      </c>
      <c r="D113" s="51">
        <f>D112</f>
        <v>4.8951562500000008E-5</v>
      </c>
      <c r="E113" t="s">
        <v>154</v>
      </c>
      <c r="G113" t="s">
        <v>1009</v>
      </c>
      <c r="I113">
        <v>6</v>
      </c>
      <c r="J113">
        <v>6</v>
      </c>
      <c r="K113">
        <v>6</v>
      </c>
      <c r="L113">
        <v>6</v>
      </c>
    </row>
    <row r="114" spans="1:26" x14ac:dyDescent="0.25">
      <c r="A114" s="76"/>
      <c r="B114" t="s">
        <v>40</v>
      </c>
      <c r="C114" s="57" t="s">
        <v>35</v>
      </c>
      <c r="D114" s="27">
        <f>POWER(2*D111/D113, 0.5)</f>
        <v>22.598870056497173</v>
      </c>
      <c r="E114" t="s">
        <v>20</v>
      </c>
      <c r="G114" t="s">
        <v>1010</v>
      </c>
      <c r="H114" t="s">
        <v>133</v>
      </c>
      <c r="I114">
        <v>0</v>
      </c>
      <c r="J114">
        <v>1</v>
      </c>
      <c r="K114">
        <v>2</v>
      </c>
      <c r="L114">
        <v>3</v>
      </c>
    </row>
    <row r="115" spans="1:26" x14ac:dyDescent="0.25">
      <c r="A115" s="76"/>
      <c r="C115" s="57" t="s">
        <v>1032</v>
      </c>
      <c r="D115" s="51">
        <f>0.5*D113*POWER(D114, 2)</f>
        <v>1.2499999999999999E-2</v>
      </c>
    </row>
    <row r="116" spans="1:26" x14ac:dyDescent="0.25">
      <c r="A116" s="76"/>
      <c r="C116" s="57" t="s">
        <v>1033</v>
      </c>
      <c r="D116" s="51" t="b">
        <f>D115&gt;=D111</f>
        <v>1</v>
      </c>
    </row>
    <row r="117" spans="1:26" x14ac:dyDescent="0.25">
      <c r="A117" s="76"/>
      <c r="B117" t="s">
        <v>62</v>
      </c>
      <c r="D117">
        <f>D114/D124</f>
        <v>8.3333333333333343E-2</v>
      </c>
      <c r="G117" t="s">
        <v>1011</v>
      </c>
      <c r="H117" t="s">
        <v>154</v>
      </c>
      <c r="I117" s="1">
        <v>1.8770000000000001E-4</v>
      </c>
      <c r="J117" s="1">
        <v>2.4600000000000002E-5</v>
      </c>
      <c r="K117" s="1">
        <v>1.9899999999999999E-5</v>
      </c>
      <c r="L117" s="1">
        <v>1.7799999999999999E-5</v>
      </c>
    </row>
    <row r="118" spans="1:26" x14ac:dyDescent="0.25">
      <c r="A118" s="76"/>
      <c r="B118" t="s">
        <v>51</v>
      </c>
      <c r="C118" t="s">
        <v>52</v>
      </c>
      <c r="D118" s="27">
        <f>POWER(D113*(1000000000)/D108, 0.5)</f>
        <v>9.4103979964856599</v>
      </c>
      <c r="G118" t="s">
        <v>1012</v>
      </c>
      <c r="I118">
        <f>I117/POWER(I113, 2)</f>
        <v>5.2138888888888888E-6</v>
      </c>
      <c r="J118">
        <f t="shared" ref="J118:L118" si="0">J117/POWER(J113, 2)</f>
        <v>6.8333333333333339E-7</v>
      </c>
      <c r="K118">
        <f t="shared" si="0"/>
        <v>5.5277777777777772E-7</v>
      </c>
      <c r="L118">
        <f t="shared" si="0"/>
        <v>4.9444444444444438E-7</v>
      </c>
      <c r="M118" t="e">
        <f t="shared" ref="M118" si="1">M117/POWER(M113, 2)</f>
        <v>#DIV/0!</v>
      </c>
      <c r="N118" t="e">
        <f t="shared" ref="N118" si="2">N117/POWER(N113, 2)</f>
        <v>#DIV/0!</v>
      </c>
      <c r="O118" t="e">
        <f t="shared" ref="O118" si="3">O117/POWER(O113, 2)</f>
        <v>#DIV/0!</v>
      </c>
      <c r="P118" t="e">
        <f t="shared" ref="P118" si="4">P117/POWER(P113, 2)</f>
        <v>#DIV/0!</v>
      </c>
      <c r="Q118" t="e">
        <f t="shared" ref="Q118" si="5">Q117/POWER(Q113, 2)</f>
        <v>#DIV/0!</v>
      </c>
      <c r="R118" t="e">
        <f t="shared" ref="R118" si="6">R117/POWER(R113, 2)</f>
        <v>#DIV/0!</v>
      </c>
      <c r="S118" t="e">
        <f t="shared" ref="S118" si="7">S117/POWER(S113, 2)</f>
        <v>#DIV/0!</v>
      </c>
      <c r="T118" t="e">
        <f t="shared" ref="T118" si="8">T117/POWER(T113, 2)</f>
        <v>#DIV/0!</v>
      </c>
      <c r="U118" t="e">
        <f t="shared" ref="U118" si="9">U117/POWER(U113, 2)</f>
        <v>#DIV/0!</v>
      </c>
      <c r="V118" t="e">
        <f t="shared" ref="V118" si="10">V117/POWER(V113, 2)</f>
        <v>#DIV/0!</v>
      </c>
      <c r="W118" t="e">
        <f t="shared" ref="W118" si="11">W117/POWER(W113, 2)</f>
        <v>#DIV/0!</v>
      </c>
      <c r="X118" t="e">
        <f t="shared" ref="X118" si="12">X117/POWER(X113, 2)</f>
        <v>#DIV/0!</v>
      </c>
      <c r="Y118" t="e">
        <f t="shared" ref="Y118" si="13">Y117/POWER(Y113, 2)</f>
        <v>#DIV/0!</v>
      </c>
      <c r="Z118" t="e">
        <f t="shared" ref="Z118" si="14">Z117/POWER(Z113, 2)</f>
        <v>#DIV/0!</v>
      </c>
    </row>
    <row r="119" spans="1:26" x14ac:dyDescent="0.25">
      <c r="A119" s="76"/>
      <c r="B119" t="s">
        <v>53</v>
      </c>
      <c r="C119" t="s">
        <v>54</v>
      </c>
      <c r="D119" s="27">
        <f>(D7 * D110) / (D118 * D107 * D101)</f>
        <v>0.20921006749504489</v>
      </c>
      <c r="E119" t="s">
        <v>984</v>
      </c>
    </row>
    <row r="120" spans="1:26" x14ac:dyDescent="0.25">
      <c r="A120" s="76"/>
      <c r="C120" t="s">
        <v>58</v>
      </c>
      <c r="D120" s="27" t="b">
        <f>D119&gt;D106</f>
        <v>0</v>
      </c>
    </row>
    <row r="121" spans="1:26" x14ac:dyDescent="0.25">
      <c r="A121" s="76"/>
      <c r="B121" t="s">
        <v>1021</v>
      </c>
      <c r="C121" t="s">
        <v>1022</v>
      </c>
      <c r="D121" s="27">
        <f>D114/D102</f>
        <v>271.18644067796606</v>
      </c>
    </row>
    <row r="122" spans="1:26" x14ac:dyDescent="0.25">
      <c r="A122" s="76"/>
      <c r="B122" t="s">
        <v>1024</v>
      </c>
      <c r="C122" t="s">
        <v>1025</v>
      </c>
      <c r="D122" s="27">
        <f>D99/(2*D104)</f>
        <v>158.73015873015873</v>
      </c>
    </row>
    <row r="123" spans="1:26" x14ac:dyDescent="0.25">
      <c r="A123" s="76"/>
      <c r="B123" t="s">
        <v>1023</v>
      </c>
      <c r="C123" t="s">
        <v>1026</v>
      </c>
      <c r="D123" s="27">
        <f>D99/(2*D103)</f>
        <v>197.74011299435026</v>
      </c>
    </row>
    <row r="124" spans="1:26" x14ac:dyDescent="0.25">
      <c r="A124" s="76"/>
      <c r="B124" t="s">
        <v>1027</v>
      </c>
      <c r="C124" t="s">
        <v>1028</v>
      </c>
      <c r="D124" s="27">
        <f>D121</f>
        <v>271.18644067796606</v>
      </c>
    </row>
    <row r="125" spans="1:26" x14ac:dyDescent="0.25">
      <c r="A125" s="76"/>
      <c r="B125" t="s">
        <v>1037</v>
      </c>
      <c r="C125" t="s">
        <v>562</v>
      </c>
      <c r="D125" s="27">
        <f>1/D124</f>
        <v>3.6875000000000007E-3</v>
      </c>
    </row>
    <row r="126" spans="1:26" x14ac:dyDescent="0.25">
      <c r="A126" s="76"/>
      <c r="C126" t="s">
        <v>1031</v>
      </c>
      <c r="D126" s="27" t="b">
        <f>D124&gt;=D121</f>
        <v>1</v>
      </c>
    </row>
    <row r="127" spans="1:26" x14ac:dyDescent="0.25">
      <c r="A127" s="76"/>
      <c r="C127" t="s">
        <v>1034</v>
      </c>
      <c r="D127" s="27">
        <f>(D105/D103)/D121</f>
        <v>0.72916666666666663</v>
      </c>
    </row>
    <row r="128" spans="1:26" x14ac:dyDescent="0.25">
      <c r="A128" s="76"/>
      <c r="C128" t="s">
        <v>1035</v>
      </c>
      <c r="D128" s="27">
        <f>(D105/D104)/D121</f>
        <v>0.58531746031746046</v>
      </c>
    </row>
    <row r="129" spans="1:6" x14ac:dyDescent="0.25">
      <c r="A129" s="76"/>
      <c r="C129" t="s">
        <v>1036</v>
      </c>
      <c r="D129" t="b">
        <f>OR(D127&lt;1, D128&lt;1)</f>
        <v>1</v>
      </c>
    </row>
    <row r="130" spans="1:6" x14ac:dyDescent="0.25">
      <c r="A130" s="76"/>
      <c r="D130" s="27" t="str">
        <f>IF(D129, "Demagnetisation may not complete with 0.5 duty cycle", "Demagnetisation should complete for 0.5 duty cycle")</f>
        <v>Demagnetisation may not complete with 0.5 duty cycle</v>
      </c>
    </row>
    <row r="131" spans="1:6" x14ac:dyDescent="0.25">
      <c r="A131" s="76"/>
      <c r="D131" s="27"/>
    </row>
    <row r="132" spans="1:6" x14ac:dyDescent="0.25">
      <c r="A132" s="76"/>
      <c r="C132" t="s">
        <v>63</v>
      </c>
      <c r="D132" s="27" t="b">
        <f>D102&lt;=D23</f>
        <v>1</v>
      </c>
    </row>
    <row r="133" spans="1:6" x14ac:dyDescent="0.25">
      <c r="A133" s="76"/>
      <c r="B133" s="58" t="s">
        <v>988</v>
      </c>
      <c r="C133" s="58" t="s">
        <v>992</v>
      </c>
      <c r="D133" s="59">
        <f>2*D100/(POWER(D102, 2)*D109*D101)</f>
        <v>3.9999999999999996</v>
      </c>
      <c r="E133" s="58" t="s">
        <v>154</v>
      </c>
      <c r="F133">
        <v>8.5069444444444393</v>
      </c>
    </row>
    <row r="134" spans="1:6" x14ac:dyDescent="0.25">
      <c r="A134" s="76"/>
      <c r="B134" s="70" t="s">
        <v>989</v>
      </c>
      <c r="C134" s="70" t="s">
        <v>990</v>
      </c>
      <c r="D134" s="71">
        <f>D113*POWER(D124,2)</f>
        <v>3.6</v>
      </c>
      <c r="E134" s="70"/>
    </row>
    <row r="135" spans="1:6" x14ac:dyDescent="0.25">
      <c r="A135" s="76"/>
      <c r="B135" s="70" t="s">
        <v>791</v>
      </c>
      <c r="C135" s="70" t="s">
        <v>991</v>
      </c>
      <c r="D135" s="72">
        <f>D134</f>
        <v>3.6</v>
      </c>
      <c r="E135" s="70" t="s">
        <v>154</v>
      </c>
      <c r="F135" t="s">
        <v>792</v>
      </c>
    </row>
    <row r="136" spans="1:6" x14ac:dyDescent="0.25">
      <c r="A136" s="76"/>
      <c r="B136" t="s">
        <v>168</v>
      </c>
      <c r="C136" t="s">
        <v>169</v>
      </c>
      <c r="D136" s="27">
        <f xml:space="preserve"> D124*D118</f>
        <v>2551.9723380300093</v>
      </c>
    </row>
    <row r="137" spans="1:6" x14ac:dyDescent="0.25">
      <c r="A137" s="50"/>
      <c r="D137" s="27"/>
    </row>
    <row r="138" spans="1:6" x14ac:dyDescent="0.25">
      <c r="A138" s="76" t="s">
        <v>1015</v>
      </c>
      <c r="B138" s="7" t="s">
        <v>1008</v>
      </c>
      <c r="C138" t="s">
        <v>4</v>
      </c>
      <c r="D138">
        <v>1.2</v>
      </c>
    </row>
    <row r="139" spans="1:6" x14ac:dyDescent="0.25">
      <c r="A139" s="76"/>
      <c r="B139" s="7" t="s">
        <v>993</v>
      </c>
      <c r="C139" s="7" t="s">
        <v>17</v>
      </c>
      <c r="D139" s="7">
        <f>D39</f>
        <v>8.2051282051282051E-2</v>
      </c>
      <c r="E139" t="s">
        <v>21</v>
      </c>
    </row>
    <row r="140" spans="1:6" x14ac:dyDescent="0.25">
      <c r="A140" s="76"/>
      <c r="B140" s="7" t="s">
        <v>994</v>
      </c>
      <c r="C140" s="7" t="s">
        <v>72</v>
      </c>
      <c r="D140" s="7">
        <v>200</v>
      </c>
      <c r="E140" t="s">
        <v>22</v>
      </c>
    </row>
    <row r="141" spans="1:6" x14ac:dyDescent="0.25">
      <c r="A141" s="76"/>
      <c r="B141" s="7" t="s">
        <v>47</v>
      </c>
      <c r="C141" s="7" t="s">
        <v>46</v>
      </c>
      <c r="D141" s="7">
        <f>D3</f>
        <v>16000</v>
      </c>
      <c r="E141" t="s">
        <v>68</v>
      </c>
    </row>
    <row r="142" spans="1:6" x14ac:dyDescent="0.25">
      <c r="A142" s="76"/>
      <c r="B142" t="s">
        <v>986</v>
      </c>
      <c r="C142" t="s">
        <v>987</v>
      </c>
      <c r="D142">
        <f>8/D138</f>
        <v>6.666666666666667</v>
      </c>
      <c r="E142" t="s">
        <v>20</v>
      </c>
    </row>
    <row r="143" spans="1:6" x14ac:dyDescent="0.25">
      <c r="A143" s="76"/>
      <c r="B143" t="s">
        <v>38</v>
      </c>
      <c r="C143" t="s">
        <v>42</v>
      </c>
      <c r="D143">
        <f>D7</f>
        <v>44.1</v>
      </c>
      <c r="E143" t="s">
        <v>21</v>
      </c>
    </row>
    <row r="144" spans="1:6" x14ac:dyDescent="0.25">
      <c r="A144" s="76"/>
      <c r="B144" s="7" t="s">
        <v>1016</v>
      </c>
      <c r="C144" s="7" t="s">
        <v>1017</v>
      </c>
      <c r="D144" s="9">
        <f>600/(D138*2)</f>
        <v>250</v>
      </c>
      <c r="E144" s="7" t="s">
        <v>21</v>
      </c>
    </row>
    <row r="145" spans="1:5" x14ac:dyDescent="0.25">
      <c r="A145" s="76"/>
      <c r="B145" t="s">
        <v>56</v>
      </c>
      <c r="C145" s="7" t="s">
        <v>57</v>
      </c>
      <c r="D145" s="52">
        <v>0.38</v>
      </c>
      <c r="E145" t="s">
        <v>984</v>
      </c>
    </row>
    <row r="146" spans="1:5" x14ac:dyDescent="0.25">
      <c r="A146" s="76"/>
      <c r="B146" t="s">
        <v>55</v>
      </c>
      <c r="D146" s="52">
        <v>6.9999999999999999E-4</v>
      </c>
      <c r="E146" t="s">
        <v>207</v>
      </c>
    </row>
    <row r="147" spans="1:5" x14ac:dyDescent="0.25">
      <c r="A147" s="76"/>
      <c r="B147" t="s">
        <v>49</v>
      </c>
      <c r="C147" t="s">
        <v>50</v>
      </c>
      <c r="D147" s="52">
        <f>(1000000000)*K118</f>
        <v>552.77777777777771</v>
      </c>
      <c r="E147" t="s">
        <v>985</v>
      </c>
    </row>
    <row r="148" spans="1:5" x14ac:dyDescent="0.25">
      <c r="A148" s="76"/>
      <c r="C148" t="s">
        <v>36</v>
      </c>
      <c r="D148" s="52">
        <v>0.9</v>
      </c>
    </row>
    <row r="149" spans="1:5" x14ac:dyDescent="0.25">
      <c r="A149" s="76"/>
      <c r="B149" t="s">
        <v>137</v>
      </c>
      <c r="C149" s="57" t="s">
        <v>1018</v>
      </c>
      <c r="D149" s="52">
        <v>0.5</v>
      </c>
    </row>
    <row r="150" spans="1:5" x14ac:dyDescent="0.25">
      <c r="A150" s="76"/>
      <c r="B150" t="s">
        <v>558</v>
      </c>
      <c r="C150" s="57" t="s">
        <v>559</v>
      </c>
      <c r="D150" s="51">
        <f>D140/D141</f>
        <v>1.2500000000000001E-2</v>
      </c>
      <c r="E150" t="s">
        <v>25</v>
      </c>
    </row>
    <row r="151" spans="1:5" x14ac:dyDescent="0.25">
      <c r="A151" s="76"/>
      <c r="B151" t="s">
        <v>44</v>
      </c>
      <c r="C151" t="s">
        <v>45</v>
      </c>
      <c r="D151" s="51">
        <f>POWER(D143, 2)*POWER(D149/D141, 2)/(2*D150)</f>
        <v>7.5969140624999998E-5</v>
      </c>
      <c r="E151" t="s">
        <v>154</v>
      </c>
    </row>
    <row r="152" spans="1:5" x14ac:dyDescent="0.25">
      <c r="A152" s="76"/>
      <c r="B152" t="s">
        <v>40</v>
      </c>
      <c r="C152" s="57" t="s">
        <v>35</v>
      </c>
      <c r="D152" s="27">
        <f>POWER(2*D150/D151, 0.5)</f>
        <v>18.140589569160998</v>
      </c>
      <c r="E152" t="s">
        <v>20</v>
      </c>
    </row>
    <row r="153" spans="1:5" x14ac:dyDescent="0.25">
      <c r="A153" s="76"/>
      <c r="B153" t="s">
        <v>62</v>
      </c>
      <c r="D153">
        <f>D152/D157</f>
        <v>6.666666666666667</v>
      </c>
    </row>
    <row r="154" spans="1:5" x14ac:dyDescent="0.25">
      <c r="A154" s="76"/>
      <c r="B154" t="s">
        <v>51</v>
      </c>
      <c r="C154" t="s">
        <v>52</v>
      </c>
      <c r="D154" s="27">
        <f>POWER(D151*(1000000000)/D147, 0.5)</f>
        <v>11.723122927825354</v>
      </c>
    </row>
    <row r="155" spans="1:5" x14ac:dyDescent="0.25">
      <c r="A155" s="76"/>
      <c r="B155" t="s">
        <v>53</v>
      </c>
      <c r="C155" t="s">
        <v>54</v>
      </c>
      <c r="D155" s="27">
        <f>(D34 * D149) / (D154 * D146 * D141)</f>
        <v>1.9040513955925233E-2</v>
      </c>
      <c r="E155" t="s">
        <v>984</v>
      </c>
    </row>
    <row r="156" spans="1:5" x14ac:dyDescent="0.25">
      <c r="A156" s="76"/>
      <c r="C156" t="s">
        <v>58</v>
      </c>
      <c r="D156" s="27" t="b">
        <f>D155&gt;D145</f>
        <v>0</v>
      </c>
    </row>
    <row r="157" spans="1:5" x14ac:dyDescent="0.25">
      <c r="A157" s="76"/>
      <c r="B157" t="s">
        <v>560</v>
      </c>
      <c r="C157" t="s">
        <v>563</v>
      </c>
      <c r="D157" s="27">
        <f>D152/D142</f>
        <v>2.7210884353741496</v>
      </c>
    </row>
    <row r="158" spans="1:5" x14ac:dyDescent="0.25">
      <c r="A158" s="76"/>
      <c r="B158" t="s">
        <v>561</v>
      </c>
      <c r="C158" t="s">
        <v>562</v>
      </c>
      <c r="D158" s="27">
        <f>1/D157</f>
        <v>0.36749999999999999</v>
      </c>
    </row>
    <row r="159" spans="1:5" x14ac:dyDescent="0.25">
      <c r="A159" s="76"/>
    </row>
    <row r="160" spans="1:5" x14ac:dyDescent="0.25">
      <c r="A160" s="76"/>
      <c r="C160" t="s">
        <v>63</v>
      </c>
      <c r="D160" s="27" t="b">
        <f>D142&lt;=D142</f>
        <v>1</v>
      </c>
    </row>
    <row r="161" spans="1:5" x14ac:dyDescent="0.25">
      <c r="A161" s="76"/>
      <c r="B161" s="58" t="s">
        <v>988</v>
      </c>
      <c r="C161" s="58" t="s">
        <v>992</v>
      </c>
      <c r="D161" s="59">
        <f>2*D140/(POWER(D142, 2)*D148*D141)</f>
        <v>6.249999999999999E-4</v>
      </c>
      <c r="E161" s="58" t="s">
        <v>154</v>
      </c>
    </row>
    <row r="162" spans="1:5" x14ac:dyDescent="0.25">
      <c r="A162" s="76"/>
      <c r="B162" t="s">
        <v>989</v>
      </c>
      <c r="C162" t="s">
        <v>990</v>
      </c>
      <c r="D162" s="27">
        <f>D151*POWER(D157,2)</f>
        <v>5.6249999999999996E-4</v>
      </c>
    </row>
    <row r="163" spans="1:5" x14ac:dyDescent="0.25">
      <c r="A163" s="76"/>
      <c r="B163" t="s">
        <v>791</v>
      </c>
      <c r="C163" t="s">
        <v>991</v>
      </c>
      <c r="D163" s="52">
        <f>D162</f>
        <v>5.6249999999999996E-4</v>
      </c>
      <c r="E163" t="s">
        <v>154</v>
      </c>
    </row>
    <row r="164" spans="1:5" x14ac:dyDescent="0.25">
      <c r="A164" s="76"/>
      <c r="B164" t="s">
        <v>168</v>
      </c>
      <c r="C164" t="s">
        <v>169</v>
      </c>
      <c r="D164" s="27">
        <f xml:space="preserve"> D157*D154</f>
        <v>31.899654225375112</v>
      </c>
    </row>
    <row r="165" spans="1:5" x14ac:dyDescent="0.25">
      <c r="A165" s="31"/>
      <c r="D165" s="27"/>
    </row>
    <row r="166" spans="1:5" x14ac:dyDescent="0.25">
      <c r="A166" s="31"/>
      <c r="D166" s="27"/>
    </row>
    <row r="167" spans="1:5" x14ac:dyDescent="0.25">
      <c r="A167" s="76" t="s">
        <v>1005</v>
      </c>
      <c r="B167" t="s">
        <v>62</v>
      </c>
      <c r="D167" s="35">
        <f>D117</f>
        <v>8.3333333333333343E-2</v>
      </c>
    </row>
    <row r="168" spans="1:5" x14ac:dyDescent="0.25">
      <c r="A168" s="76"/>
      <c r="B168" t="s">
        <v>168</v>
      </c>
      <c r="C168" t="s">
        <v>169</v>
      </c>
      <c r="D168" s="27">
        <f>D136</f>
        <v>2551.9723380300093</v>
      </c>
    </row>
    <row r="169" spans="1:5" x14ac:dyDescent="0.25">
      <c r="A169" s="76"/>
      <c r="B169" t="s">
        <v>1001</v>
      </c>
      <c r="C169" t="s">
        <v>170</v>
      </c>
      <c r="D169" s="52">
        <v>6</v>
      </c>
    </row>
    <row r="170" spans="1:5" x14ac:dyDescent="0.25">
      <c r="A170" s="76"/>
      <c r="B170" t="s">
        <v>1002</v>
      </c>
      <c r="C170" t="s">
        <v>218</v>
      </c>
      <c r="D170" s="27">
        <f>D168/D169</f>
        <v>425.32872300500156</v>
      </c>
    </row>
    <row r="171" spans="1:5" x14ac:dyDescent="0.25">
      <c r="A171" s="76"/>
      <c r="C171" t="s">
        <v>181</v>
      </c>
      <c r="D171" s="52">
        <v>33</v>
      </c>
      <c r="E171" t="s">
        <v>133</v>
      </c>
    </row>
    <row r="172" spans="1:5" x14ac:dyDescent="0.25">
      <c r="A172" s="76"/>
      <c r="C172" t="s">
        <v>179</v>
      </c>
      <c r="D172" s="52">
        <v>74</v>
      </c>
      <c r="E172" t="s">
        <v>133</v>
      </c>
    </row>
    <row r="173" spans="1:5" x14ac:dyDescent="0.25">
      <c r="A173" s="76"/>
      <c r="C173" t="s">
        <v>178</v>
      </c>
      <c r="D173" s="52">
        <v>4</v>
      </c>
    </row>
    <row r="174" spans="1:5" x14ac:dyDescent="0.25">
      <c r="A174" s="76"/>
      <c r="C174" t="s">
        <v>172</v>
      </c>
      <c r="D174" s="27">
        <f>D172-(D173*2)</f>
        <v>66</v>
      </c>
      <c r="E174" t="s">
        <v>133</v>
      </c>
    </row>
    <row r="175" spans="1:5" x14ac:dyDescent="0.25">
      <c r="A175" s="76"/>
      <c r="C175" t="s">
        <v>173</v>
      </c>
      <c r="D175" s="27">
        <f>D174/D169</f>
        <v>11</v>
      </c>
      <c r="E175" t="s">
        <v>133</v>
      </c>
    </row>
    <row r="176" spans="1:5" x14ac:dyDescent="0.25">
      <c r="A176" s="76"/>
      <c r="C176" t="s">
        <v>174</v>
      </c>
      <c r="D176" s="52">
        <v>0.25</v>
      </c>
      <c r="E176" t="s">
        <v>133</v>
      </c>
    </row>
    <row r="177" spans="1:5" x14ac:dyDescent="0.25">
      <c r="A177" s="76"/>
      <c r="C177" t="s">
        <v>183</v>
      </c>
      <c r="D177" s="27">
        <f>D176/2000</f>
        <v>1.25E-4</v>
      </c>
      <c r="E177" t="s">
        <v>206</v>
      </c>
    </row>
    <row r="178" spans="1:5" x14ac:dyDescent="0.25">
      <c r="A178" s="76"/>
      <c r="C178" t="s">
        <v>175</v>
      </c>
      <c r="D178" s="52">
        <f>0.1</f>
        <v>0.1</v>
      </c>
      <c r="E178" t="s">
        <v>133</v>
      </c>
    </row>
    <row r="179" spans="1:5" x14ac:dyDescent="0.25">
      <c r="A179" s="76"/>
      <c r="C179" t="s">
        <v>176</v>
      </c>
      <c r="D179" s="27">
        <f>D176*(1+D178)</f>
        <v>0.27500000000000002</v>
      </c>
    </row>
    <row r="180" spans="1:5" x14ac:dyDescent="0.25">
      <c r="A180" s="76"/>
      <c r="C180" t="s">
        <v>171</v>
      </c>
      <c r="D180" s="27">
        <f>D168/D169</f>
        <v>425.32872300500156</v>
      </c>
    </row>
    <row r="181" spans="1:5" x14ac:dyDescent="0.25">
      <c r="A181" s="76"/>
      <c r="C181" t="s">
        <v>177</v>
      </c>
      <c r="D181" s="27">
        <f>D175/D179</f>
        <v>40</v>
      </c>
    </row>
    <row r="182" spans="1:5" x14ac:dyDescent="0.25">
      <c r="A182" s="76"/>
      <c r="C182" t="s">
        <v>189</v>
      </c>
      <c r="D182" s="27">
        <f>D180/D181</f>
        <v>10.63321807512504</v>
      </c>
    </row>
    <row r="183" spans="1:5" x14ac:dyDescent="0.25">
      <c r="A183" s="76"/>
      <c r="C183" t="s">
        <v>188</v>
      </c>
      <c r="D183" s="27">
        <f>D182*D176</f>
        <v>2.65830451878126</v>
      </c>
      <c r="E183" t="s">
        <v>133</v>
      </c>
    </row>
    <row r="184" spans="1:5" x14ac:dyDescent="0.25">
      <c r="A184" s="76"/>
      <c r="C184" t="s">
        <v>180</v>
      </c>
      <c r="D184" s="27">
        <f>(D171/2)+(D183/2)</f>
        <v>17.829152259390629</v>
      </c>
      <c r="E184" t="s">
        <v>133</v>
      </c>
    </row>
    <row r="185" spans="1:5" x14ac:dyDescent="0.25">
      <c r="A185" s="76"/>
      <c r="C185" t="s">
        <v>182</v>
      </c>
      <c r="D185" s="27">
        <f>(D184/1000)*D168*2*PI()</f>
        <v>285.88181109913074</v>
      </c>
      <c r="E185" t="s">
        <v>206</v>
      </c>
    </row>
    <row r="186" spans="1:5" x14ac:dyDescent="0.25">
      <c r="A186" s="76"/>
      <c r="C186" t="s">
        <v>183</v>
      </c>
      <c r="D186" s="27">
        <f>D176/2000</f>
        <v>1.25E-4</v>
      </c>
      <c r="E186" t="s">
        <v>206</v>
      </c>
    </row>
    <row r="187" spans="1:5" x14ac:dyDescent="0.25">
      <c r="A187" s="76"/>
      <c r="C187" t="s">
        <v>184</v>
      </c>
      <c r="D187" s="27">
        <f>PI()*POWER(D186, 2)*D185</f>
        <v>1.4033190586624595E-5</v>
      </c>
    </row>
    <row r="188" spans="1:5" x14ac:dyDescent="0.25">
      <c r="A188" s="76"/>
      <c r="C188" t="s">
        <v>185</v>
      </c>
      <c r="D188" s="52">
        <v>8960</v>
      </c>
      <c r="E188" t="s">
        <v>186</v>
      </c>
    </row>
    <row r="189" spans="1:5" x14ac:dyDescent="0.25">
      <c r="A189" s="76"/>
      <c r="C189" t="s">
        <v>187</v>
      </c>
      <c r="D189" s="27">
        <f>D188*D187</f>
        <v>0.12573738765615636</v>
      </c>
      <c r="E189" t="s">
        <v>640</v>
      </c>
    </row>
    <row r="190" spans="1:5" x14ac:dyDescent="0.25">
      <c r="A190" s="76"/>
      <c r="C190" t="s">
        <v>216</v>
      </c>
      <c r="D190" s="27">
        <f>(D177^2)*PI()</f>
        <v>4.9087385212340514E-8</v>
      </c>
    </row>
    <row r="191" spans="1:5" x14ac:dyDescent="0.25">
      <c r="A191" s="76"/>
      <c r="C191" t="s">
        <v>195</v>
      </c>
      <c r="D191" s="54">
        <v>1.6800000000000002E-8</v>
      </c>
      <c r="E191" t="s">
        <v>995</v>
      </c>
    </row>
    <row r="192" spans="1:5" ht="15.75" x14ac:dyDescent="0.25">
      <c r="A192" s="76"/>
      <c r="C192" t="s">
        <v>194</v>
      </c>
      <c r="D192" s="51">
        <f>D191*D185/D190</f>
        <v>97.842132060804389</v>
      </c>
      <c r="E192" s="60" t="s">
        <v>24</v>
      </c>
    </row>
    <row r="193" spans="1:6" x14ac:dyDescent="0.25">
      <c r="A193" s="76"/>
      <c r="B193" t="s">
        <v>1003</v>
      </c>
      <c r="C193" t="s">
        <v>196</v>
      </c>
      <c r="D193" s="51">
        <f>POWER(D167/POWER(3, 0.5), 2)*D192</f>
        <v>0.22648641680741763</v>
      </c>
      <c r="E193" t="s">
        <v>217</v>
      </c>
    </row>
    <row r="194" spans="1:6" x14ac:dyDescent="0.25">
      <c r="A194" s="31"/>
      <c r="F194" t="s">
        <v>190</v>
      </c>
    </row>
    <row r="195" spans="1:6" x14ac:dyDescent="0.25">
      <c r="A195" s="31"/>
      <c r="F195" t="s">
        <v>191</v>
      </c>
    </row>
    <row r="196" spans="1:6" x14ac:dyDescent="0.25">
      <c r="A196" s="76" t="s">
        <v>1004</v>
      </c>
      <c r="C196" t="s">
        <v>193</v>
      </c>
      <c r="D196" s="52">
        <v>2</v>
      </c>
      <c r="E196" t="s">
        <v>199</v>
      </c>
    </row>
    <row r="197" spans="1:6" x14ac:dyDescent="0.25">
      <c r="A197" s="76"/>
      <c r="C197" t="s">
        <v>192</v>
      </c>
      <c r="D197" s="52">
        <v>21</v>
      </c>
      <c r="E197" t="s">
        <v>133</v>
      </c>
    </row>
    <row r="198" spans="1:6" x14ac:dyDescent="0.25">
      <c r="A198" s="76"/>
      <c r="C198" t="s">
        <v>197</v>
      </c>
      <c r="D198" s="52">
        <v>0.05</v>
      </c>
      <c r="E198" t="s">
        <v>206</v>
      </c>
    </row>
    <row r="199" spans="1:6" x14ac:dyDescent="0.25">
      <c r="A199" s="76"/>
      <c r="B199" t="s">
        <v>999</v>
      </c>
      <c r="C199" t="s">
        <v>998</v>
      </c>
      <c r="D199" s="35">
        <f>D118</f>
        <v>9.4103979964856599</v>
      </c>
    </row>
    <row r="200" spans="1:6" x14ac:dyDescent="0.25">
      <c r="A200" s="76"/>
      <c r="B200" s="7" t="s">
        <v>47</v>
      </c>
      <c r="C200" s="7" t="s">
        <v>46</v>
      </c>
      <c r="D200" s="7">
        <f>D3</f>
        <v>16000</v>
      </c>
      <c r="E200" t="s">
        <v>68</v>
      </c>
    </row>
    <row r="201" spans="1:6" x14ac:dyDescent="0.25">
      <c r="A201" s="76"/>
      <c r="B201" t="s">
        <v>40</v>
      </c>
      <c r="C201" s="57" t="s">
        <v>35</v>
      </c>
      <c r="D201" s="27">
        <f>D114</f>
        <v>22.598870056497173</v>
      </c>
      <c r="E201" t="s">
        <v>20</v>
      </c>
    </row>
    <row r="202" spans="1:6" x14ac:dyDescent="0.25">
      <c r="A202" s="76"/>
      <c r="C202" t="s">
        <v>203</v>
      </c>
      <c r="D202" s="27">
        <f>D196/2000</f>
        <v>1E-3</v>
      </c>
      <c r="E202" t="s">
        <v>206</v>
      </c>
    </row>
    <row r="203" spans="1:6" x14ac:dyDescent="0.25">
      <c r="A203" s="76"/>
      <c r="C203" t="s">
        <v>198</v>
      </c>
      <c r="D203" s="27">
        <f>(D197/1000)*D199*2*PI()</f>
        <v>1.2416727629508493</v>
      </c>
      <c r="E203" t="s">
        <v>206</v>
      </c>
    </row>
    <row r="204" spans="1:6" x14ac:dyDescent="0.25">
      <c r="A204" s="76"/>
      <c r="C204" t="s">
        <v>183</v>
      </c>
      <c r="D204" s="27">
        <f>D196/2000</f>
        <v>1E-3</v>
      </c>
      <c r="E204" t="s">
        <v>206</v>
      </c>
    </row>
    <row r="205" spans="1:6" x14ac:dyDescent="0.25">
      <c r="A205" s="76"/>
      <c r="C205" t="s">
        <v>184</v>
      </c>
      <c r="D205" s="27">
        <f>PI()*POWER(D204, 2)*D203</f>
        <v>3.9008300302489285E-6</v>
      </c>
      <c r="E205" t="s">
        <v>628</v>
      </c>
    </row>
    <row r="206" spans="1:6" x14ac:dyDescent="0.25">
      <c r="A206" s="76"/>
      <c r="C206" t="s">
        <v>200</v>
      </c>
      <c r="D206" s="27">
        <f>POWER(2*D211/(4*PI()*(0.0000001)*2*PI()*D200), 0.5)</f>
        <v>5.157209585242166E-4</v>
      </c>
      <c r="E206" t="s">
        <v>206</v>
      </c>
    </row>
    <row r="207" spans="1:6" x14ac:dyDescent="0.25">
      <c r="A207" s="76"/>
      <c r="C207" t="s">
        <v>201</v>
      </c>
      <c r="D207" s="27">
        <f>1000*D206</f>
        <v>0.51572095852421662</v>
      </c>
      <c r="E207" t="s">
        <v>133</v>
      </c>
    </row>
    <row r="208" spans="1:6" x14ac:dyDescent="0.25">
      <c r="A208" s="76"/>
      <c r="C208" t="s">
        <v>202</v>
      </c>
      <c r="D208" s="27">
        <f>POWER(D202, 2)*PI()</f>
        <v>3.1415926535897929E-6</v>
      </c>
      <c r="E208" t="s">
        <v>207</v>
      </c>
    </row>
    <row r="209" spans="1:5" x14ac:dyDescent="0.25">
      <c r="A209" s="76"/>
      <c r="C209" t="s">
        <v>204</v>
      </c>
      <c r="D209" s="27">
        <f>POWER((D202-D206), 2)*PI()</f>
        <v>7.3678575561831338E-7</v>
      </c>
      <c r="E209" t="s">
        <v>207</v>
      </c>
    </row>
    <row r="210" spans="1:5" x14ac:dyDescent="0.25">
      <c r="A210" s="76"/>
      <c r="C210" t="s">
        <v>205</v>
      </c>
      <c r="D210" s="27">
        <f>D208-D209</f>
        <v>2.4048068979714796E-6</v>
      </c>
      <c r="E210" t="s">
        <v>207</v>
      </c>
    </row>
    <row r="211" spans="1:5" x14ac:dyDescent="0.25">
      <c r="A211" s="76"/>
      <c r="C211" t="s">
        <v>195</v>
      </c>
      <c r="D211" s="51">
        <v>1.6800000000000002E-8</v>
      </c>
      <c r="E211" t="s">
        <v>995</v>
      </c>
    </row>
    <row r="212" spans="1:5" x14ac:dyDescent="0.25">
      <c r="A212" s="76"/>
      <c r="C212" t="s">
        <v>208</v>
      </c>
      <c r="D212" s="51">
        <f>D203+D198</f>
        <v>1.2916727629508493</v>
      </c>
      <c r="E212" t="s">
        <v>206</v>
      </c>
    </row>
    <row r="213" spans="1:5" x14ac:dyDescent="0.25">
      <c r="A213" s="76"/>
      <c r="C213" t="s">
        <v>209</v>
      </c>
      <c r="D213" s="51">
        <f>2*D202*PI()*D203</f>
        <v>7.8016600604978578E-3</v>
      </c>
      <c r="E213" t="s">
        <v>207</v>
      </c>
    </row>
    <row r="214" spans="1:5" x14ac:dyDescent="0.25">
      <c r="A214" s="76"/>
      <c r="C214" t="s">
        <v>210</v>
      </c>
      <c r="D214" s="51">
        <f>D211*D203/D210</f>
        <v>8.6743357377967994E-3</v>
      </c>
      <c r="E214" t="s">
        <v>24</v>
      </c>
    </row>
    <row r="215" spans="1:5" x14ac:dyDescent="0.25">
      <c r="A215" s="76"/>
      <c r="C215" t="s">
        <v>211</v>
      </c>
      <c r="D215" s="51">
        <f>D211*D198/D210</f>
        <v>3.4930039526606611E-4</v>
      </c>
      <c r="E215" t="s">
        <v>24</v>
      </c>
    </row>
    <row r="216" spans="1:5" x14ac:dyDescent="0.25">
      <c r="A216" s="76"/>
      <c r="C216" t="s">
        <v>212</v>
      </c>
      <c r="D216" s="51">
        <f>D214+D215</f>
        <v>9.0236361330628661E-3</v>
      </c>
      <c r="E216" t="s">
        <v>24</v>
      </c>
    </row>
    <row r="217" spans="1:5" x14ac:dyDescent="0.25">
      <c r="A217" s="76"/>
      <c r="C217" t="s">
        <v>1000</v>
      </c>
      <c r="D217" s="51">
        <f>POWER(D201/POWER(3, 0.5), 2)*D214</f>
        <v>1.476686901430504</v>
      </c>
      <c r="E217" t="s">
        <v>22</v>
      </c>
    </row>
    <row r="218" spans="1:5" x14ac:dyDescent="0.25">
      <c r="A218" s="76"/>
      <c r="C218" t="s">
        <v>213</v>
      </c>
      <c r="D218" s="51">
        <f>POWER(D201/POWER(3, 0.5), 2)*D215</f>
        <v>5.9463610119027711E-2</v>
      </c>
      <c r="E218" t="s">
        <v>22</v>
      </c>
    </row>
    <row r="219" spans="1:5" x14ac:dyDescent="0.25">
      <c r="A219" s="76"/>
      <c r="C219" t="s">
        <v>214</v>
      </c>
      <c r="D219" s="51">
        <f>D217+D218</f>
        <v>1.5361505115495317</v>
      </c>
      <c r="E219" t="s">
        <v>22</v>
      </c>
    </row>
    <row r="220" spans="1:5" x14ac:dyDescent="0.25">
      <c r="A220" s="76"/>
      <c r="C220" t="s">
        <v>215</v>
      </c>
      <c r="D220" s="55">
        <f>D217/D213</f>
        <v>189.2785496906501</v>
      </c>
      <c r="E220" t="s">
        <v>997</v>
      </c>
    </row>
    <row r="221" spans="1:5" x14ac:dyDescent="0.25">
      <c r="A221" s="31"/>
    </row>
    <row r="222" spans="1:5" x14ac:dyDescent="0.25">
      <c r="A222" s="31"/>
    </row>
    <row r="223" spans="1:5" x14ac:dyDescent="0.25">
      <c r="A223" s="31"/>
    </row>
    <row r="224" spans="1:5" x14ac:dyDescent="0.25">
      <c r="A224" s="50"/>
      <c r="B224" t="s">
        <v>791</v>
      </c>
      <c r="C224" t="s">
        <v>996</v>
      </c>
      <c r="D224" s="52">
        <f>D135</f>
        <v>3.6</v>
      </c>
    </row>
    <row r="225" spans="1:14" x14ac:dyDescent="0.25">
      <c r="A225" s="50"/>
      <c r="C225" t="s">
        <v>279</v>
      </c>
      <c r="D225" s="56">
        <v>0.2</v>
      </c>
    </row>
    <row r="226" spans="1:14" x14ac:dyDescent="0.25">
      <c r="A226" s="50"/>
      <c r="C226" t="s">
        <v>790</v>
      </c>
      <c r="D226" s="27">
        <f>D225*D135</f>
        <v>0.72000000000000008</v>
      </c>
    </row>
    <row r="227" spans="1:14" x14ac:dyDescent="0.25">
      <c r="A227" s="50"/>
      <c r="C227" t="s">
        <v>222</v>
      </c>
      <c r="D227">
        <f>D226/POWER(D124, 2)</f>
        <v>9.7903125000000027E-6</v>
      </c>
    </row>
    <row r="228" spans="1:14" x14ac:dyDescent="0.25">
      <c r="A228" s="23"/>
    </row>
    <row r="229" spans="1:14" x14ac:dyDescent="0.25">
      <c r="A229" s="80" t="s">
        <v>517</v>
      </c>
      <c r="B229" s="61" t="s">
        <v>512</v>
      </c>
      <c r="C229" s="61"/>
      <c r="D229" s="61">
        <f>D4</f>
        <v>1.2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spans="1:14" x14ac:dyDescent="0.25">
      <c r="A230" s="80"/>
      <c r="B230" s="61" t="s">
        <v>48</v>
      </c>
      <c r="C230" s="61" t="s">
        <v>230</v>
      </c>
      <c r="D230" s="61">
        <f>1/D124</f>
        <v>3.6875000000000007E-3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</row>
    <row r="231" spans="1:14" x14ac:dyDescent="0.25">
      <c r="A231" s="80"/>
      <c r="B231" s="61" t="s">
        <v>47</v>
      </c>
      <c r="C231" s="61"/>
      <c r="D231" s="61">
        <f>D3</f>
        <v>16000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spans="1:14" x14ac:dyDescent="0.25">
      <c r="A232" s="80"/>
      <c r="B232" s="61" t="s">
        <v>71</v>
      </c>
      <c r="C232" s="61"/>
      <c r="D232" s="61">
        <f>D105</f>
        <v>7000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</row>
    <row r="233" spans="1:14" x14ac:dyDescent="0.25">
      <c r="A233" s="80"/>
      <c r="B233" s="61" t="s">
        <v>511</v>
      </c>
      <c r="C233" s="61" t="s">
        <v>1006</v>
      </c>
      <c r="D233" s="61">
        <v>2.5</v>
      </c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spans="1:14" x14ac:dyDescent="0.25">
      <c r="A234" s="80"/>
      <c r="B234" s="61" t="s">
        <v>231</v>
      </c>
      <c r="C234" s="61"/>
      <c r="D234" s="61">
        <f>D114</f>
        <v>22.598870056497173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</row>
    <row r="235" spans="1:14" x14ac:dyDescent="0.25">
      <c r="A235" s="80"/>
      <c r="B235" s="61" t="s">
        <v>232</v>
      </c>
      <c r="C235" s="61"/>
      <c r="D235" s="61">
        <f>D227</f>
        <v>9.7903125000000027E-6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spans="1:14" x14ac:dyDescent="0.25">
      <c r="A236" s="80"/>
      <c r="B236" s="61" t="s">
        <v>516</v>
      </c>
      <c r="C236" s="61"/>
      <c r="D236" s="61">
        <f>D232*D230</f>
        <v>25.812500000000004</v>
      </c>
      <c r="E236" s="61"/>
      <c r="F236" s="61"/>
      <c r="G236" s="61"/>
      <c r="H236" s="61"/>
      <c r="I236" s="61"/>
      <c r="J236" s="61"/>
      <c r="K236" s="61"/>
      <c r="L236" s="61"/>
      <c r="M236" s="61"/>
      <c r="N236" s="61"/>
    </row>
    <row r="237" spans="1:14" x14ac:dyDescent="0.25">
      <c r="A237" s="80"/>
      <c r="B237" s="61" t="s">
        <v>229</v>
      </c>
      <c r="C237" s="61"/>
      <c r="D237" s="61">
        <v>10</v>
      </c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spans="1:14" x14ac:dyDescent="0.25">
      <c r="A238" s="80"/>
      <c r="B238" s="61" t="s">
        <v>219</v>
      </c>
      <c r="C238" s="61" t="s">
        <v>228</v>
      </c>
      <c r="D238" s="61">
        <f>D233*D236</f>
        <v>64.531250000000014</v>
      </c>
      <c r="E238" s="61"/>
      <c r="F238" s="61"/>
      <c r="G238" s="61"/>
      <c r="H238" s="61"/>
      <c r="I238" s="61"/>
      <c r="J238" s="61"/>
      <c r="K238" s="61"/>
      <c r="L238" s="61"/>
      <c r="M238" s="61"/>
      <c r="N238" s="61"/>
    </row>
    <row r="239" spans="1:14" x14ac:dyDescent="0.25">
      <c r="A239" s="80"/>
      <c r="B239" s="61" t="s">
        <v>39</v>
      </c>
      <c r="C239" s="61"/>
      <c r="D239" s="61">
        <f>D110</f>
        <v>0.5</v>
      </c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spans="1:14" x14ac:dyDescent="0.25">
      <c r="A240" s="80"/>
      <c r="B240" s="61" t="s">
        <v>284</v>
      </c>
      <c r="C240" s="61"/>
      <c r="D240" s="61">
        <f>0.5*D235*POWER(D234, 2)</f>
        <v>2.5000000000000001E-3</v>
      </c>
      <c r="E240" s="61"/>
      <c r="F240" s="61"/>
      <c r="G240" s="61"/>
      <c r="H240" s="61"/>
      <c r="I240" s="61"/>
      <c r="J240" s="61"/>
      <c r="K240" s="61"/>
      <c r="L240" s="61"/>
      <c r="M240" s="61"/>
      <c r="N240" s="61"/>
    </row>
    <row r="241" spans="1:14" x14ac:dyDescent="0.25">
      <c r="A241" s="80"/>
      <c r="B241" s="61" t="s">
        <v>220</v>
      </c>
      <c r="C241" s="61"/>
      <c r="D241" s="61">
        <f>D234*D235/D238</f>
        <v>3.4285714285714285E-6</v>
      </c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spans="1:14" x14ac:dyDescent="0.25">
      <c r="A242" s="80"/>
      <c r="B242" s="61" t="s">
        <v>221</v>
      </c>
      <c r="C242" s="61"/>
      <c r="D242" s="61" t="b">
        <f>AND(D241&gt;0, D241&lt;((1-D239)/D231))</f>
        <v>1</v>
      </c>
      <c r="E242" s="61"/>
      <c r="F242" s="61"/>
      <c r="G242" s="61"/>
      <c r="H242" s="61"/>
      <c r="I242" s="61"/>
      <c r="J242" s="61"/>
      <c r="K242" s="61"/>
      <c r="L242" s="61"/>
      <c r="M242" s="61"/>
      <c r="N242" s="61"/>
    </row>
    <row r="243" spans="1:14" x14ac:dyDescent="0.25">
      <c r="A243" s="80"/>
      <c r="B243" s="61" t="s">
        <v>233</v>
      </c>
      <c r="C243" s="61"/>
      <c r="D243" s="61">
        <f>D240*D231</f>
        <v>40</v>
      </c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spans="1:14" x14ac:dyDescent="0.25">
      <c r="A244" s="80"/>
      <c r="B244" s="61" t="s">
        <v>226</v>
      </c>
      <c r="C244" s="61"/>
      <c r="D244" s="61">
        <f>POWER(D238, 2)/D243</f>
        <v>104.10705566406254</v>
      </c>
      <c r="E244" s="61"/>
      <c r="F244" s="61"/>
      <c r="G244" s="61"/>
      <c r="H244" s="61"/>
      <c r="I244" s="61"/>
      <c r="J244" s="61"/>
      <c r="K244" s="61"/>
      <c r="L244" s="61"/>
      <c r="M244" s="61"/>
      <c r="N244" s="61"/>
    </row>
    <row r="245" spans="1:14" x14ac:dyDescent="0.25">
      <c r="A245" s="80"/>
      <c r="B245" s="61" t="s">
        <v>224</v>
      </c>
      <c r="C245" s="61"/>
      <c r="D245" s="61">
        <v>330</v>
      </c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spans="1:14" x14ac:dyDescent="0.25">
      <c r="A246" s="80"/>
      <c r="B246" s="61" t="s">
        <v>513</v>
      </c>
      <c r="C246" s="61"/>
      <c r="D246" s="61">
        <f>POWER(D245*D243, 0.5)</f>
        <v>114.89125293076057</v>
      </c>
      <c r="E246" s="61"/>
      <c r="F246" s="61"/>
      <c r="G246" s="61"/>
      <c r="H246" s="61"/>
      <c r="I246" s="61"/>
      <c r="J246" s="61"/>
      <c r="K246" s="61"/>
      <c r="L246" s="61"/>
      <c r="M246" s="61"/>
      <c r="N246" s="61"/>
    </row>
    <row r="247" spans="1:14" x14ac:dyDescent="0.25">
      <c r="A247" s="80"/>
      <c r="B247" s="61" t="s">
        <v>515</v>
      </c>
      <c r="C247" s="61"/>
      <c r="D247" s="61">
        <f>D246/D236</f>
        <v>4.4509928496178421</v>
      </c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spans="1:14" x14ac:dyDescent="0.25">
      <c r="A248" s="80"/>
      <c r="B248" s="61" t="s">
        <v>234</v>
      </c>
      <c r="C248" s="61" t="s">
        <v>235</v>
      </c>
      <c r="D248" s="61">
        <f>D243*D229</f>
        <v>48</v>
      </c>
      <c r="E248" s="61"/>
      <c r="F248" s="61"/>
      <c r="G248" s="61"/>
      <c r="H248" s="61"/>
      <c r="I248" s="61"/>
      <c r="J248" s="61"/>
      <c r="K248" s="61"/>
      <c r="L248" s="61"/>
      <c r="M248" s="61"/>
      <c r="N248" s="61"/>
    </row>
    <row r="249" spans="1:14" x14ac:dyDescent="0.25">
      <c r="A249" s="80"/>
      <c r="B249" s="61" t="s">
        <v>223</v>
      </c>
      <c r="C249" s="61" t="s">
        <v>236</v>
      </c>
      <c r="D249" s="61">
        <v>0.5</v>
      </c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spans="1:14" x14ac:dyDescent="0.25">
      <c r="A250" s="80"/>
      <c r="B250" s="61" t="s">
        <v>225</v>
      </c>
      <c r="C250" s="61"/>
      <c r="D250" s="61">
        <f>D246/(D249*D245*D231)</f>
        <v>4.3519413988924462E-5</v>
      </c>
      <c r="E250" s="61"/>
      <c r="F250" s="61"/>
      <c r="G250" s="61"/>
      <c r="H250" s="61"/>
      <c r="I250" s="61"/>
      <c r="J250" s="61"/>
      <c r="K250" s="61"/>
      <c r="L250" s="61"/>
      <c r="M250" s="61"/>
      <c r="N250" s="61"/>
    </row>
    <row r="251" spans="1:14" x14ac:dyDescent="0.25">
      <c r="A251" s="80"/>
      <c r="B251" s="61" t="s">
        <v>277</v>
      </c>
      <c r="C251" s="61" t="s">
        <v>278</v>
      </c>
      <c r="D251" s="62">
        <v>10</v>
      </c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spans="1:14" x14ac:dyDescent="0.25">
      <c r="A252" s="80"/>
      <c r="B252" s="61" t="s">
        <v>514</v>
      </c>
      <c r="C252" s="61"/>
      <c r="D252" s="62">
        <v>6.0000000000000002E-6</v>
      </c>
      <c r="E252" s="61"/>
      <c r="F252" s="61"/>
      <c r="G252" s="61"/>
      <c r="H252" s="61"/>
      <c r="I252" s="61"/>
      <c r="J252" s="61"/>
      <c r="K252" s="61"/>
      <c r="L252" s="61"/>
      <c r="M252" s="61"/>
      <c r="N252" s="61"/>
    </row>
    <row r="253" spans="1:14" x14ac:dyDescent="0.25">
      <c r="A253" s="80"/>
      <c r="B253" s="61" t="s">
        <v>490</v>
      </c>
      <c r="C253" s="61"/>
      <c r="D253" s="62">
        <v>4.1000000000000003E-3</v>
      </c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spans="1:14" x14ac:dyDescent="0.25">
      <c r="A254" s="80"/>
      <c r="B254" s="61" t="s">
        <v>227</v>
      </c>
      <c r="C254" s="61"/>
      <c r="D254" s="62">
        <f>D252*D251</f>
        <v>6.0000000000000002E-5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</row>
    <row r="255" spans="1:14" x14ac:dyDescent="0.25">
      <c r="A255" s="80"/>
      <c r="B255" s="61" t="s">
        <v>491</v>
      </c>
      <c r="C255" s="61"/>
      <c r="D255" s="62">
        <f>D253/D251</f>
        <v>4.1000000000000005E-4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spans="1:14" x14ac:dyDescent="0.25">
      <c r="A256" s="80"/>
      <c r="B256" s="61" t="s">
        <v>495</v>
      </c>
      <c r="C256" s="61" t="s">
        <v>237</v>
      </c>
      <c r="D256" s="61">
        <f>D246/(D254*(D245*D231))</f>
        <v>0.36266178324103715</v>
      </c>
      <c r="E256" s="61"/>
      <c r="F256" s="61"/>
      <c r="G256" s="61"/>
      <c r="H256" s="61" t="s">
        <v>509</v>
      </c>
      <c r="I256" s="61" t="s">
        <v>498</v>
      </c>
      <c r="J256" s="61" t="s">
        <v>506</v>
      </c>
      <c r="K256" s="61" t="s">
        <v>504</v>
      </c>
      <c r="L256" s="61" t="s">
        <v>505</v>
      </c>
      <c r="M256" s="61" t="s">
        <v>507</v>
      </c>
      <c r="N256" s="61" t="s">
        <v>508</v>
      </c>
    </row>
    <row r="257" spans="1:14" x14ac:dyDescent="0.25">
      <c r="A257" s="80"/>
      <c r="B257" s="61" t="s">
        <v>496</v>
      </c>
      <c r="C257" s="61"/>
      <c r="D257" s="62">
        <f>D234*D255</f>
        <v>9.2655367231638426E-3</v>
      </c>
      <c r="E257" s="61" t="s">
        <v>487</v>
      </c>
      <c r="F257" s="61"/>
      <c r="G257" s="63" t="s">
        <v>497</v>
      </c>
      <c r="H257" s="61">
        <v>27</v>
      </c>
      <c r="I257" s="61">
        <v>2</v>
      </c>
      <c r="J257" s="61">
        <v>1.8</v>
      </c>
      <c r="K257" s="61">
        <f>J257/I257</f>
        <v>0.9</v>
      </c>
      <c r="L257" s="64">
        <v>8.81</v>
      </c>
      <c r="M257" s="64">
        <f>L257*I257</f>
        <v>17.62</v>
      </c>
      <c r="N257" s="61">
        <f>H257*I257</f>
        <v>54</v>
      </c>
    </row>
    <row r="258" spans="1:14" x14ac:dyDescent="0.25">
      <c r="A258" s="80"/>
      <c r="B258" s="61" t="s">
        <v>494</v>
      </c>
      <c r="C258" s="61"/>
      <c r="D258" s="62">
        <f>D257+D256</f>
        <v>0.37192731996420098</v>
      </c>
      <c r="E258" s="61"/>
      <c r="F258" s="61"/>
      <c r="G258" s="61" t="s">
        <v>499</v>
      </c>
      <c r="H258" s="61">
        <v>47</v>
      </c>
      <c r="I258" s="61">
        <v>1</v>
      </c>
      <c r="J258" s="61">
        <v>2.7</v>
      </c>
      <c r="K258" s="61">
        <f t="shared" ref="K258:K263" si="15">J258/I258</f>
        <v>2.7</v>
      </c>
      <c r="L258" s="64">
        <v>13.55</v>
      </c>
      <c r="M258" s="64">
        <f t="shared" ref="M258:M260" si="16">L258*I258</f>
        <v>13.55</v>
      </c>
      <c r="N258" s="61">
        <f t="shared" ref="N258:N263" si="17">H258*I258</f>
        <v>47</v>
      </c>
    </row>
    <row r="259" spans="1:14" ht="15.75" thickBot="1" x14ac:dyDescent="0.3">
      <c r="A259" s="80"/>
      <c r="B259" s="61" t="s">
        <v>492</v>
      </c>
      <c r="C259" s="61"/>
      <c r="D259" s="62">
        <f>POWER(D257, 2)/D255</f>
        <v>0.20939066041048232</v>
      </c>
      <c r="E259" s="61"/>
      <c r="F259" s="61"/>
      <c r="G259" s="61" t="s">
        <v>500</v>
      </c>
      <c r="H259" s="61">
        <v>8</v>
      </c>
      <c r="I259" s="61">
        <v>10</v>
      </c>
      <c r="J259" s="61">
        <v>6</v>
      </c>
      <c r="K259" s="61">
        <f t="shared" si="15"/>
        <v>0.6</v>
      </c>
      <c r="L259" s="65">
        <v>2.95</v>
      </c>
      <c r="M259" s="65">
        <f>L259*I259</f>
        <v>29.5</v>
      </c>
      <c r="N259" s="61">
        <f t="shared" si="17"/>
        <v>80</v>
      </c>
    </row>
    <row r="260" spans="1:14" x14ac:dyDescent="0.25">
      <c r="A260" s="80"/>
      <c r="B260" s="61" t="s">
        <v>493</v>
      </c>
      <c r="C260" s="61"/>
      <c r="D260" s="62">
        <f>D259/D251</f>
        <v>2.0939066041048233E-2</v>
      </c>
      <c r="E260" s="61"/>
      <c r="F260" s="61"/>
      <c r="G260" s="61" t="s">
        <v>501</v>
      </c>
      <c r="H260" s="61">
        <v>12</v>
      </c>
      <c r="I260" s="61">
        <v>4</v>
      </c>
      <c r="J260" s="61">
        <v>1.8</v>
      </c>
      <c r="K260" s="61">
        <f t="shared" si="15"/>
        <v>0.45</v>
      </c>
      <c r="L260" s="64">
        <v>8.82</v>
      </c>
      <c r="M260" s="64">
        <f t="shared" si="16"/>
        <v>35.28</v>
      </c>
      <c r="N260" s="61">
        <f t="shared" si="17"/>
        <v>48</v>
      </c>
    </row>
    <row r="261" spans="1:14" x14ac:dyDescent="0.25">
      <c r="A261" s="80"/>
      <c r="B261" s="61" t="s">
        <v>280</v>
      </c>
      <c r="C261" s="61"/>
      <c r="D261" s="62">
        <f>2*PI()*D231*D254*D256</f>
        <v>2.1875243404182072</v>
      </c>
      <c r="E261" s="61" t="s">
        <v>488</v>
      </c>
      <c r="F261" s="61"/>
      <c r="G261" s="63" t="s">
        <v>502</v>
      </c>
      <c r="H261" s="61">
        <v>6</v>
      </c>
      <c r="I261" s="61">
        <v>10</v>
      </c>
      <c r="J261" s="61">
        <v>4.0999999999999996</v>
      </c>
      <c r="K261" s="61">
        <f t="shared" si="15"/>
        <v>0.41</v>
      </c>
      <c r="L261" s="64"/>
      <c r="M261" s="64">
        <v>25.4</v>
      </c>
      <c r="N261" s="61">
        <f t="shared" si="17"/>
        <v>60</v>
      </c>
    </row>
    <row r="262" spans="1:14" x14ac:dyDescent="0.25">
      <c r="A262" s="80"/>
      <c r="B262" s="61" t="s">
        <v>281</v>
      </c>
      <c r="C262" s="61"/>
      <c r="D262" s="61">
        <f>2*D261</f>
        <v>4.3750486808364144</v>
      </c>
      <c r="E262" s="61" t="s">
        <v>489</v>
      </c>
      <c r="F262" s="61"/>
      <c r="G262" s="61" t="s">
        <v>503</v>
      </c>
      <c r="H262" s="61">
        <v>5.6</v>
      </c>
      <c r="I262" s="61">
        <v>9</v>
      </c>
      <c r="J262" s="61">
        <v>4.2</v>
      </c>
      <c r="K262" s="61">
        <f t="shared" si="15"/>
        <v>0.46666666666666667</v>
      </c>
      <c r="L262" s="64"/>
      <c r="M262" s="64">
        <v>26.7</v>
      </c>
      <c r="N262" s="61">
        <f t="shared" si="17"/>
        <v>50.4</v>
      </c>
    </row>
    <row r="263" spans="1:14" x14ac:dyDescent="0.25">
      <c r="A263" s="80"/>
      <c r="B263" s="61" t="s">
        <v>282</v>
      </c>
      <c r="C263" s="61"/>
      <c r="D263" s="62">
        <f>D262/D251</f>
        <v>0.43750486808364142</v>
      </c>
      <c r="E263" s="61"/>
      <c r="F263" s="61"/>
      <c r="G263" s="61" t="s">
        <v>510</v>
      </c>
      <c r="H263" s="61">
        <v>5</v>
      </c>
      <c r="I263" s="61">
        <v>10</v>
      </c>
      <c r="J263" s="61">
        <v>5.5</v>
      </c>
      <c r="K263" s="61">
        <f t="shared" si="15"/>
        <v>0.55000000000000004</v>
      </c>
      <c r="L263" s="61"/>
      <c r="M263" s="66">
        <v>21</v>
      </c>
      <c r="N263" s="61">
        <f t="shared" si="17"/>
        <v>50</v>
      </c>
    </row>
    <row r="264" spans="1:14" x14ac:dyDescent="0.25">
      <c r="A264" s="80"/>
      <c r="B264" s="61" t="s">
        <v>283</v>
      </c>
      <c r="C264" s="61"/>
      <c r="D264" s="62">
        <f>D234*D4</f>
        <v>27.118644067796605</v>
      </c>
      <c r="E264" s="61"/>
      <c r="F264" s="61"/>
      <c r="G264" s="61"/>
      <c r="H264" s="61"/>
      <c r="I264" s="61"/>
      <c r="J264" s="61"/>
      <c r="K264" s="61"/>
      <c r="L264" s="61"/>
      <c r="M264" s="61"/>
      <c r="N264" s="61"/>
    </row>
    <row r="265" spans="1:14" x14ac:dyDescent="0.25">
      <c r="A265" s="80"/>
      <c r="B265" s="61" t="s">
        <v>284</v>
      </c>
      <c r="C265" s="61"/>
      <c r="D265" s="62">
        <f>D240</f>
        <v>2.5000000000000001E-3</v>
      </c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spans="1:14" x14ac:dyDescent="0.25">
      <c r="A266" s="80"/>
      <c r="B266" s="61" t="s">
        <v>285</v>
      </c>
      <c r="C266" s="61"/>
      <c r="D266" s="62"/>
      <c r="E266" s="61"/>
      <c r="F266" s="61"/>
      <c r="G266" s="61"/>
      <c r="H266" s="61"/>
      <c r="I266" s="61"/>
      <c r="J266" s="61"/>
      <c r="K266" s="61"/>
      <c r="L266" s="61"/>
      <c r="M266" s="61"/>
      <c r="N266" s="61"/>
    </row>
    <row r="267" spans="1:14" x14ac:dyDescent="0.25">
      <c r="A267" s="80"/>
      <c r="B267" s="61" t="s">
        <v>286</v>
      </c>
      <c r="C267" s="61"/>
      <c r="D267" s="62">
        <f>D240*D231</f>
        <v>40</v>
      </c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spans="1:14" x14ac:dyDescent="0.25">
      <c r="A268" s="80"/>
      <c r="B268" s="61" t="s">
        <v>238</v>
      </c>
      <c r="C268" s="61"/>
      <c r="D268" s="61">
        <v>2.85</v>
      </c>
      <c r="E268" s="61"/>
      <c r="F268" s="61"/>
      <c r="G268" s="61"/>
      <c r="H268" s="61"/>
      <c r="I268" s="61"/>
      <c r="J268" s="61"/>
      <c r="K268" s="61"/>
      <c r="L268" s="61"/>
      <c r="M268" s="61"/>
      <c r="N268" s="61"/>
    </row>
    <row r="269" spans="1:14" x14ac:dyDescent="0.25">
      <c r="A269" s="80"/>
      <c r="B269" s="61"/>
      <c r="C269" s="61" t="s">
        <v>239</v>
      </c>
      <c r="D269" s="61">
        <v>200</v>
      </c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spans="1:14" x14ac:dyDescent="0.25">
      <c r="A270" s="80"/>
      <c r="B270" s="61"/>
      <c r="C270" s="61" t="s">
        <v>240</v>
      </c>
      <c r="D270" s="61">
        <f>(D269+D7)/D268</f>
        <v>85.649122807017534</v>
      </c>
      <c r="E270" s="61"/>
      <c r="F270" s="61"/>
      <c r="G270" s="61"/>
      <c r="H270" s="61"/>
      <c r="I270" s="61"/>
      <c r="J270" s="61"/>
      <c r="K270" s="61"/>
      <c r="L270" s="61"/>
      <c r="M270" s="61"/>
      <c r="N270" s="61"/>
    </row>
    <row r="271" spans="1:14" x14ac:dyDescent="0.25">
      <c r="A271" s="80"/>
      <c r="B271" s="61"/>
      <c r="C271" s="61" t="s">
        <v>241</v>
      </c>
      <c r="D271" s="62">
        <v>9.9999999999999995E-7</v>
      </c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spans="1:14" x14ac:dyDescent="0.25">
      <c r="A272" s="80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</row>
    <row r="273" spans="1:14" x14ac:dyDescent="0.25">
      <c r="A273" s="80"/>
      <c r="B273" s="61" t="s">
        <v>243</v>
      </c>
      <c r="C273" s="61"/>
      <c r="D273" s="61">
        <v>500000</v>
      </c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spans="1:14" x14ac:dyDescent="0.25">
      <c r="A274" s="80"/>
      <c r="B274" s="61" t="s">
        <v>267</v>
      </c>
      <c r="C274" s="61"/>
      <c r="D274" s="61">
        <f>D273/D270</f>
        <v>5837.7714051618195</v>
      </c>
      <c r="E274" s="61"/>
      <c r="F274" s="61"/>
      <c r="G274" s="61"/>
      <c r="H274" s="61"/>
      <c r="I274" s="61"/>
      <c r="J274" s="61"/>
      <c r="K274" s="61"/>
      <c r="L274" s="61"/>
      <c r="M274" s="61"/>
      <c r="N274" s="61"/>
    </row>
    <row r="275" spans="1:14" x14ac:dyDescent="0.25">
      <c r="A275" s="80"/>
      <c r="B275" s="61" t="s">
        <v>244</v>
      </c>
      <c r="C275" s="61"/>
      <c r="D275" s="61">
        <v>6800</v>
      </c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spans="1:14" x14ac:dyDescent="0.25">
      <c r="A276" s="80"/>
      <c r="B276" s="61" t="s">
        <v>245</v>
      </c>
      <c r="C276" s="61"/>
      <c r="D276" s="61">
        <f>D273+D275</f>
        <v>506800</v>
      </c>
      <c r="E276" s="61"/>
      <c r="F276" s="61"/>
      <c r="G276" s="61"/>
      <c r="H276" s="61"/>
      <c r="I276" s="61"/>
      <c r="J276" s="61"/>
      <c r="K276" s="61"/>
      <c r="L276" s="61"/>
      <c r="M276" s="61"/>
      <c r="N276" s="61"/>
    </row>
    <row r="277" spans="1:14" x14ac:dyDescent="0.25">
      <c r="A277" s="80"/>
      <c r="B277" s="61" t="s">
        <v>246</v>
      </c>
      <c r="C277" s="61"/>
      <c r="D277" s="61">
        <f>D269/D276</f>
        <v>3.9463299131807419E-4</v>
      </c>
      <c r="E277" s="61" t="s">
        <v>20</v>
      </c>
      <c r="F277" s="61"/>
      <c r="G277" s="61"/>
      <c r="H277" s="61"/>
      <c r="I277" s="61"/>
      <c r="J277" s="61"/>
      <c r="K277" s="61"/>
      <c r="L277" s="61"/>
      <c r="M277" s="61"/>
      <c r="N277" s="61"/>
    </row>
    <row r="278" spans="1:14" x14ac:dyDescent="0.25">
      <c r="A278" s="80"/>
      <c r="B278" s="61" t="s">
        <v>247</v>
      </c>
      <c r="C278" s="61"/>
      <c r="D278" s="61">
        <f>POWER(D277, 2)*D273</f>
        <v>7.7867598918325606E-2</v>
      </c>
      <c r="E278" s="61" t="s">
        <v>22</v>
      </c>
      <c r="F278" s="61"/>
      <c r="G278" s="61"/>
      <c r="H278" s="61"/>
      <c r="I278" s="61"/>
      <c r="J278" s="61"/>
      <c r="K278" s="61"/>
      <c r="L278" s="61"/>
      <c r="M278" s="61"/>
      <c r="N278" s="61"/>
    </row>
    <row r="279" spans="1:14" x14ac:dyDescent="0.25">
      <c r="A279" s="80"/>
      <c r="B279" s="61" t="s">
        <v>248</v>
      </c>
      <c r="C279" s="61"/>
      <c r="D279" s="61">
        <f>POWER(D277, 2)*D275</f>
        <v>1.0589993452892283E-3</v>
      </c>
      <c r="E279" s="61" t="s">
        <v>22</v>
      </c>
      <c r="F279" s="61"/>
      <c r="G279" s="61"/>
      <c r="H279" s="61"/>
      <c r="I279" s="61"/>
      <c r="J279" s="61"/>
      <c r="K279" s="61"/>
      <c r="L279" s="61"/>
      <c r="M279" s="61"/>
      <c r="N279" s="61"/>
    </row>
    <row r="280" spans="1:14" x14ac:dyDescent="0.25">
      <c r="A280" s="80"/>
      <c r="B280" s="61" t="s">
        <v>249</v>
      </c>
      <c r="C280" s="61" t="s">
        <v>242</v>
      </c>
      <c r="D280" s="61">
        <f>D278+D279</f>
        <v>7.8926598263614839E-2</v>
      </c>
      <c r="E280" s="61" t="s">
        <v>22</v>
      </c>
      <c r="F280" s="61"/>
      <c r="G280" s="61"/>
      <c r="H280" s="61"/>
      <c r="I280" s="61"/>
      <c r="J280" s="61"/>
      <c r="K280" s="61"/>
      <c r="L280" s="61"/>
      <c r="M280" s="61"/>
      <c r="N280" s="61"/>
    </row>
    <row r="281" spans="1:14" x14ac:dyDescent="0.25">
      <c r="A281" s="80"/>
      <c r="B281" s="61" t="s">
        <v>250</v>
      </c>
      <c r="C281" s="61"/>
      <c r="D281" s="61">
        <f>D269/100</f>
        <v>2</v>
      </c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spans="1:14" x14ac:dyDescent="0.25">
      <c r="A282" s="80"/>
      <c r="B282" s="61"/>
      <c r="C282" s="61" t="s">
        <v>251</v>
      </c>
      <c r="D282" s="61">
        <f>POWER(2, 12)</f>
        <v>4096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</row>
    <row r="283" spans="1:14" x14ac:dyDescent="0.25">
      <c r="A283" s="80"/>
      <c r="B283" s="61"/>
      <c r="C283" s="61" t="s">
        <v>252</v>
      </c>
      <c r="D283" s="61">
        <f>3.3/D282</f>
        <v>8.0566406249999996E-4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spans="1:14" x14ac:dyDescent="0.25">
      <c r="A284" s="80"/>
      <c r="B284" s="61"/>
      <c r="C284" s="61" t="s">
        <v>253</v>
      </c>
      <c r="D284" s="61">
        <f>D283*D270</f>
        <v>6.9004420230263153E-2</v>
      </c>
      <c r="E284" s="61" t="s">
        <v>21</v>
      </c>
      <c r="F284" s="61"/>
      <c r="G284" s="61"/>
      <c r="H284" s="61"/>
      <c r="I284" s="61"/>
      <c r="J284" s="61"/>
      <c r="K284" s="61"/>
      <c r="L284" s="61"/>
      <c r="M284" s="61"/>
      <c r="N284" s="61"/>
    </row>
    <row r="285" spans="1:14" x14ac:dyDescent="0.25">
      <c r="A285" s="28"/>
    </row>
    <row r="286" spans="1:14" x14ac:dyDescent="0.25">
      <c r="A286" s="77" t="s">
        <v>751</v>
      </c>
    </row>
    <row r="287" spans="1:14" x14ac:dyDescent="0.25">
      <c r="A287" s="77"/>
      <c r="B287" t="s">
        <v>556</v>
      </c>
      <c r="C287" t="s">
        <v>557</v>
      </c>
    </row>
    <row r="288" spans="1:14" x14ac:dyDescent="0.25">
      <c r="A288" s="77"/>
    </row>
    <row r="289" spans="1:12" x14ac:dyDescent="0.25">
      <c r="A289" s="77"/>
      <c r="B289" t="s">
        <v>512</v>
      </c>
      <c r="D289">
        <v>2.5</v>
      </c>
    </row>
    <row r="290" spans="1:12" x14ac:dyDescent="0.25">
      <c r="A290" s="77"/>
      <c r="B290" t="s">
        <v>527</v>
      </c>
      <c r="C290" s="31"/>
      <c r="D290">
        <f>D227</f>
        <v>9.7903125000000027E-6</v>
      </c>
      <c r="E290">
        <f>D290</f>
        <v>9.7903125000000027E-6</v>
      </c>
      <c r="F290">
        <f t="shared" ref="F290:G290" si="18">E290</f>
        <v>9.7903125000000027E-6</v>
      </c>
      <c r="G290">
        <f t="shared" si="18"/>
        <v>9.7903125000000027E-6</v>
      </c>
      <c r="H290">
        <f t="shared" ref="H290:K290" si="19">G290</f>
        <v>9.7903125000000027E-6</v>
      </c>
      <c r="I290">
        <f t="shared" si="19"/>
        <v>9.7903125000000027E-6</v>
      </c>
      <c r="J290">
        <f t="shared" si="19"/>
        <v>9.7903125000000027E-6</v>
      </c>
      <c r="K290">
        <f t="shared" si="19"/>
        <v>9.7903125000000027E-6</v>
      </c>
    </row>
    <row r="291" spans="1:12" x14ac:dyDescent="0.25">
      <c r="A291" s="77"/>
      <c r="B291" t="s">
        <v>541</v>
      </c>
      <c r="C291" s="31"/>
      <c r="D291">
        <f>D113-D227</f>
        <v>3.9161250000000004E-5</v>
      </c>
      <c r="E291">
        <f>D291</f>
        <v>3.9161250000000004E-5</v>
      </c>
      <c r="F291">
        <f t="shared" ref="F291:G291" si="20">E291</f>
        <v>3.9161250000000004E-5</v>
      </c>
      <c r="G291">
        <f t="shared" si="20"/>
        <v>3.9161250000000004E-5</v>
      </c>
      <c r="H291">
        <f t="shared" ref="H291:K291" si="21">G291</f>
        <v>3.9161250000000004E-5</v>
      </c>
      <c r="I291">
        <f t="shared" si="21"/>
        <v>3.9161250000000004E-5</v>
      </c>
      <c r="J291">
        <f t="shared" si="21"/>
        <v>3.9161250000000004E-5</v>
      </c>
      <c r="K291">
        <f t="shared" si="21"/>
        <v>3.9161250000000004E-5</v>
      </c>
    </row>
    <row r="292" spans="1:12" x14ac:dyDescent="0.25">
      <c r="A292" s="77"/>
      <c r="B292" t="s">
        <v>528</v>
      </c>
      <c r="C292" s="31"/>
      <c r="D292">
        <f>D234</f>
        <v>22.598870056497173</v>
      </c>
      <c r="E292">
        <f>D292</f>
        <v>22.598870056497173</v>
      </c>
      <c r="F292">
        <f t="shared" ref="F292:G292" si="22">E292</f>
        <v>22.598870056497173</v>
      </c>
      <c r="G292">
        <f t="shared" si="22"/>
        <v>22.598870056497173</v>
      </c>
      <c r="H292">
        <f t="shared" ref="H292:K292" si="23">G292</f>
        <v>22.598870056497173</v>
      </c>
      <c r="I292">
        <f t="shared" si="23"/>
        <v>22.598870056497173</v>
      </c>
      <c r="J292">
        <f t="shared" si="23"/>
        <v>22.598870056497173</v>
      </c>
      <c r="K292">
        <f t="shared" si="23"/>
        <v>22.598870056497173</v>
      </c>
    </row>
    <row r="293" spans="1:12" x14ac:dyDescent="0.25">
      <c r="A293" s="77"/>
      <c r="B293" t="s">
        <v>309</v>
      </c>
      <c r="C293" t="s">
        <v>542</v>
      </c>
      <c r="D293">
        <f>100</f>
        <v>100</v>
      </c>
      <c r="E293">
        <f>D293</f>
        <v>100</v>
      </c>
      <c r="F293">
        <f t="shared" ref="F293:G298" si="24">E293</f>
        <v>100</v>
      </c>
      <c r="G293">
        <f t="shared" si="24"/>
        <v>100</v>
      </c>
      <c r="H293">
        <f t="shared" ref="H293:K293" si="25">G293</f>
        <v>100</v>
      </c>
      <c r="I293">
        <f t="shared" si="25"/>
        <v>100</v>
      </c>
      <c r="J293">
        <f t="shared" si="25"/>
        <v>100</v>
      </c>
      <c r="K293">
        <f t="shared" si="25"/>
        <v>100</v>
      </c>
    </row>
    <row r="294" spans="1:12" x14ac:dyDescent="0.25">
      <c r="A294" s="77"/>
      <c r="B294" t="s">
        <v>529</v>
      </c>
      <c r="C294" t="s">
        <v>530</v>
      </c>
      <c r="D294">
        <f>D7</f>
        <v>44.1</v>
      </c>
      <c r="E294">
        <f>D294</f>
        <v>44.1</v>
      </c>
      <c r="F294">
        <f t="shared" si="24"/>
        <v>44.1</v>
      </c>
      <c r="G294">
        <f t="shared" si="24"/>
        <v>44.1</v>
      </c>
      <c r="H294">
        <f>D5</f>
        <v>35.400000000000006</v>
      </c>
      <c r="I294">
        <f t="shared" ref="I294:K294" si="26">H294</f>
        <v>35.400000000000006</v>
      </c>
      <c r="J294">
        <f t="shared" si="26"/>
        <v>35.400000000000006</v>
      </c>
      <c r="K294">
        <f t="shared" si="26"/>
        <v>35.400000000000006</v>
      </c>
    </row>
    <row r="295" spans="1:12" x14ac:dyDescent="0.25">
      <c r="A295" s="77"/>
      <c r="B295" t="s">
        <v>531</v>
      </c>
      <c r="C295" t="s">
        <v>532</v>
      </c>
      <c r="D295">
        <f>D232</f>
        <v>7000</v>
      </c>
      <c r="E295">
        <v>1000</v>
      </c>
      <c r="F295">
        <v>1</v>
      </c>
      <c r="G295">
        <v>0</v>
      </c>
      <c r="H295">
        <f>D295</f>
        <v>7000</v>
      </c>
      <c r="I295">
        <f>E295</f>
        <v>1000</v>
      </c>
      <c r="J295">
        <f>F295</f>
        <v>1</v>
      </c>
      <c r="K295">
        <f>G295</f>
        <v>0</v>
      </c>
    </row>
    <row r="296" spans="1:12" x14ac:dyDescent="0.25">
      <c r="A296" s="77"/>
      <c r="B296" t="s">
        <v>533</v>
      </c>
      <c r="C296" s="31"/>
      <c r="D296">
        <f>D230</f>
        <v>3.6875000000000007E-3</v>
      </c>
      <c r="E296">
        <f>D296</f>
        <v>3.6875000000000007E-3</v>
      </c>
      <c r="F296">
        <f t="shared" si="24"/>
        <v>3.6875000000000007E-3</v>
      </c>
      <c r="G296">
        <f t="shared" si="24"/>
        <v>3.6875000000000007E-3</v>
      </c>
      <c r="H296">
        <f t="shared" ref="H296:K296" si="27">G296</f>
        <v>3.6875000000000007E-3</v>
      </c>
      <c r="I296">
        <f t="shared" si="27"/>
        <v>3.6875000000000007E-3</v>
      </c>
      <c r="J296">
        <f t="shared" si="27"/>
        <v>3.6875000000000007E-3</v>
      </c>
      <c r="K296">
        <f t="shared" si="27"/>
        <v>3.6875000000000007E-3</v>
      </c>
    </row>
    <row r="297" spans="1:12" x14ac:dyDescent="0.25">
      <c r="A297" s="77"/>
      <c r="B297" t="s">
        <v>47</v>
      </c>
      <c r="D297">
        <f>D3</f>
        <v>16000</v>
      </c>
      <c r="E297">
        <f>D297</f>
        <v>16000</v>
      </c>
      <c r="F297">
        <f t="shared" si="24"/>
        <v>16000</v>
      </c>
      <c r="G297">
        <f t="shared" si="24"/>
        <v>16000</v>
      </c>
      <c r="H297">
        <f t="shared" ref="H297:K297" si="28">G297</f>
        <v>16000</v>
      </c>
      <c r="I297">
        <f t="shared" si="28"/>
        <v>16000</v>
      </c>
      <c r="J297">
        <f t="shared" si="28"/>
        <v>16000</v>
      </c>
      <c r="K297">
        <f t="shared" si="28"/>
        <v>16000</v>
      </c>
    </row>
    <row r="298" spans="1:12" x14ac:dyDescent="0.25">
      <c r="A298" s="77"/>
      <c r="B298" t="s">
        <v>39</v>
      </c>
      <c r="D298">
        <f>D110</f>
        <v>0.5</v>
      </c>
      <c r="E298">
        <f>D298</f>
        <v>0.5</v>
      </c>
      <c r="F298">
        <f t="shared" si="24"/>
        <v>0.5</v>
      </c>
      <c r="G298">
        <f t="shared" si="24"/>
        <v>0.5</v>
      </c>
      <c r="H298">
        <f t="shared" ref="H298:K298" si="29">G298</f>
        <v>0.5</v>
      </c>
      <c r="I298">
        <f t="shared" si="29"/>
        <v>0.5</v>
      </c>
      <c r="J298">
        <f t="shared" si="29"/>
        <v>0.5</v>
      </c>
      <c r="K298">
        <f t="shared" si="29"/>
        <v>0.5</v>
      </c>
    </row>
    <row r="299" spans="1:12" x14ac:dyDescent="0.25">
      <c r="A299" s="77"/>
      <c r="C299" s="31"/>
    </row>
    <row r="300" spans="1:12" x14ac:dyDescent="0.25">
      <c r="A300" s="77"/>
      <c r="B300" t="s">
        <v>538</v>
      </c>
      <c r="C300" s="31" t="s">
        <v>539</v>
      </c>
      <c r="D300">
        <v>40</v>
      </c>
      <c r="E300">
        <v>40</v>
      </c>
      <c r="F300">
        <v>40</v>
      </c>
      <c r="G300">
        <v>40</v>
      </c>
      <c r="H300">
        <f>G300</f>
        <v>40</v>
      </c>
      <c r="I300">
        <f>H300</f>
        <v>40</v>
      </c>
      <c r="J300">
        <f>I300</f>
        <v>40</v>
      </c>
      <c r="K300">
        <f>J300</f>
        <v>40</v>
      </c>
    </row>
    <row r="301" spans="1:12" x14ac:dyDescent="0.25">
      <c r="A301" s="77"/>
      <c r="B301" t="s">
        <v>547</v>
      </c>
      <c r="C301" t="s">
        <v>546</v>
      </c>
      <c r="D301">
        <f>D290*POWER(D292, 2)/(2*POWER(D293-D294-(D295*D296), 2))</f>
        <v>2.7616446905913709E-6</v>
      </c>
    </row>
    <row r="302" spans="1:12" x14ac:dyDescent="0.25">
      <c r="A302" s="77"/>
      <c r="B302" t="s">
        <v>526</v>
      </c>
      <c r="C302" t="s">
        <v>555</v>
      </c>
      <c r="D302" s="1">
        <f>(0.22*0.000001)*6</f>
        <v>1.3199999999999999E-6</v>
      </c>
      <c r="E302" s="1">
        <f>D302</f>
        <v>1.3199999999999999E-6</v>
      </c>
      <c r="F302" s="1">
        <f>E302</f>
        <v>1.3199999999999999E-6</v>
      </c>
      <c r="G302" s="1">
        <f>E302</f>
        <v>1.3199999999999999E-6</v>
      </c>
      <c r="H302" s="1">
        <f t="shared" ref="H302:K302" si="30">F302</f>
        <v>1.3199999999999999E-6</v>
      </c>
      <c r="I302" s="1">
        <f t="shared" si="30"/>
        <v>1.3199999999999999E-6</v>
      </c>
      <c r="J302" s="1">
        <f t="shared" si="30"/>
        <v>1.3199999999999999E-6</v>
      </c>
      <c r="K302" s="1">
        <f t="shared" si="30"/>
        <v>1.3199999999999999E-6</v>
      </c>
      <c r="L302" s="1"/>
    </row>
    <row r="303" spans="1:12" x14ac:dyDescent="0.25">
      <c r="A303" s="77"/>
      <c r="B303" t="s">
        <v>534</v>
      </c>
      <c r="C303" s="31" t="s">
        <v>535</v>
      </c>
      <c r="D303">
        <f>POWER(D298/(PI()*D297), 2)/D302</f>
        <v>7.4959445758121602E-5</v>
      </c>
      <c r="E303">
        <f>POWER(E298/(PI()*E297), 2)/E302</f>
        <v>7.4959445758121602E-5</v>
      </c>
      <c r="F303">
        <f>POWER(F298/(PI()*F297), 2)/F302</f>
        <v>7.4959445758121602E-5</v>
      </c>
      <c r="G303">
        <f>POWER(G298/(PI()*G297), 2)/G302</f>
        <v>7.4959445758121602E-5</v>
      </c>
      <c r="H303">
        <f t="shared" ref="H303:K303" si="31">POWER(H298/(PI()*H297), 2)/H302</f>
        <v>7.4959445758121602E-5</v>
      </c>
      <c r="I303">
        <f t="shared" si="31"/>
        <v>7.4959445758121602E-5</v>
      </c>
      <c r="J303">
        <f t="shared" si="31"/>
        <v>7.4959445758121602E-5</v>
      </c>
      <c r="K303">
        <f t="shared" si="31"/>
        <v>7.4959445758121602E-5</v>
      </c>
    </row>
    <row r="304" spans="1:12" x14ac:dyDescent="0.25">
      <c r="A304" s="77"/>
      <c r="B304" t="s">
        <v>536</v>
      </c>
      <c r="C304" s="31" t="s">
        <v>537</v>
      </c>
      <c r="D304">
        <f>(POWER(D300, 2)-POWER(POWER(D300, 4) - POWER(PI()*POWER(D294, 2)*D302/(D291+D290), 2), 0.5))/((D302/2)*POWER(PI()*D294/(D291+D290), 2))</f>
        <v>1.6087439934673409E-6</v>
      </c>
      <c r="E304">
        <f>(POWER(E300, 2)-POWER(POWER(E300, 4) - POWER(PI()*POWER(E294, 2)*E302/(E291+E290), 2), 0.5))/((E302/2)*POWER(PI()*E294/(E291+E290), 2))</f>
        <v>1.6087439934673409E-6</v>
      </c>
      <c r="F304">
        <f>(POWER(F300, 2)-POWER(POWER(F300, 4) - POWER(PI()*POWER(F294, 2)*F302/(F291+F290), 2), 0.5))/((F302/2)*POWER(PI()*F294/(F291+F290), 2))</f>
        <v>1.6087439934673409E-6</v>
      </c>
      <c r="G304">
        <f>(POWER(G300, 2)-POWER(POWER(G300, 4) - POWER(PI()*POWER(G294, 2)*G302/(G291+G290), 2), 0.5))/((G302/2)*POWER(PI()*G294/(G291+G290), 2))</f>
        <v>1.6087439934673409E-6</v>
      </c>
      <c r="H304">
        <f t="shared" ref="H304:K304" si="32">(POWER(H300, 2)-POWER(POWER(H300, 4) - POWER(PI()*POWER(H294, 2)*H302/(H291+H290), 2), 0.5))/((H302/2)*POWER(PI()*H294/(H291+H290), 2))</f>
        <v>1.0349973695208604E-6</v>
      </c>
      <c r="I304">
        <f t="shared" si="32"/>
        <v>1.0349973695208604E-6</v>
      </c>
      <c r="J304">
        <f t="shared" si="32"/>
        <v>1.0349973695208604E-6</v>
      </c>
      <c r="K304">
        <f t="shared" si="32"/>
        <v>1.0349973695208604E-6</v>
      </c>
    </row>
    <row r="305" spans="1:13" x14ac:dyDescent="0.25">
      <c r="A305" s="77"/>
      <c r="B305" t="s">
        <v>540</v>
      </c>
      <c r="C305" s="31" t="s">
        <v>545</v>
      </c>
      <c r="D305" s="1">
        <v>1.5E-5</v>
      </c>
      <c r="E305" s="1">
        <f>D305</f>
        <v>1.5E-5</v>
      </c>
      <c r="F305" s="1">
        <f t="shared" ref="F305:K305" si="33">E305</f>
        <v>1.5E-5</v>
      </c>
      <c r="G305" s="1">
        <f t="shared" si="33"/>
        <v>1.5E-5</v>
      </c>
      <c r="H305">
        <f t="shared" si="33"/>
        <v>1.5E-5</v>
      </c>
      <c r="I305">
        <f t="shared" si="33"/>
        <v>1.5E-5</v>
      </c>
      <c r="J305">
        <f t="shared" si="33"/>
        <v>1.5E-5</v>
      </c>
      <c r="K305">
        <f t="shared" si="33"/>
        <v>1.5E-5</v>
      </c>
    </row>
    <row r="306" spans="1:13" x14ac:dyDescent="0.25">
      <c r="A306" s="77"/>
      <c r="B306" t="s">
        <v>543</v>
      </c>
      <c r="C306" s="31" t="s">
        <v>544</v>
      </c>
      <c r="D306" t="b">
        <f>AND(D305&gt;D304, D305&lt;D303)</f>
        <v>1</v>
      </c>
      <c r="E306" t="b">
        <f>AND(E305&gt;E304, E305&lt;E303)</f>
        <v>1</v>
      </c>
      <c r="F306" t="b">
        <f>AND(F305&gt;F304, F305&lt;F303)</f>
        <v>1</v>
      </c>
      <c r="G306" t="b">
        <f>AND(G305&gt;G304, G305&lt;G303)</f>
        <v>1</v>
      </c>
      <c r="H306" t="b">
        <f t="shared" ref="H306:K306" si="34">AND(H305&gt;H304, H305&lt;H303)</f>
        <v>1</v>
      </c>
      <c r="I306" t="b">
        <f t="shared" si="34"/>
        <v>1</v>
      </c>
      <c r="J306" t="b">
        <f t="shared" si="34"/>
        <v>1</v>
      </c>
      <c r="K306" t="b">
        <f t="shared" si="34"/>
        <v>1</v>
      </c>
    </row>
    <row r="307" spans="1:13" x14ac:dyDescent="0.25">
      <c r="A307" s="77"/>
      <c r="B307" t="s">
        <v>566</v>
      </c>
      <c r="D307">
        <v>8.4999999999999995E-4</v>
      </c>
    </row>
    <row r="308" spans="1:13" x14ac:dyDescent="0.25">
      <c r="A308" s="77"/>
      <c r="B308" t="s">
        <v>284</v>
      </c>
      <c r="D308">
        <f>POWER(D292, 2)*D290/2</f>
        <v>2.5000000000000001E-3</v>
      </c>
    </row>
    <row r="309" spans="1:13" x14ac:dyDescent="0.25">
      <c r="A309" s="77"/>
      <c r="B309" t="s">
        <v>565</v>
      </c>
      <c r="C309" s="31" t="s">
        <v>567</v>
      </c>
      <c r="D309">
        <f>POWER(D292/SQRT(3), 2)*D307</f>
        <v>0.14470086288529263</v>
      </c>
    </row>
    <row r="310" spans="1:13" x14ac:dyDescent="0.25">
      <c r="A310" s="77"/>
      <c r="B310" t="s">
        <v>572</v>
      </c>
      <c r="D310">
        <f>D290*D305/(D290+D305)</f>
        <v>5.9238739931172719E-6</v>
      </c>
      <c r="G310" t="s">
        <v>509</v>
      </c>
      <c r="H310" t="s">
        <v>498</v>
      </c>
      <c r="I310" t="s">
        <v>506</v>
      </c>
      <c r="J310" t="s">
        <v>504</v>
      </c>
      <c r="K310" t="s">
        <v>505</v>
      </c>
      <c r="L310" t="s">
        <v>507</v>
      </c>
      <c r="M310" t="s">
        <v>508</v>
      </c>
    </row>
    <row r="311" spans="1:13" x14ac:dyDescent="0.25">
      <c r="A311" s="77"/>
      <c r="B311" s="32" t="s">
        <v>571</v>
      </c>
      <c r="D311" s="1">
        <f>1/POWER(D310*D302, 0.5)</f>
        <v>357610.39006916573</v>
      </c>
      <c r="F311" s="4" t="s">
        <v>568</v>
      </c>
      <c r="G311">
        <v>2.2000000000000001E-3</v>
      </c>
      <c r="H311">
        <v>6</v>
      </c>
      <c r="I311">
        <v>5.0999999999999996</v>
      </c>
      <c r="J311">
        <f>I311/H311</f>
        <v>0.85</v>
      </c>
      <c r="K311" s="30">
        <v>2.27</v>
      </c>
      <c r="L311" s="30">
        <f>K311*H311</f>
        <v>13.620000000000001</v>
      </c>
      <c r="M311">
        <f>G311*H311</f>
        <v>1.32E-2</v>
      </c>
    </row>
    <row r="312" spans="1:13" x14ac:dyDescent="0.25">
      <c r="A312" s="77"/>
      <c r="B312" t="s">
        <v>574</v>
      </c>
      <c r="D312">
        <f>POWER(2*D308/D310, 0.5)</f>
        <v>29.052405428187488</v>
      </c>
    </row>
    <row r="313" spans="1:13" x14ac:dyDescent="0.25">
      <c r="A313" s="77"/>
      <c r="B313" t="s">
        <v>575</v>
      </c>
      <c r="D313">
        <f>D312</f>
        <v>29.052405428187488</v>
      </c>
    </row>
    <row r="314" spans="1:13" x14ac:dyDescent="0.25">
      <c r="A314" s="77"/>
      <c r="B314" t="s">
        <v>573</v>
      </c>
      <c r="D314" s="1">
        <f>SQRT(D308*2/D302)</f>
        <v>61.545745489666373</v>
      </c>
    </row>
    <row r="315" spans="1:13" x14ac:dyDescent="0.25">
      <c r="A315" s="77"/>
      <c r="B315" t="s">
        <v>576</v>
      </c>
      <c r="D315" s="1">
        <f>D314+D7</f>
        <v>105.64574548966638</v>
      </c>
    </row>
    <row r="316" spans="1:13" x14ac:dyDescent="0.25">
      <c r="A316" s="77"/>
      <c r="B316" t="s">
        <v>577</v>
      </c>
      <c r="D316" s="1">
        <f>D314</f>
        <v>61.545745489666373</v>
      </c>
    </row>
    <row r="317" spans="1:13" x14ac:dyDescent="0.25">
      <c r="A317" s="77"/>
      <c r="B317" t="s">
        <v>580</v>
      </c>
      <c r="D317">
        <f>D289*D313</f>
        <v>72.631013570468724</v>
      </c>
    </row>
    <row r="318" spans="1:13" x14ac:dyDescent="0.25">
      <c r="A318" s="77"/>
      <c r="B318" t="s">
        <v>578</v>
      </c>
      <c r="D318">
        <f>D289*D313</f>
        <v>72.631013570468724</v>
      </c>
    </row>
    <row r="319" spans="1:13" x14ac:dyDescent="0.25">
      <c r="A319" s="77"/>
      <c r="B319" t="s">
        <v>578</v>
      </c>
      <c r="D319">
        <f>D289*D313</f>
        <v>72.631013570468724</v>
      </c>
    </row>
    <row r="320" spans="1:13" x14ac:dyDescent="0.25">
      <c r="A320" s="77"/>
      <c r="B320" t="s">
        <v>582</v>
      </c>
      <c r="D320" s="1">
        <f>D289*D315</f>
        <v>264.11436372416597</v>
      </c>
    </row>
    <row r="321" spans="1:5" x14ac:dyDescent="0.25">
      <c r="A321" s="77"/>
      <c r="B321" t="s">
        <v>581</v>
      </c>
      <c r="D321" s="1">
        <f>D289*D316</f>
        <v>153.86436372416594</v>
      </c>
    </row>
    <row r="322" spans="1:5" x14ac:dyDescent="0.25">
      <c r="A322" s="77"/>
      <c r="B322" t="s">
        <v>579</v>
      </c>
      <c r="D322" s="1">
        <f>D289*D314</f>
        <v>153.86436372416594</v>
      </c>
    </row>
    <row r="323" spans="1:5" x14ac:dyDescent="0.25">
      <c r="A323" s="77"/>
      <c r="B323" t="s">
        <v>603</v>
      </c>
      <c r="D323" s="1">
        <v>0.86</v>
      </c>
    </row>
    <row r="324" spans="1:5" x14ac:dyDescent="0.25">
      <c r="A324" s="77"/>
      <c r="B324" t="s">
        <v>604</v>
      </c>
      <c r="D324" s="1">
        <f>0.86</f>
        <v>0.86</v>
      </c>
    </row>
    <row r="325" spans="1:5" x14ac:dyDescent="0.25">
      <c r="A325" s="77"/>
      <c r="B325" t="s">
        <v>601</v>
      </c>
      <c r="C325" t="s">
        <v>605</v>
      </c>
      <c r="D325" s="1">
        <f>D308*16000/4</f>
        <v>10</v>
      </c>
    </row>
    <row r="326" spans="1:5" x14ac:dyDescent="0.25">
      <c r="A326" s="77"/>
      <c r="B326" t="s">
        <v>602</v>
      </c>
      <c r="C326" t="s">
        <v>605</v>
      </c>
      <c r="D326" s="1">
        <f>D325</f>
        <v>10</v>
      </c>
    </row>
    <row r="327" spans="1:5" x14ac:dyDescent="0.25">
      <c r="A327" s="77"/>
      <c r="B327" t="s">
        <v>583</v>
      </c>
      <c r="C327" t="s">
        <v>584</v>
      </c>
      <c r="D327">
        <v>0.5</v>
      </c>
      <c r="E327" t="s">
        <v>745</v>
      </c>
    </row>
    <row r="328" spans="1:5" x14ac:dyDescent="0.25">
      <c r="A328" s="77"/>
      <c r="B328" s="38" t="s">
        <v>585</v>
      </c>
      <c r="C328" s="38" t="s">
        <v>586</v>
      </c>
      <c r="D328" s="38">
        <f>D308*2/POWER(D327, 2)</f>
        <v>0.02</v>
      </c>
    </row>
    <row r="329" spans="1:5" x14ac:dyDescent="0.25">
      <c r="A329" s="77"/>
      <c r="C329" s="31"/>
    </row>
    <row r="330" spans="1:5" x14ac:dyDescent="0.25">
      <c r="A330" s="77"/>
      <c r="C330" s="31"/>
    </row>
    <row r="331" spans="1:5" x14ac:dyDescent="0.25">
      <c r="A331" s="77"/>
      <c r="C331" s="31"/>
    </row>
    <row r="332" spans="1:5" x14ac:dyDescent="0.25">
      <c r="A332" s="77"/>
      <c r="C332" s="31"/>
    </row>
    <row r="333" spans="1:5" x14ac:dyDescent="0.25">
      <c r="A333" s="77"/>
      <c r="C333" s="31"/>
    </row>
    <row r="334" spans="1:5" x14ac:dyDescent="0.25">
      <c r="A334" s="77"/>
      <c r="C334" s="31"/>
    </row>
    <row r="335" spans="1:5" x14ac:dyDescent="0.25">
      <c r="A335" s="77"/>
      <c r="C335" s="31"/>
    </row>
    <row r="336" spans="1:5" x14ac:dyDescent="0.25">
      <c r="A336" s="77"/>
      <c r="C336" s="31"/>
    </row>
    <row r="337" spans="1:4" x14ac:dyDescent="0.25">
      <c r="A337" s="77"/>
    </row>
    <row r="338" spans="1:4" x14ac:dyDescent="0.25">
      <c r="A338" s="33"/>
    </row>
    <row r="339" spans="1:4" x14ac:dyDescent="0.25">
      <c r="A339" s="77" t="s">
        <v>588</v>
      </c>
      <c r="C339" t="s">
        <v>254</v>
      </c>
      <c r="D339">
        <f>D281/D276</f>
        <v>3.9463299131807418E-6</v>
      </c>
    </row>
    <row r="340" spans="1:4" x14ac:dyDescent="0.25">
      <c r="A340" s="77"/>
      <c r="C340" t="s">
        <v>255</v>
      </c>
      <c r="D340">
        <f>(D281-(D273*D271))*(D275/(D275+D273))</f>
        <v>2.0126282557221785E-2</v>
      </c>
    </row>
    <row r="341" spans="1:4" x14ac:dyDescent="0.25">
      <c r="A341" s="77"/>
      <c r="C341" t="s">
        <v>256</v>
      </c>
      <c r="D341">
        <f>D281/D270</f>
        <v>2.3351085620647277E-2</v>
      </c>
    </row>
    <row r="342" spans="1:4" x14ac:dyDescent="0.25">
      <c r="A342" s="77"/>
      <c r="C342" t="s">
        <v>257</v>
      </c>
      <c r="D342">
        <f>ABS(D341-D340)/D341</f>
        <v>0.13810077680388819</v>
      </c>
    </row>
    <row r="343" spans="1:4" x14ac:dyDescent="0.25">
      <c r="A343" s="77"/>
      <c r="C343" t="s">
        <v>258</v>
      </c>
      <c r="D343">
        <f>(D5-(D273*D271))*(D275/(D275+D273))</f>
        <v>0.46827150749802693</v>
      </c>
    </row>
    <row r="344" spans="1:4" x14ac:dyDescent="0.25">
      <c r="A344" s="77"/>
      <c r="C344" t="s">
        <v>259</v>
      </c>
      <c r="D344">
        <f>D5/D270</f>
        <v>0.41331421548545688</v>
      </c>
    </row>
    <row r="345" spans="1:4" x14ac:dyDescent="0.25">
      <c r="A345" s="77"/>
      <c r="C345" t="s">
        <v>260</v>
      </c>
      <c r="D345">
        <f>ABS(D344-D343)/D344</f>
        <v>0.13296734047247841</v>
      </c>
    </row>
    <row r="346" spans="1:4" x14ac:dyDescent="0.25">
      <c r="A346" s="77"/>
      <c r="C346" t="s">
        <v>261</v>
      </c>
      <c r="D346">
        <f>(D344-D343)/D284</f>
        <v>-0.79643147249380875</v>
      </c>
    </row>
    <row r="347" spans="1:4" x14ac:dyDescent="0.25">
      <c r="A347" s="77"/>
      <c r="B347" t="s">
        <v>262</v>
      </c>
      <c r="C347" t="s">
        <v>263</v>
      </c>
    </row>
    <row r="348" spans="1:4" x14ac:dyDescent="0.25">
      <c r="A348" s="77"/>
      <c r="B348" t="s">
        <v>264</v>
      </c>
      <c r="D348">
        <f>(D273*D275)/(D273+D275)</f>
        <v>6708.7608524072612</v>
      </c>
    </row>
    <row r="349" spans="1:4" x14ac:dyDescent="0.25">
      <c r="A349" s="77"/>
      <c r="C349" t="s">
        <v>265</v>
      </c>
      <c r="D349">
        <f>0.00000000001</f>
        <v>9.9999999999999994E-12</v>
      </c>
    </row>
    <row r="350" spans="1:4" x14ac:dyDescent="0.25">
      <c r="A350" s="77"/>
    </row>
    <row r="351" spans="1:4" x14ac:dyDescent="0.25">
      <c r="A351" s="77"/>
      <c r="B351" t="s">
        <v>266</v>
      </c>
      <c r="D351">
        <f>3.15/(0.000001)</f>
        <v>3150000</v>
      </c>
    </row>
    <row r="352" spans="1:4" x14ac:dyDescent="0.25">
      <c r="A352" s="77"/>
      <c r="B352" t="s">
        <v>329</v>
      </c>
      <c r="D352">
        <f>D349/((1/D348)+(1/D351))</f>
        <v>6.6945031316023044E-8</v>
      </c>
    </row>
    <row r="353" spans="1:4" x14ac:dyDescent="0.25">
      <c r="A353" s="77"/>
      <c r="B353" t="s">
        <v>274</v>
      </c>
      <c r="D353">
        <f>D268/0.012</f>
        <v>237.5</v>
      </c>
    </row>
    <row r="354" spans="1:4" x14ac:dyDescent="0.25">
      <c r="A354" s="77"/>
      <c r="B354" t="s">
        <v>273</v>
      </c>
      <c r="D354" s="24">
        <v>1000</v>
      </c>
    </row>
    <row r="355" spans="1:4" x14ac:dyDescent="0.25">
      <c r="A355" s="77"/>
    </row>
    <row r="356" spans="1:4" x14ac:dyDescent="0.25">
      <c r="A356" s="77"/>
      <c r="B356" t="s">
        <v>271</v>
      </c>
      <c r="D356">
        <f>D2/D5</f>
        <v>5.6497175141242932</v>
      </c>
    </row>
    <row r="357" spans="1:4" x14ac:dyDescent="0.25">
      <c r="A357" s="77"/>
      <c r="B357" t="s">
        <v>270</v>
      </c>
      <c r="C357" t="s">
        <v>269</v>
      </c>
      <c r="D357">
        <v>0.05</v>
      </c>
    </row>
    <row r="358" spans="1:4" x14ac:dyDescent="0.25">
      <c r="A358" s="77"/>
      <c r="C358" t="s">
        <v>268</v>
      </c>
      <c r="D358">
        <f>D356/(D3*D357)</f>
        <v>7.0621468926553663E-3</v>
      </c>
    </row>
    <row r="359" spans="1:4" x14ac:dyDescent="0.25">
      <c r="A359" s="77"/>
      <c r="C359" t="s">
        <v>272</v>
      </c>
      <c r="D359">
        <f>POWER(D7, 2)*D358/2</f>
        <v>6.8672669491525422</v>
      </c>
    </row>
    <row r="360" spans="1:4" x14ac:dyDescent="0.25">
      <c r="A360" s="77"/>
    </row>
    <row r="361" spans="1:4" x14ac:dyDescent="0.25">
      <c r="A361" s="49"/>
    </row>
    <row r="362" spans="1:4" x14ac:dyDescent="0.25">
      <c r="A362" s="76" t="s">
        <v>587</v>
      </c>
      <c r="B362" t="s">
        <v>592</v>
      </c>
      <c r="D362" s="1">
        <f>MAX(D425, 200)</f>
        <v>200</v>
      </c>
    </row>
    <row r="363" spans="1:4" x14ac:dyDescent="0.25">
      <c r="A363" s="76"/>
      <c r="B363" t="s">
        <v>589</v>
      </c>
      <c r="D363">
        <v>500000</v>
      </c>
    </row>
    <row r="364" spans="1:4" x14ac:dyDescent="0.25">
      <c r="A364" s="76"/>
      <c r="B364" t="s">
        <v>590</v>
      </c>
      <c r="D364">
        <v>6800</v>
      </c>
    </row>
    <row r="365" spans="1:4" x14ac:dyDescent="0.25">
      <c r="A365" s="76"/>
      <c r="B365" t="s">
        <v>591</v>
      </c>
      <c r="D365">
        <f>D363+D364</f>
        <v>506800</v>
      </c>
    </row>
    <row r="366" spans="1:4" x14ac:dyDescent="0.25">
      <c r="A366" s="76"/>
      <c r="B366" t="s">
        <v>595</v>
      </c>
      <c r="D366" s="1">
        <f>D362/D365</f>
        <v>3.9463299131807419E-4</v>
      </c>
    </row>
    <row r="367" spans="1:4" x14ac:dyDescent="0.25">
      <c r="A367" s="76"/>
      <c r="B367" t="s">
        <v>593</v>
      </c>
      <c r="D367" s="1">
        <f>POWER(D366, 2)*D363</f>
        <v>7.7867598918325606E-2</v>
      </c>
    </row>
    <row r="368" spans="1:4" x14ac:dyDescent="0.25">
      <c r="A368" s="76"/>
      <c r="B368" t="s">
        <v>594</v>
      </c>
      <c r="D368" s="1">
        <f>POWER(D366, 2)*D364</f>
        <v>1.0589993452892283E-3</v>
      </c>
    </row>
    <row r="369" spans="1:5" x14ac:dyDescent="0.25">
      <c r="A369" s="76"/>
      <c r="B369" t="s">
        <v>596</v>
      </c>
      <c r="D369" s="1">
        <f>D367+D368</f>
        <v>7.8926598263614839E-2</v>
      </c>
    </row>
    <row r="370" spans="1:5" x14ac:dyDescent="0.25">
      <c r="A370" s="76"/>
      <c r="C370" t="s">
        <v>597</v>
      </c>
      <c r="D370">
        <v>2.7</v>
      </c>
    </row>
    <row r="371" spans="1:5" x14ac:dyDescent="0.25">
      <c r="A371" s="76"/>
      <c r="C371" t="s">
        <v>598</v>
      </c>
      <c r="D371" s="1">
        <f>D362/D370</f>
        <v>74.074074074074076</v>
      </c>
    </row>
    <row r="372" spans="1:5" x14ac:dyDescent="0.25">
      <c r="A372" s="76"/>
      <c r="C372" t="s">
        <v>599</v>
      </c>
      <c r="D372" s="1">
        <f>D365/D364</f>
        <v>74.529411764705884</v>
      </c>
    </row>
    <row r="373" spans="1:5" x14ac:dyDescent="0.25">
      <c r="A373" s="76"/>
      <c r="C373" t="s">
        <v>600</v>
      </c>
      <c r="D373" s="1" t="b">
        <f>MAX(D371, D372)/MIN(D371,D372)&lt;1.04</f>
        <v>1</v>
      </c>
    </row>
    <row r="374" spans="1:5" x14ac:dyDescent="0.25">
      <c r="A374" s="76"/>
    </row>
    <row r="375" spans="1:5" x14ac:dyDescent="0.25">
      <c r="A375" s="50"/>
    </row>
    <row r="376" spans="1:5" x14ac:dyDescent="0.25">
      <c r="A376" s="76" t="s">
        <v>564</v>
      </c>
      <c r="C376" t="s">
        <v>275</v>
      </c>
    </row>
    <row r="377" spans="1:5" x14ac:dyDescent="0.25">
      <c r="A377" s="76"/>
      <c r="B377" t="s">
        <v>38</v>
      </c>
      <c r="D377">
        <f>D7</f>
        <v>44.1</v>
      </c>
      <c r="E377" t="s">
        <v>21</v>
      </c>
    </row>
    <row r="378" spans="1:5" x14ac:dyDescent="0.25">
      <c r="A378" s="76"/>
      <c r="B378" t="s">
        <v>37</v>
      </c>
      <c r="D378">
        <f>D5</f>
        <v>35.400000000000006</v>
      </c>
      <c r="E378" t="s">
        <v>21</v>
      </c>
    </row>
    <row r="379" spans="1:5" x14ac:dyDescent="0.25">
      <c r="A379" s="76"/>
      <c r="B379" t="s">
        <v>1040</v>
      </c>
      <c r="D379" s="52">
        <v>2000</v>
      </c>
      <c r="E379" s="8" t="s">
        <v>24</v>
      </c>
    </row>
    <row r="380" spans="1:5" x14ac:dyDescent="0.25">
      <c r="A380" s="76"/>
      <c r="C380" t="s">
        <v>1039</v>
      </c>
      <c r="D380" s="27">
        <f>D377/D382</f>
        <v>16.333333333333332</v>
      </c>
    </row>
    <row r="381" spans="1:5" x14ac:dyDescent="0.25">
      <c r="A381" s="76"/>
      <c r="B381" t="s">
        <v>1041</v>
      </c>
      <c r="D381" s="27">
        <f>D380*D379</f>
        <v>32666.666666666664</v>
      </c>
      <c r="E381" s="8" t="s">
        <v>24</v>
      </c>
    </row>
    <row r="382" spans="1:5" x14ac:dyDescent="0.25">
      <c r="A382" s="76"/>
      <c r="C382" t="s">
        <v>276</v>
      </c>
      <c r="D382" s="52">
        <v>2.7</v>
      </c>
      <c r="E382" t="s">
        <v>21</v>
      </c>
    </row>
    <row r="383" spans="1:5" x14ac:dyDescent="0.25">
      <c r="A383" s="76"/>
      <c r="B383" t="s">
        <v>1042</v>
      </c>
      <c r="D383" s="52">
        <v>33000</v>
      </c>
      <c r="E383" s="8" t="s">
        <v>24</v>
      </c>
    </row>
    <row r="384" spans="1:5" x14ac:dyDescent="0.25">
      <c r="A384" s="76"/>
      <c r="C384" t="s">
        <v>1051</v>
      </c>
      <c r="D384" s="52">
        <v>1</v>
      </c>
      <c r="E384" s="8" t="s">
        <v>162</v>
      </c>
    </row>
    <row r="385" spans="1:5" x14ac:dyDescent="0.25">
      <c r="A385" s="76"/>
      <c r="B385" t="s">
        <v>520</v>
      </c>
      <c r="D385" s="27">
        <f>D377/(D379+D383)</f>
        <v>1.2600000000000001E-3</v>
      </c>
      <c r="E385" t="s">
        <v>20</v>
      </c>
    </row>
    <row r="386" spans="1:5" x14ac:dyDescent="0.25">
      <c r="A386" s="76"/>
      <c r="B386" t="s">
        <v>1049</v>
      </c>
      <c r="D386" s="27">
        <f>POWER(D385, 2)*D383</f>
        <v>5.2390800000000001E-2</v>
      </c>
      <c r="E386" t="s">
        <v>22</v>
      </c>
    </row>
    <row r="387" spans="1:5" x14ac:dyDescent="0.25">
      <c r="A387" s="76"/>
      <c r="B387" t="s">
        <v>1050</v>
      </c>
      <c r="D387" s="27">
        <f>POWER(D385, 2)*D379</f>
        <v>3.1752E-3</v>
      </c>
      <c r="E387" t="s">
        <v>22</v>
      </c>
    </row>
    <row r="388" spans="1:5" x14ac:dyDescent="0.25">
      <c r="A388" s="76"/>
      <c r="B388" t="s">
        <v>157</v>
      </c>
      <c r="D388" s="27">
        <f>D386+D387</f>
        <v>5.5566000000000004E-2</v>
      </c>
      <c r="E388" t="s">
        <v>22</v>
      </c>
    </row>
    <row r="389" spans="1:5" x14ac:dyDescent="0.25">
      <c r="A389" s="76"/>
      <c r="B389" t="s">
        <v>324</v>
      </c>
      <c r="D389" s="54">
        <v>4.6999999999999999E-6</v>
      </c>
      <c r="E389" s="8" t="s">
        <v>24</v>
      </c>
    </row>
    <row r="390" spans="1:5" x14ac:dyDescent="0.25">
      <c r="A390" s="76"/>
      <c r="B390" t="s">
        <v>1043</v>
      </c>
      <c r="D390" s="27">
        <f>(D379*D383)/(D379+D383)</f>
        <v>1885.7142857142858</v>
      </c>
      <c r="E390" s="8" t="s">
        <v>24</v>
      </c>
    </row>
    <row r="391" spans="1:5" x14ac:dyDescent="0.25">
      <c r="A391" s="76"/>
      <c r="B391" t="s">
        <v>1062</v>
      </c>
      <c r="C391" t="s">
        <v>1063</v>
      </c>
      <c r="D391" s="51">
        <f>D389*D390</f>
        <v>8.8628571428571428E-3</v>
      </c>
      <c r="E391" s="8" t="s">
        <v>323</v>
      </c>
    </row>
    <row r="392" spans="1:5" x14ac:dyDescent="0.25">
      <c r="A392" s="76"/>
      <c r="B392" t="s">
        <v>1064</v>
      </c>
      <c r="D392" s="51">
        <f>D391*LN(100)</f>
        <v>4.0814965476957316E-2</v>
      </c>
      <c r="E392" s="8" t="s">
        <v>323</v>
      </c>
    </row>
    <row r="393" spans="1:5" x14ac:dyDescent="0.25">
      <c r="A393" s="76"/>
      <c r="B393" t="s">
        <v>1038</v>
      </c>
      <c r="D393" s="54">
        <v>3.9999999999999998E-6</v>
      </c>
      <c r="E393" s="8" t="s">
        <v>20</v>
      </c>
    </row>
    <row r="394" spans="1:5" x14ac:dyDescent="0.25">
      <c r="A394" s="76"/>
      <c r="C394" t="s">
        <v>1044</v>
      </c>
      <c r="D394" s="27">
        <f>(D377-(D383*D393))/(1+(D383/D379))</f>
        <v>2.5124571428571429</v>
      </c>
      <c r="E394" s="8" t="s">
        <v>21</v>
      </c>
    </row>
    <row r="395" spans="1:5" x14ac:dyDescent="0.25">
      <c r="A395" s="76"/>
      <c r="C395" t="s">
        <v>1045</v>
      </c>
      <c r="D395" s="27">
        <f>D377/(1+(D383/D379))</f>
        <v>2.52</v>
      </c>
      <c r="E395" s="8" t="s">
        <v>21</v>
      </c>
    </row>
    <row r="396" spans="1:5" x14ac:dyDescent="0.25">
      <c r="A396" s="76"/>
      <c r="C396" t="s">
        <v>1047</v>
      </c>
      <c r="D396" s="27">
        <f>D395-D394</f>
        <v>7.5428571428570734E-3</v>
      </c>
      <c r="E396" s="8" t="s">
        <v>21</v>
      </c>
    </row>
    <row r="397" spans="1:5" x14ac:dyDescent="0.25">
      <c r="A397" s="76"/>
      <c r="C397" t="s">
        <v>1046</v>
      </c>
      <c r="D397" s="27">
        <f>(D378-(D383*D393))/(1+(D383/D379))</f>
        <v>2.0153142857142861</v>
      </c>
      <c r="E397" s="8" t="s">
        <v>21</v>
      </c>
    </row>
    <row r="398" spans="1:5" x14ac:dyDescent="0.25">
      <c r="A398" s="76"/>
      <c r="B398" t="s">
        <v>1067</v>
      </c>
      <c r="C398" t="s">
        <v>1066</v>
      </c>
      <c r="D398" s="27">
        <f>D378/(1+(D383/D379))</f>
        <v>2.0228571428571431</v>
      </c>
      <c r="E398" s="8" t="s">
        <v>21</v>
      </c>
    </row>
    <row r="399" spans="1:5" x14ac:dyDescent="0.25">
      <c r="A399" s="76"/>
      <c r="B399" t="s">
        <v>1067</v>
      </c>
      <c r="C399" t="s">
        <v>1068</v>
      </c>
      <c r="D399" s="27">
        <f>D398-D397</f>
        <v>7.5428571428570734E-3</v>
      </c>
      <c r="E399" s="8" t="s">
        <v>21</v>
      </c>
    </row>
    <row r="400" spans="1:5" x14ac:dyDescent="0.25">
      <c r="A400" s="76"/>
      <c r="C400" t="s">
        <v>1048</v>
      </c>
      <c r="D400" s="27">
        <f>100*D399/D398</f>
        <v>0.3728813559321999</v>
      </c>
      <c r="E400" s="8" t="s">
        <v>162</v>
      </c>
    </row>
    <row r="401" spans="1:5" x14ac:dyDescent="0.25">
      <c r="A401" s="76"/>
      <c r="C401" t="s">
        <v>1052</v>
      </c>
      <c r="D401" s="27">
        <f>(D400/100)*D378</f>
        <v>0.13199999999999878</v>
      </c>
      <c r="E401" s="8" t="s">
        <v>21</v>
      </c>
    </row>
    <row r="402" spans="1:5" x14ac:dyDescent="0.25">
      <c r="A402" s="76"/>
      <c r="C402" t="s">
        <v>1065</v>
      </c>
      <c r="D402">
        <f>D384/100</f>
        <v>0.01</v>
      </c>
      <c r="E402" s="8"/>
    </row>
    <row r="403" spans="1:5" x14ac:dyDescent="0.25">
      <c r="A403" s="76"/>
      <c r="C403" t="s">
        <v>1054</v>
      </c>
      <c r="D403">
        <f>D383/(D379)</f>
        <v>16.5</v>
      </c>
      <c r="E403" s="8"/>
    </row>
    <row r="404" spans="1:5" x14ac:dyDescent="0.25">
      <c r="A404" s="76"/>
      <c r="C404" t="s">
        <v>1053</v>
      </c>
      <c r="D404">
        <f>D383*(1+D402)/(D379*(1-D402))</f>
        <v>16.833333333333332</v>
      </c>
      <c r="E404" s="8"/>
    </row>
    <row r="405" spans="1:5" x14ac:dyDescent="0.25">
      <c r="A405" s="76"/>
      <c r="C405" t="s">
        <v>1055</v>
      </c>
      <c r="D405">
        <f>D383*(1-D402)/(D379*(1+D402))</f>
        <v>16.173267326732674</v>
      </c>
      <c r="E405" s="8"/>
    </row>
    <row r="406" spans="1:5" x14ac:dyDescent="0.25">
      <c r="A406" s="76"/>
      <c r="C406" t="s">
        <v>1056</v>
      </c>
      <c r="D406">
        <f>(D404-D403)/D403</f>
        <v>2.0202020202020131E-2</v>
      </c>
      <c r="E406" s="8"/>
    </row>
    <row r="407" spans="1:5" x14ac:dyDescent="0.25">
      <c r="A407" s="76"/>
      <c r="C407" t="s">
        <v>1057</v>
      </c>
      <c r="D407">
        <f>(D405-D403)/D403</f>
        <v>-1.9801980198019764E-2</v>
      </c>
      <c r="E407" s="8"/>
    </row>
    <row r="408" spans="1:5" x14ac:dyDescent="0.25">
      <c r="A408" s="76"/>
      <c r="C408" t="s">
        <v>1058</v>
      </c>
      <c r="D408">
        <f>100*D406</f>
        <v>2.0202020202020132</v>
      </c>
      <c r="E408" s="8" t="s">
        <v>162</v>
      </c>
    </row>
    <row r="409" spans="1:5" x14ac:dyDescent="0.25">
      <c r="A409" s="76"/>
      <c r="C409" t="s">
        <v>1059</v>
      </c>
      <c r="D409">
        <f>D407*100</f>
        <v>-1.9801980198019764</v>
      </c>
      <c r="E409" s="8" t="s">
        <v>162</v>
      </c>
    </row>
    <row r="410" spans="1:5" x14ac:dyDescent="0.25">
      <c r="A410" s="76"/>
      <c r="C410" t="s">
        <v>1060</v>
      </c>
      <c r="D410">
        <f>MAX(ABS(D409), ABS(D408))</f>
        <v>2.0202020202020132</v>
      </c>
      <c r="E410" s="8" t="s">
        <v>162</v>
      </c>
    </row>
    <row r="411" spans="1:5" x14ac:dyDescent="0.25">
      <c r="A411" s="76"/>
      <c r="C411" t="s">
        <v>1061</v>
      </c>
      <c r="D411">
        <f>D400+D410</f>
        <v>2.393083376134213</v>
      </c>
      <c r="E411" s="8" t="s">
        <v>162</v>
      </c>
    </row>
    <row r="412" spans="1:5" x14ac:dyDescent="0.25">
      <c r="A412" s="76"/>
      <c r="E412" s="8"/>
    </row>
    <row r="413" spans="1:5" x14ac:dyDescent="0.25">
      <c r="A413" s="23"/>
      <c r="E413" s="8"/>
    </row>
    <row r="414" spans="1:5" x14ac:dyDescent="0.25">
      <c r="A414" s="76" t="s">
        <v>883</v>
      </c>
      <c r="C414" t="s">
        <v>4</v>
      </c>
      <c r="D414">
        <f>D4</f>
        <v>1.2</v>
      </c>
      <c r="E414" s="8"/>
    </row>
    <row r="415" spans="1:5" x14ac:dyDescent="0.25">
      <c r="A415" s="76"/>
      <c r="B415" t="s">
        <v>47</v>
      </c>
      <c r="D415">
        <f>D3</f>
        <v>16000</v>
      </c>
      <c r="E415" t="s">
        <v>68</v>
      </c>
    </row>
    <row r="416" spans="1:5" x14ac:dyDescent="0.25">
      <c r="A416" s="76"/>
      <c r="B416" t="s">
        <v>877</v>
      </c>
      <c r="C416" t="s">
        <v>878</v>
      </c>
      <c r="D416">
        <f>D7</f>
        <v>44.1</v>
      </c>
    </row>
    <row r="417" spans="1:5" x14ac:dyDescent="0.25">
      <c r="A417" s="76"/>
      <c r="B417" t="s">
        <v>40</v>
      </c>
      <c r="D417">
        <f>D234</f>
        <v>22.598870056497173</v>
      </c>
      <c r="E417" t="s">
        <v>20</v>
      </c>
    </row>
    <row r="418" spans="1:5" x14ac:dyDescent="0.25">
      <c r="A418" s="76"/>
      <c r="B418" t="s">
        <v>875</v>
      </c>
      <c r="C418" t="s">
        <v>876</v>
      </c>
      <c r="D418" s="53">
        <f>D314</f>
        <v>61.545745489666373</v>
      </c>
    </row>
    <row r="419" spans="1:5" x14ac:dyDescent="0.25">
      <c r="A419" s="76"/>
      <c r="B419" t="s">
        <v>39</v>
      </c>
      <c r="D419" s="52">
        <v>0.5</v>
      </c>
    </row>
    <row r="420" spans="1:5" x14ac:dyDescent="0.25">
      <c r="A420" s="76"/>
      <c r="B420" t="s">
        <v>288</v>
      </c>
      <c r="D420" s="52">
        <v>2.3E-2</v>
      </c>
      <c r="E420" s="8" t="s">
        <v>24</v>
      </c>
    </row>
    <row r="421" spans="1:5" x14ac:dyDescent="0.25">
      <c r="A421" s="76"/>
      <c r="B421" t="s">
        <v>906</v>
      </c>
      <c r="C421" t="s">
        <v>907</v>
      </c>
      <c r="D421" s="53">
        <f>D113</f>
        <v>4.8951562500000008E-5</v>
      </c>
      <c r="E421" s="8" t="s">
        <v>154</v>
      </c>
    </row>
    <row r="422" spans="1:5" x14ac:dyDescent="0.25">
      <c r="A422" s="76"/>
      <c r="E422" s="8"/>
    </row>
    <row r="423" spans="1:5" x14ac:dyDescent="0.25">
      <c r="A423" s="76"/>
      <c r="B423" t="s">
        <v>287</v>
      </c>
      <c r="D423" s="27">
        <f>POWER(D417,2)*D419*D420/3</f>
        <v>1.9577175566833704</v>
      </c>
    </row>
    <row r="424" spans="1:5" x14ac:dyDescent="0.25">
      <c r="A424" s="76"/>
      <c r="B424" t="s">
        <v>290</v>
      </c>
      <c r="C424" t="s">
        <v>289</v>
      </c>
      <c r="D424" s="51">
        <f>D419*D417*D414</f>
        <v>13.559322033898303</v>
      </c>
    </row>
    <row r="425" spans="1:5" x14ac:dyDescent="0.25">
      <c r="A425" s="76"/>
      <c r="B425" t="s">
        <v>291</v>
      </c>
      <c r="D425" s="51">
        <f>(D418+D416)*D414</f>
        <v>126.77489458759965</v>
      </c>
      <c r="E425" t="s">
        <v>21</v>
      </c>
    </row>
    <row r="426" spans="1:5" x14ac:dyDescent="0.25">
      <c r="A426" s="76"/>
      <c r="B426" t="s">
        <v>308</v>
      </c>
      <c r="D426" s="52">
        <v>250</v>
      </c>
      <c r="E426" t="s">
        <v>21</v>
      </c>
    </row>
    <row r="427" spans="1:5" x14ac:dyDescent="0.25">
      <c r="A427" s="76"/>
      <c r="C427" t="s">
        <v>325</v>
      </c>
      <c r="D427" s="27" t="b">
        <f>D426&gt;=D425</f>
        <v>1</v>
      </c>
    </row>
    <row r="428" spans="1:5" x14ac:dyDescent="0.25">
      <c r="A428" s="76"/>
      <c r="B428" t="s">
        <v>292</v>
      </c>
      <c r="D428" s="52"/>
      <c r="E428" t="s">
        <v>324</v>
      </c>
    </row>
    <row r="429" spans="1:5" x14ac:dyDescent="0.25">
      <c r="A429" s="76"/>
      <c r="B429" t="s">
        <v>293</v>
      </c>
      <c r="D429" s="52"/>
      <c r="E429" t="s">
        <v>324</v>
      </c>
    </row>
    <row r="430" spans="1:5" x14ac:dyDescent="0.25">
      <c r="A430" s="76"/>
      <c r="B430" t="s">
        <v>294</v>
      </c>
      <c r="C430" t="s">
        <v>295</v>
      </c>
      <c r="D430" s="54">
        <v>4.9999999999999998E-8</v>
      </c>
      <c r="E430" t="s">
        <v>324</v>
      </c>
    </row>
    <row r="431" spans="1:5" x14ac:dyDescent="0.25">
      <c r="A431" s="76"/>
      <c r="B431" t="s">
        <v>296</v>
      </c>
      <c r="D431" s="51">
        <f>D415*D430*2</f>
        <v>1.5999999999999999E-3</v>
      </c>
      <c r="E431" t="s">
        <v>20</v>
      </c>
    </row>
    <row r="432" spans="1:5" x14ac:dyDescent="0.25">
      <c r="A432" s="76"/>
      <c r="B432" t="s">
        <v>298</v>
      </c>
      <c r="C432" t="s">
        <v>310</v>
      </c>
      <c r="D432" s="52">
        <v>10</v>
      </c>
      <c r="E432" t="s">
        <v>21</v>
      </c>
    </row>
    <row r="433" spans="1:6" x14ac:dyDescent="0.25">
      <c r="A433" s="76"/>
      <c r="B433" t="s">
        <v>299</v>
      </c>
      <c r="D433" s="52">
        <v>5</v>
      </c>
      <c r="E433" s="8" t="s">
        <v>24</v>
      </c>
    </row>
    <row r="434" spans="1:6" x14ac:dyDescent="0.25">
      <c r="A434" s="76"/>
      <c r="B434" t="s">
        <v>220</v>
      </c>
      <c r="C434" t="s">
        <v>297</v>
      </c>
      <c r="D434" s="51">
        <f>D430*D433/D432</f>
        <v>2.4999999999999999E-8</v>
      </c>
      <c r="E434" t="s">
        <v>323</v>
      </c>
    </row>
    <row r="435" spans="1:6" x14ac:dyDescent="0.25">
      <c r="A435" s="76"/>
      <c r="B435" t="s">
        <v>304</v>
      </c>
      <c r="C435" t="s">
        <v>307</v>
      </c>
      <c r="D435" s="51">
        <f>D434</f>
        <v>2.4999999999999999E-8</v>
      </c>
      <c r="E435" t="s">
        <v>323</v>
      </c>
    </row>
    <row r="436" spans="1:6" x14ac:dyDescent="0.25">
      <c r="A436" s="76"/>
      <c r="B436" t="s">
        <v>305</v>
      </c>
      <c r="C436" t="s">
        <v>306</v>
      </c>
      <c r="D436" s="51">
        <f>D435</f>
        <v>2.4999999999999999E-8</v>
      </c>
      <c r="E436" t="s">
        <v>323</v>
      </c>
    </row>
    <row r="437" spans="1:6" x14ac:dyDescent="0.25">
      <c r="A437" s="76"/>
      <c r="C437" t="s">
        <v>300</v>
      </c>
      <c r="D437" s="27">
        <f>D432/D433</f>
        <v>2</v>
      </c>
      <c r="E437" t="s">
        <v>20</v>
      </c>
    </row>
    <row r="438" spans="1:6" x14ac:dyDescent="0.25">
      <c r="A438" s="76"/>
      <c r="C438" t="s">
        <v>302</v>
      </c>
      <c r="D438" s="52">
        <v>3</v>
      </c>
      <c r="E438" t="s">
        <v>20</v>
      </c>
    </row>
    <row r="439" spans="1:6" x14ac:dyDescent="0.25">
      <c r="A439" s="76"/>
      <c r="C439" t="s">
        <v>303</v>
      </c>
      <c r="D439" s="27">
        <f>D438/D4</f>
        <v>2.5</v>
      </c>
      <c r="E439" t="s">
        <v>20</v>
      </c>
    </row>
    <row r="440" spans="1:6" x14ac:dyDescent="0.25">
      <c r="A440" s="76"/>
      <c r="C440" t="s">
        <v>301</v>
      </c>
      <c r="D440" s="27" t="b">
        <f>D437&lt;D439</f>
        <v>1</v>
      </c>
    </row>
    <row r="441" spans="1:6" x14ac:dyDescent="0.25">
      <c r="A441" s="76"/>
      <c r="B441" t="s">
        <v>327</v>
      </c>
      <c r="C441" t="s">
        <v>328</v>
      </c>
      <c r="D441" s="51">
        <f>D430*D432*D415</f>
        <v>8.0000000000000002E-3</v>
      </c>
      <c r="E441" t="s">
        <v>22</v>
      </c>
    </row>
    <row r="442" spans="1:6" x14ac:dyDescent="0.25">
      <c r="A442" s="76"/>
      <c r="B442" t="s">
        <v>880</v>
      </c>
      <c r="D442" s="27">
        <f>D293+D416</f>
        <v>144.1</v>
      </c>
      <c r="E442" t="s">
        <v>21</v>
      </c>
      <c r="F442" t="s">
        <v>881</v>
      </c>
    </row>
    <row r="443" spans="1:6" x14ac:dyDescent="0.25">
      <c r="A443" s="76"/>
      <c r="B443" t="s">
        <v>879</v>
      </c>
      <c r="D443" s="27">
        <f>D417</f>
        <v>22.598870056497173</v>
      </c>
      <c r="E443" t="s">
        <v>20</v>
      </c>
    </row>
    <row r="444" spans="1:6" x14ac:dyDescent="0.25">
      <c r="A444" s="76"/>
      <c r="B444" t="s">
        <v>882</v>
      </c>
      <c r="D444" s="51">
        <f>0.5*D442*D443*(D435+D436)*D3</f>
        <v>1.302598870056497</v>
      </c>
      <c r="E444" t="s">
        <v>22</v>
      </c>
    </row>
    <row r="445" spans="1:6" x14ac:dyDescent="0.25">
      <c r="A445" s="76"/>
      <c r="B445" t="s">
        <v>322</v>
      </c>
      <c r="D445" s="51">
        <f>D423+D444</f>
        <v>3.2603164267398674</v>
      </c>
      <c r="E445" t="s">
        <v>22</v>
      </c>
    </row>
    <row r="446" spans="1:6" x14ac:dyDescent="0.25">
      <c r="A446" s="76"/>
      <c r="B446" t="s">
        <v>311</v>
      </c>
      <c r="D446" s="52">
        <v>1000</v>
      </c>
      <c r="E446" s="8" t="s">
        <v>24</v>
      </c>
    </row>
    <row r="447" spans="1:6" x14ac:dyDescent="0.25">
      <c r="A447" s="76"/>
      <c r="B447" t="s">
        <v>314</v>
      </c>
      <c r="D447" s="52">
        <v>2.5</v>
      </c>
      <c r="E447" t="s">
        <v>21</v>
      </c>
    </row>
    <row r="448" spans="1:6" x14ac:dyDescent="0.25">
      <c r="A448" s="76"/>
      <c r="B448" t="s">
        <v>315</v>
      </c>
      <c r="C448" t="s">
        <v>316</v>
      </c>
      <c r="D448" s="52">
        <v>210</v>
      </c>
      <c r="E448" t="s">
        <v>20</v>
      </c>
    </row>
    <row r="449" spans="1:5" x14ac:dyDescent="0.25">
      <c r="A449" s="76"/>
      <c r="B449" t="s">
        <v>312</v>
      </c>
      <c r="C449" t="s">
        <v>313</v>
      </c>
      <c r="D449" s="51">
        <f>-D446*(D430/D432)*LN(D447/D432)</f>
        <v>6.9314718055994534E-6</v>
      </c>
      <c r="E449" t="s">
        <v>323</v>
      </c>
    </row>
    <row r="450" spans="1:5" x14ac:dyDescent="0.25">
      <c r="A450" s="76"/>
      <c r="C450" t="s">
        <v>326</v>
      </c>
      <c r="D450" s="51">
        <f>D417+(D416*D449/D421)</f>
        <v>28.843367494693062</v>
      </c>
      <c r="E450" t="s">
        <v>20</v>
      </c>
    </row>
    <row r="451" spans="1:5" x14ac:dyDescent="0.25">
      <c r="A451" s="76"/>
      <c r="B451" t="s">
        <v>317</v>
      </c>
      <c r="D451" s="52">
        <v>60</v>
      </c>
      <c r="E451" t="s">
        <v>20</v>
      </c>
    </row>
    <row r="452" spans="1:5" x14ac:dyDescent="0.25">
      <c r="A452" s="76"/>
      <c r="C452" t="s">
        <v>319</v>
      </c>
      <c r="D452" s="27" t="b">
        <f>D450&lt;D448</f>
        <v>1</v>
      </c>
    </row>
    <row r="453" spans="1:5" x14ac:dyDescent="0.25">
      <c r="A453" s="76"/>
      <c r="C453" t="s">
        <v>318</v>
      </c>
      <c r="D453" s="27" t="b">
        <f>D450&lt;D451</f>
        <v>1</v>
      </c>
    </row>
    <row r="454" spans="1:5" x14ac:dyDescent="0.25">
      <c r="A454" s="76"/>
      <c r="B454" t="s">
        <v>320</v>
      </c>
      <c r="C454" t="s">
        <v>321</v>
      </c>
      <c r="D454" s="27">
        <f>0.5*POWER(D432, 2)/D446</f>
        <v>0.05</v>
      </c>
      <c r="E454" t="s">
        <v>22</v>
      </c>
    </row>
    <row r="455" spans="1:5" x14ac:dyDescent="0.25">
      <c r="A455" s="48"/>
      <c r="D455" s="27"/>
    </row>
    <row r="456" spans="1:5" ht="15" customHeight="1" x14ac:dyDescent="0.25">
      <c r="A456" s="76" t="s">
        <v>974</v>
      </c>
      <c r="C456" t="s">
        <v>4</v>
      </c>
      <c r="D456">
        <f>D4</f>
        <v>1.2</v>
      </c>
      <c r="E456" s="8"/>
    </row>
    <row r="457" spans="1:5" x14ac:dyDescent="0.25">
      <c r="A457" s="76"/>
      <c r="B457" t="s">
        <v>47</v>
      </c>
      <c r="D457">
        <f>D3</f>
        <v>16000</v>
      </c>
      <c r="E457" t="s">
        <v>68</v>
      </c>
    </row>
    <row r="458" spans="1:5" x14ac:dyDescent="0.25">
      <c r="A458" s="76"/>
      <c r="B458" t="s">
        <v>877</v>
      </c>
      <c r="C458" t="s">
        <v>878</v>
      </c>
      <c r="D458">
        <f>D7</f>
        <v>44.1</v>
      </c>
    </row>
    <row r="459" spans="1:5" x14ac:dyDescent="0.25">
      <c r="A459" s="76"/>
      <c r="B459" t="s">
        <v>40</v>
      </c>
      <c r="D459">
        <f>D234</f>
        <v>22.598870056497173</v>
      </c>
      <c r="E459" t="s">
        <v>20</v>
      </c>
    </row>
    <row r="460" spans="1:5" x14ac:dyDescent="0.25">
      <c r="A460" s="76"/>
      <c r="D460" s="53"/>
    </row>
    <row r="461" spans="1:5" x14ac:dyDescent="0.25">
      <c r="A461" s="76"/>
      <c r="B461" t="s">
        <v>39</v>
      </c>
      <c r="D461" s="52">
        <v>0.5</v>
      </c>
    </row>
    <row r="462" spans="1:5" x14ac:dyDescent="0.25">
      <c r="A462" s="76"/>
      <c r="B462" t="s">
        <v>288</v>
      </c>
      <c r="D462" s="52">
        <v>2.3E-2</v>
      </c>
      <c r="E462" s="8" t="s">
        <v>24</v>
      </c>
    </row>
    <row r="463" spans="1:5" x14ac:dyDescent="0.25">
      <c r="A463" s="76"/>
      <c r="B463" t="s">
        <v>906</v>
      </c>
      <c r="C463" t="s">
        <v>907</v>
      </c>
      <c r="D463" s="53">
        <f>D113</f>
        <v>4.8951562500000008E-5</v>
      </c>
      <c r="E463" s="8" t="s">
        <v>154</v>
      </c>
    </row>
    <row r="464" spans="1:5" x14ac:dyDescent="0.25">
      <c r="A464" s="76"/>
      <c r="D464" s="53"/>
      <c r="E464" s="8"/>
    </row>
    <row r="465" spans="1:6" x14ac:dyDescent="0.25">
      <c r="A465" s="76"/>
      <c r="B465" t="s">
        <v>287</v>
      </c>
      <c r="D465" s="27">
        <f>POWER(D459,2)*D461*D462/3</f>
        <v>1.9577175566833704</v>
      </c>
    </row>
    <row r="466" spans="1:6" x14ac:dyDescent="0.25">
      <c r="A466" s="76"/>
      <c r="B466" t="s">
        <v>290</v>
      </c>
      <c r="C466" t="s">
        <v>983</v>
      </c>
      <c r="D466" s="51">
        <f>D461*D459*D456</f>
        <v>13.559322033898303</v>
      </c>
    </row>
    <row r="467" spans="1:6" x14ac:dyDescent="0.25">
      <c r="A467" s="76"/>
      <c r="B467" t="s">
        <v>971</v>
      </c>
      <c r="C467" t="s">
        <v>982</v>
      </c>
      <c r="D467" s="51"/>
    </row>
    <row r="468" spans="1:6" x14ac:dyDescent="0.25">
      <c r="A468" s="76"/>
      <c r="C468" t="s">
        <v>972</v>
      </c>
      <c r="D468" s="51" t="b">
        <f>D467&gt;=D466</f>
        <v>0</v>
      </c>
    </row>
    <row r="469" spans="1:6" x14ac:dyDescent="0.25">
      <c r="A469" s="76"/>
      <c r="B469" t="s">
        <v>291</v>
      </c>
      <c r="D469" s="51">
        <f>D458*D456</f>
        <v>52.92</v>
      </c>
      <c r="E469" t="s">
        <v>21</v>
      </c>
    </row>
    <row r="470" spans="1:6" x14ac:dyDescent="0.25">
      <c r="A470" s="76"/>
      <c r="B470" t="s">
        <v>308</v>
      </c>
      <c r="D470" s="52">
        <v>250</v>
      </c>
      <c r="E470" t="s">
        <v>21</v>
      </c>
    </row>
    <row r="471" spans="1:6" x14ac:dyDescent="0.25">
      <c r="A471" s="76"/>
      <c r="C471" t="s">
        <v>325</v>
      </c>
      <c r="D471" s="27" t="b">
        <f>D470&gt;=D469</f>
        <v>1</v>
      </c>
    </row>
    <row r="472" spans="1:6" x14ac:dyDescent="0.25">
      <c r="A472" s="76"/>
      <c r="B472" t="s">
        <v>292</v>
      </c>
      <c r="D472" s="52"/>
      <c r="E472" t="s">
        <v>324</v>
      </c>
    </row>
    <row r="473" spans="1:6" x14ac:dyDescent="0.25">
      <c r="A473" s="76"/>
      <c r="B473" t="s">
        <v>293</v>
      </c>
      <c r="D473" s="52"/>
      <c r="E473" t="s">
        <v>324</v>
      </c>
    </row>
    <row r="474" spans="1:6" x14ac:dyDescent="0.25">
      <c r="A474" s="76"/>
      <c r="B474" t="s">
        <v>294</v>
      </c>
      <c r="C474" t="s">
        <v>295</v>
      </c>
      <c r="D474" s="54">
        <v>4.9999999999999998E-8</v>
      </c>
      <c r="E474" t="s">
        <v>324</v>
      </c>
    </row>
    <row r="475" spans="1:6" x14ac:dyDescent="0.25">
      <c r="A475" s="76"/>
      <c r="B475" t="s">
        <v>296</v>
      </c>
      <c r="D475" s="51">
        <f>D457*D474*2</f>
        <v>1.5999999999999999E-3</v>
      </c>
      <c r="E475" t="s">
        <v>20</v>
      </c>
    </row>
    <row r="476" spans="1:6" x14ac:dyDescent="0.25">
      <c r="A476" s="76"/>
      <c r="B476" t="s">
        <v>922</v>
      </c>
      <c r="C476" t="s">
        <v>923</v>
      </c>
      <c r="D476" s="54">
        <v>14</v>
      </c>
    </row>
    <row r="477" spans="1:6" x14ac:dyDescent="0.25">
      <c r="A477" s="76"/>
      <c r="B477" s="35" t="s">
        <v>909</v>
      </c>
      <c r="C477" t="s">
        <v>908</v>
      </c>
      <c r="D477" s="52">
        <v>0.05</v>
      </c>
      <c r="E477" t="s">
        <v>21</v>
      </c>
    </row>
    <row r="478" spans="1:6" x14ac:dyDescent="0.25">
      <c r="A478" s="76"/>
      <c r="B478" s="35" t="s">
        <v>911</v>
      </c>
      <c r="C478" t="s">
        <v>913</v>
      </c>
      <c r="D478" s="51">
        <f>D474/D477</f>
        <v>9.9999999999999995E-7</v>
      </c>
      <c r="E478" t="s">
        <v>23</v>
      </c>
    </row>
    <row r="479" spans="1:6" x14ac:dyDescent="0.25">
      <c r="A479" s="76"/>
      <c r="B479" s="35" t="s">
        <v>910</v>
      </c>
      <c r="C479" t="s">
        <v>914</v>
      </c>
      <c r="D479" s="27">
        <f>0.000001</f>
        <v>9.9999999999999995E-7</v>
      </c>
      <c r="E479" t="s">
        <v>23</v>
      </c>
      <c r="F479" s="4" t="s">
        <v>979</v>
      </c>
    </row>
    <row r="480" spans="1:6" x14ac:dyDescent="0.25">
      <c r="A480" s="76"/>
      <c r="B480" s="35" t="s">
        <v>912</v>
      </c>
      <c r="C480" t="s">
        <v>915</v>
      </c>
      <c r="D480" s="51">
        <f>D474/D479</f>
        <v>0.05</v>
      </c>
      <c r="E480" t="s">
        <v>21</v>
      </c>
    </row>
    <row r="481" spans="1:8" x14ac:dyDescent="0.25">
      <c r="A481" s="76"/>
      <c r="B481" s="35"/>
      <c r="C481" t="s">
        <v>924</v>
      </c>
      <c r="D481" s="51" t="b">
        <f>D480&lt;=D477</f>
        <v>1</v>
      </c>
    </row>
    <row r="482" spans="1:8" x14ac:dyDescent="0.25">
      <c r="A482" s="76"/>
      <c r="B482" s="35" t="s">
        <v>935</v>
      </c>
      <c r="C482" t="s">
        <v>936</v>
      </c>
      <c r="D482" s="51">
        <f>D480*D479</f>
        <v>4.9999999999999998E-8</v>
      </c>
      <c r="E482" t="s">
        <v>324</v>
      </c>
    </row>
    <row r="483" spans="1:8" x14ac:dyDescent="0.25">
      <c r="A483" s="76"/>
      <c r="B483" s="35" t="s">
        <v>937</v>
      </c>
      <c r="C483" t="s">
        <v>938</v>
      </c>
      <c r="D483" s="51">
        <f>D482*D457</f>
        <v>7.9999999999999993E-4</v>
      </c>
      <c r="E483" t="s">
        <v>20</v>
      </c>
    </row>
    <row r="484" spans="1:8" x14ac:dyDescent="0.25">
      <c r="A484" s="76"/>
      <c r="B484" s="35" t="s">
        <v>919</v>
      </c>
      <c r="C484" t="s">
        <v>920</v>
      </c>
      <c r="D484" s="52">
        <v>0.95</v>
      </c>
      <c r="E484" t="s">
        <v>21</v>
      </c>
      <c r="F484" t="s">
        <v>976</v>
      </c>
      <c r="G484" t="s">
        <v>981</v>
      </c>
    </row>
    <row r="485" spans="1:8" x14ac:dyDescent="0.25">
      <c r="A485" s="76"/>
      <c r="B485" t="s">
        <v>886</v>
      </c>
      <c r="C485" t="s">
        <v>888</v>
      </c>
      <c r="D485" s="53">
        <f>D476</f>
        <v>14</v>
      </c>
      <c r="E485" t="s">
        <v>21</v>
      </c>
    </row>
    <row r="486" spans="1:8" x14ac:dyDescent="0.25">
      <c r="A486" s="76"/>
      <c r="B486" t="s">
        <v>921</v>
      </c>
      <c r="C486" t="s">
        <v>887</v>
      </c>
      <c r="D486" s="51">
        <f>D476-D484-D480</f>
        <v>13</v>
      </c>
      <c r="E486" t="s">
        <v>21</v>
      </c>
    </row>
    <row r="487" spans="1:8" x14ac:dyDescent="0.25">
      <c r="A487" s="76"/>
      <c r="B487" t="s">
        <v>1114</v>
      </c>
      <c r="C487" t="s">
        <v>1115</v>
      </c>
      <c r="D487" s="54">
        <v>1.9</v>
      </c>
      <c r="E487" s="8" t="s">
        <v>24</v>
      </c>
    </row>
    <row r="488" spans="1:8" x14ac:dyDescent="0.25">
      <c r="A488" s="76"/>
      <c r="B488" t="s">
        <v>1116</v>
      </c>
      <c r="C488" t="s">
        <v>1117</v>
      </c>
      <c r="D488" s="54">
        <v>4.7</v>
      </c>
      <c r="E488" s="8" t="s">
        <v>24</v>
      </c>
    </row>
    <row r="489" spans="1:8" x14ac:dyDescent="0.25">
      <c r="A489" s="76"/>
      <c r="C489" t="s">
        <v>1125</v>
      </c>
      <c r="D489" s="54">
        <v>0.5</v>
      </c>
      <c r="E489" s="8" t="s">
        <v>162</v>
      </c>
    </row>
    <row r="490" spans="1:8" x14ac:dyDescent="0.25">
      <c r="A490" s="76"/>
      <c r="B490" t="s">
        <v>1126</v>
      </c>
      <c r="C490" t="s">
        <v>1127</v>
      </c>
      <c r="D490" s="51">
        <f>D488*(100-D489)/100</f>
        <v>4.6765000000000008</v>
      </c>
      <c r="E490" s="8"/>
    </row>
    <row r="491" spans="1:8" x14ac:dyDescent="0.25">
      <c r="A491" s="76"/>
      <c r="B491" t="s">
        <v>1118</v>
      </c>
      <c r="C491" t="s">
        <v>1119</v>
      </c>
      <c r="D491" s="51">
        <v>0</v>
      </c>
      <c r="E491" s="8"/>
    </row>
    <row r="492" spans="1:8" x14ac:dyDescent="0.25">
      <c r="A492" s="76"/>
      <c r="B492" t="s">
        <v>299</v>
      </c>
      <c r="D492" s="51">
        <f>D487+D488+D491</f>
        <v>6.6</v>
      </c>
      <c r="E492" s="8" t="s">
        <v>24</v>
      </c>
      <c r="H492" s="52"/>
    </row>
    <row r="493" spans="1:8" x14ac:dyDescent="0.25">
      <c r="A493" s="76"/>
      <c r="B493" t="s">
        <v>1122</v>
      </c>
      <c r="C493" t="s">
        <v>1123</v>
      </c>
      <c r="D493" s="51">
        <f>D485/D490</f>
        <v>2.9936918635731846</v>
      </c>
      <c r="E493" s="8"/>
      <c r="H493" s="52"/>
    </row>
    <row r="494" spans="1:8" x14ac:dyDescent="0.25">
      <c r="A494" s="76"/>
      <c r="B494" t="s">
        <v>1120</v>
      </c>
      <c r="C494" t="s">
        <v>1121</v>
      </c>
      <c r="D494" s="27">
        <f>D485/D492</f>
        <v>2.1212121212121211</v>
      </c>
      <c r="E494" t="s">
        <v>20</v>
      </c>
      <c r="H494" s="52"/>
    </row>
    <row r="495" spans="1:8" x14ac:dyDescent="0.25">
      <c r="A495" s="76"/>
      <c r="C495" t="s">
        <v>1124</v>
      </c>
      <c r="D495" s="51"/>
      <c r="H495" s="52"/>
    </row>
    <row r="496" spans="1:8" x14ac:dyDescent="0.25">
      <c r="A496" s="76"/>
      <c r="H496" s="52"/>
    </row>
    <row r="497" spans="1:8" x14ac:dyDescent="0.25">
      <c r="A497" s="76"/>
      <c r="C497" t="s">
        <v>302</v>
      </c>
      <c r="D497" s="52">
        <v>3</v>
      </c>
      <c r="E497" t="s">
        <v>20</v>
      </c>
      <c r="H497" s="52"/>
    </row>
    <row r="498" spans="1:8" x14ac:dyDescent="0.25">
      <c r="A498" s="76"/>
      <c r="C498" t="s">
        <v>303</v>
      </c>
      <c r="D498" s="27">
        <f>D497/D456</f>
        <v>2.5</v>
      </c>
      <c r="E498" t="s">
        <v>20</v>
      </c>
      <c r="H498" s="52"/>
    </row>
    <row r="499" spans="1:8" x14ac:dyDescent="0.25">
      <c r="A499" s="76"/>
      <c r="C499" t="s">
        <v>1128</v>
      </c>
      <c r="D499" s="27" t="b">
        <f>AND(D493&lt;D497, D494&lt;=D498)</f>
        <v>1</v>
      </c>
      <c r="H499" s="52"/>
    </row>
    <row r="500" spans="1:8" x14ac:dyDescent="0.25">
      <c r="A500" s="76"/>
      <c r="B500" t="s">
        <v>941</v>
      </c>
      <c r="D500" s="52">
        <v>0</v>
      </c>
      <c r="E500" s="8" t="s">
        <v>24</v>
      </c>
    </row>
    <row r="501" spans="1:8" x14ac:dyDescent="0.25">
      <c r="A501" s="76"/>
      <c r="B501" t="s">
        <v>950</v>
      </c>
      <c r="D501" s="52">
        <v>0.02</v>
      </c>
      <c r="E501" s="8" t="s">
        <v>24</v>
      </c>
      <c r="F501" t="s">
        <v>978</v>
      </c>
    </row>
    <row r="502" spans="1:8" x14ac:dyDescent="0.25">
      <c r="A502" s="76"/>
      <c r="B502" t="s">
        <v>1080</v>
      </c>
      <c r="C502" t="s">
        <v>1081</v>
      </c>
      <c r="D502" s="52">
        <v>7</v>
      </c>
      <c r="E502" s="8" t="s">
        <v>24</v>
      </c>
      <c r="F502" t="s">
        <v>980</v>
      </c>
    </row>
    <row r="503" spans="1:8" x14ac:dyDescent="0.25">
      <c r="A503" s="76"/>
      <c r="B503" t="s">
        <v>940</v>
      </c>
      <c r="C503" t="s">
        <v>939</v>
      </c>
      <c r="D503" s="27">
        <f>D500+D501+D502</f>
        <v>7.02</v>
      </c>
      <c r="E503" s="8" t="s">
        <v>24</v>
      </c>
    </row>
    <row r="504" spans="1:8" x14ac:dyDescent="0.25">
      <c r="A504" s="76"/>
      <c r="B504" t="s">
        <v>1082</v>
      </c>
      <c r="D504" s="27">
        <f>D502*D479</f>
        <v>6.9999999999999999E-6</v>
      </c>
      <c r="E504" s="8"/>
    </row>
    <row r="505" spans="1:8" x14ac:dyDescent="0.25">
      <c r="A505" s="76"/>
      <c r="B505" t="s">
        <v>1083</v>
      </c>
      <c r="D505" s="27">
        <f>5*D504</f>
        <v>3.4999999999999997E-5</v>
      </c>
      <c r="E505" s="8"/>
    </row>
    <row r="506" spans="1:8" x14ac:dyDescent="0.25">
      <c r="A506" s="76"/>
      <c r="C506" t="s">
        <v>1084</v>
      </c>
      <c r="D506" s="27" t="b">
        <f>D505&lt;(1/D457)</f>
        <v>1</v>
      </c>
      <c r="E506" s="8"/>
    </row>
    <row r="507" spans="1:8" x14ac:dyDescent="0.25">
      <c r="A507" s="76"/>
      <c r="B507" t="s">
        <v>943</v>
      </c>
      <c r="C507" t="s">
        <v>944</v>
      </c>
      <c r="D507" s="52">
        <v>7.5</v>
      </c>
      <c r="E507" s="8" t="s">
        <v>21</v>
      </c>
    </row>
    <row r="508" spans="1:8" x14ac:dyDescent="0.25">
      <c r="A508" s="76"/>
      <c r="B508" t="s">
        <v>946</v>
      </c>
      <c r="C508" t="s">
        <v>942</v>
      </c>
      <c r="D508" s="51">
        <f>D476/D503</f>
        <v>1.9943019943019944</v>
      </c>
      <c r="E508" s="8" t="s">
        <v>20</v>
      </c>
    </row>
    <row r="509" spans="1:8" x14ac:dyDescent="0.25">
      <c r="A509" s="76"/>
      <c r="B509" t="s">
        <v>947</v>
      </c>
      <c r="D509" s="51">
        <f>D480/D503</f>
        <v>7.1225071225071235E-3</v>
      </c>
      <c r="E509" s="8" t="s">
        <v>20</v>
      </c>
    </row>
    <row r="510" spans="1:8" x14ac:dyDescent="0.25">
      <c r="A510" s="76"/>
      <c r="B510" t="s">
        <v>949</v>
      </c>
      <c r="D510" s="56">
        <v>35</v>
      </c>
      <c r="E510" s="8" t="s">
        <v>20</v>
      </c>
    </row>
    <row r="511" spans="1:8" x14ac:dyDescent="0.25">
      <c r="A511" s="76"/>
      <c r="C511" t="s">
        <v>945</v>
      </c>
      <c r="D511" s="55" t="b">
        <f>AND(D510&gt;=D508*D456, D510&gt;=D509*D456)</f>
        <v>1</v>
      </c>
      <c r="E511" s="8"/>
    </row>
    <row r="512" spans="1:8" x14ac:dyDescent="0.25">
      <c r="A512" s="76"/>
      <c r="B512" t="s">
        <v>948</v>
      </c>
      <c r="D512" s="56">
        <v>200</v>
      </c>
      <c r="E512" s="8" t="s">
        <v>21</v>
      </c>
    </row>
    <row r="513" spans="1:6" x14ac:dyDescent="0.25">
      <c r="A513" s="76"/>
      <c r="C513" t="s">
        <v>951</v>
      </c>
      <c r="D513" s="55" t="b">
        <f>D512&gt;=2*D476</f>
        <v>1</v>
      </c>
      <c r="E513" s="8"/>
    </row>
    <row r="514" spans="1:6" x14ac:dyDescent="0.25">
      <c r="A514" s="76"/>
      <c r="B514" t="s">
        <v>889</v>
      </c>
      <c r="C514" t="s">
        <v>896</v>
      </c>
      <c r="D514" s="51">
        <f>D474*D492/D485</f>
        <v>2.357142857142857E-8</v>
      </c>
      <c r="E514" t="s">
        <v>323</v>
      </c>
    </row>
    <row r="515" spans="1:6" x14ac:dyDescent="0.25">
      <c r="A515" s="76"/>
      <c r="B515" t="s">
        <v>890</v>
      </c>
      <c r="C515" t="s">
        <v>884</v>
      </c>
      <c r="D515" s="51">
        <f>D514</f>
        <v>2.357142857142857E-8</v>
      </c>
      <c r="E515" t="s">
        <v>323</v>
      </c>
    </row>
    <row r="516" spans="1:6" x14ac:dyDescent="0.25">
      <c r="A516" s="76"/>
      <c r="B516" t="s">
        <v>891</v>
      </c>
      <c r="C516" t="s">
        <v>885</v>
      </c>
      <c r="D516" s="51">
        <f>D515</f>
        <v>2.357142857142857E-8</v>
      </c>
      <c r="E516" t="s">
        <v>323</v>
      </c>
    </row>
    <row r="517" spans="1:6" x14ac:dyDescent="0.25">
      <c r="A517" s="76"/>
      <c r="B517" t="s">
        <v>892</v>
      </c>
      <c r="C517" t="s">
        <v>895</v>
      </c>
      <c r="D517" s="51">
        <f>D474*D492/D486</f>
        <v>2.5384615384615382E-8</v>
      </c>
      <c r="E517" t="s">
        <v>323</v>
      </c>
    </row>
    <row r="518" spans="1:6" x14ac:dyDescent="0.25">
      <c r="A518" s="76"/>
      <c r="B518" t="s">
        <v>893</v>
      </c>
      <c r="C518" t="s">
        <v>897</v>
      </c>
      <c r="D518" s="51">
        <f>D517</f>
        <v>2.5384615384615382E-8</v>
      </c>
      <c r="E518" t="s">
        <v>323</v>
      </c>
    </row>
    <row r="519" spans="1:6" x14ac:dyDescent="0.25">
      <c r="A519" s="76"/>
      <c r="B519" t="s">
        <v>894</v>
      </c>
      <c r="C519" t="s">
        <v>898</v>
      </c>
      <c r="D519" s="51">
        <f>D518</f>
        <v>2.5384615384615382E-8</v>
      </c>
      <c r="E519" t="s">
        <v>323</v>
      </c>
    </row>
    <row r="520" spans="1:6" x14ac:dyDescent="0.25">
      <c r="A520" s="76"/>
    </row>
    <row r="521" spans="1:6" x14ac:dyDescent="0.25">
      <c r="A521" s="76"/>
    </row>
    <row r="522" spans="1:6" x14ac:dyDescent="0.25">
      <c r="A522" s="76"/>
    </row>
    <row r="523" spans="1:6" x14ac:dyDescent="0.25">
      <c r="A523" s="76"/>
    </row>
    <row r="524" spans="1:6" x14ac:dyDescent="0.25">
      <c r="A524" s="76"/>
      <c r="B524" t="s">
        <v>953</v>
      </c>
      <c r="C524" t="s">
        <v>952</v>
      </c>
      <c r="D524" s="51">
        <f>D480/(D500+D501+D502)</f>
        <v>7.1225071225071235E-3</v>
      </c>
    </row>
    <row r="525" spans="1:6" x14ac:dyDescent="0.25">
      <c r="A525" s="76"/>
      <c r="B525" t="s">
        <v>954</v>
      </c>
      <c r="C525" t="s">
        <v>957</v>
      </c>
      <c r="D525" s="54">
        <v>2E-8</v>
      </c>
      <c r="E525" t="s">
        <v>154</v>
      </c>
      <c r="F525" t="s">
        <v>977</v>
      </c>
    </row>
    <row r="526" spans="1:6" x14ac:dyDescent="0.25">
      <c r="A526" s="76"/>
      <c r="B526" t="s">
        <v>955</v>
      </c>
      <c r="C526" t="s">
        <v>956</v>
      </c>
      <c r="D526" s="1">
        <v>5.0000000000000001E-9</v>
      </c>
      <c r="E526" t="s">
        <v>323</v>
      </c>
    </row>
    <row r="527" spans="1:6" x14ac:dyDescent="0.25">
      <c r="A527" s="76"/>
      <c r="B527" t="s">
        <v>968</v>
      </c>
      <c r="C527" t="s">
        <v>958</v>
      </c>
      <c r="D527" s="1">
        <f xml:space="preserve"> D525*D524/D526</f>
        <v>2.8490028490028491E-2</v>
      </c>
      <c r="E527" t="s">
        <v>21</v>
      </c>
    </row>
    <row r="528" spans="1:6" x14ac:dyDescent="0.25">
      <c r="A528" s="76"/>
      <c r="B528" t="s">
        <v>900</v>
      </c>
      <c r="C528" t="s">
        <v>328</v>
      </c>
      <c r="D528" s="51">
        <f>D474*D485*D457</f>
        <v>1.12E-2</v>
      </c>
      <c r="E528" t="s">
        <v>22</v>
      </c>
    </row>
    <row r="529" spans="1:6" x14ac:dyDescent="0.25">
      <c r="A529" s="76"/>
      <c r="D529" s="54"/>
      <c r="E529" t="s">
        <v>324</v>
      </c>
    </row>
    <row r="530" spans="1:6" x14ac:dyDescent="0.25">
      <c r="A530" s="76"/>
      <c r="B530" t="s">
        <v>960</v>
      </c>
      <c r="C530" t="s">
        <v>961</v>
      </c>
      <c r="D530" s="54">
        <v>2.4999999999999999E-8</v>
      </c>
      <c r="E530" t="s">
        <v>323</v>
      </c>
      <c r="F530" t="s">
        <v>976</v>
      </c>
    </row>
    <row r="531" spans="1:6" x14ac:dyDescent="0.25">
      <c r="A531" s="76"/>
      <c r="B531" t="s">
        <v>959</v>
      </c>
      <c r="C531" t="s">
        <v>975</v>
      </c>
      <c r="D531" s="55">
        <v>0.25</v>
      </c>
      <c r="E531" t="s">
        <v>20</v>
      </c>
    </row>
    <row r="532" spans="1:6" x14ac:dyDescent="0.25">
      <c r="A532" s="76"/>
      <c r="B532" t="s">
        <v>965</v>
      </c>
      <c r="C532" t="s">
        <v>962</v>
      </c>
      <c r="D532" s="55">
        <f>D525*D531/D530</f>
        <v>0.2</v>
      </c>
      <c r="E532" t="s">
        <v>21</v>
      </c>
    </row>
    <row r="533" spans="1:6" x14ac:dyDescent="0.25">
      <c r="A533" s="76"/>
      <c r="B533" t="s">
        <v>969</v>
      </c>
      <c r="C533" t="s">
        <v>966</v>
      </c>
      <c r="D533" s="56">
        <v>0.2</v>
      </c>
      <c r="E533" t="s">
        <v>21</v>
      </c>
    </row>
    <row r="534" spans="1:6" x14ac:dyDescent="0.25">
      <c r="A534" s="76"/>
      <c r="B534" t="s">
        <v>963</v>
      </c>
      <c r="C534" t="s">
        <v>967</v>
      </c>
      <c r="D534" s="52">
        <v>0.2</v>
      </c>
      <c r="E534" t="s">
        <v>21</v>
      </c>
    </row>
    <row r="535" spans="1:6" x14ac:dyDescent="0.25">
      <c r="A535" s="76"/>
      <c r="B535" t="s">
        <v>970</v>
      </c>
      <c r="D535" s="27" t="b">
        <f>D533&gt;=D527</f>
        <v>1</v>
      </c>
    </row>
    <row r="536" spans="1:6" x14ac:dyDescent="0.25">
      <c r="A536" s="76"/>
      <c r="B536" t="s">
        <v>964</v>
      </c>
      <c r="D536" s="27" t="b">
        <f>D534&lt;=D532</f>
        <v>1</v>
      </c>
    </row>
    <row r="537" spans="1:6" x14ac:dyDescent="0.25">
      <c r="A537" s="76"/>
      <c r="B537" t="s">
        <v>880</v>
      </c>
      <c r="D537" s="27">
        <f>D458</f>
        <v>44.1</v>
      </c>
      <c r="E537" t="s">
        <v>21</v>
      </c>
    </row>
    <row r="538" spans="1:6" x14ac:dyDescent="0.25">
      <c r="A538" s="76"/>
      <c r="B538" t="s">
        <v>879</v>
      </c>
      <c r="D538" s="27">
        <f>D459</f>
        <v>22.598870056497173</v>
      </c>
      <c r="E538" t="s">
        <v>20</v>
      </c>
    </row>
    <row r="539" spans="1:6" x14ac:dyDescent="0.25">
      <c r="A539" s="76"/>
      <c r="B539" t="s">
        <v>899</v>
      </c>
      <c r="D539" s="51">
        <f>0.5*D537*D538*(D515+D516)*D457</f>
        <v>0.37586440677966093</v>
      </c>
      <c r="E539" t="s">
        <v>22</v>
      </c>
    </row>
    <row r="540" spans="1:6" x14ac:dyDescent="0.25">
      <c r="A540" s="76"/>
      <c r="B540" t="s">
        <v>901</v>
      </c>
      <c r="C540" t="s">
        <v>902</v>
      </c>
      <c r="D540" s="51">
        <f>D465+D539</f>
        <v>2.3335819634630313</v>
      </c>
      <c r="E540" t="s">
        <v>22</v>
      </c>
    </row>
    <row r="541" spans="1:6" x14ac:dyDescent="0.25">
      <c r="A541" s="76"/>
      <c r="B541" t="s">
        <v>903</v>
      </c>
      <c r="C541" t="s">
        <v>904</v>
      </c>
      <c r="D541" s="51">
        <f>4*D540</f>
        <v>9.334327853852125</v>
      </c>
      <c r="E541" t="s">
        <v>22</v>
      </c>
    </row>
    <row r="542" spans="1:6" x14ac:dyDescent="0.25">
      <c r="A542" s="76"/>
      <c r="B542" t="s">
        <v>311</v>
      </c>
      <c r="D542" s="52">
        <v>1000</v>
      </c>
      <c r="E542" s="8" t="s">
        <v>24</v>
      </c>
    </row>
    <row r="543" spans="1:6" x14ac:dyDescent="0.25">
      <c r="A543" s="76"/>
      <c r="B543" t="s">
        <v>314</v>
      </c>
      <c r="D543" s="52">
        <v>2.5</v>
      </c>
      <c r="E543" t="s">
        <v>21</v>
      </c>
    </row>
    <row r="544" spans="1:6" x14ac:dyDescent="0.25">
      <c r="A544" s="76"/>
      <c r="B544" t="s">
        <v>315</v>
      </c>
      <c r="C544" t="s">
        <v>905</v>
      </c>
      <c r="D544" s="52">
        <v>210</v>
      </c>
      <c r="E544" t="s">
        <v>20</v>
      </c>
    </row>
    <row r="545" spans="1:5" x14ac:dyDescent="0.25">
      <c r="A545" s="76"/>
      <c r="B545" t="s">
        <v>312</v>
      </c>
      <c r="C545" t="s">
        <v>313</v>
      </c>
      <c r="D545" s="51">
        <f>-D542*(D474/D485)*LN(D543/D485)</f>
        <v>6.1527378490753689E-6</v>
      </c>
      <c r="E545" t="s">
        <v>323</v>
      </c>
    </row>
    <row r="546" spans="1:5" x14ac:dyDescent="0.25">
      <c r="A546" s="76"/>
      <c r="C546" t="s">
        <v>326</v>
      </c>
      <c r="D546" s="51">
        <f>D459+(D458*D545/D463)</f>
        <v>28.141813433314283</v>
      </c>
      <c r="E546" t="s">
        <v>20</v>
      </c>
    </row>
    <row r="547" spans="1:5" x14ac:dyDescent="0.25">
      <c r="A547" s="76"/>
      <c r="B547" t="s">
        <v>317</v>
      </c>
      <c r="D547" s="52">
        <v>60</v>
      </c>
      <c r="E547" t="s">
        <v>20</v>
      </c>
    </row>
    <row r="548" spans="1:5" x14ac:dyDescent="0.25">
      <c r="A548" s="76"/>
      <c r="C548" t="s">
        <v>319</v>
      </c>
      <c r="D548" s="27" t="b">
        <f>D546&lt;D544</f>
        <v>1</v>
      </c>
    </row>
    <row r="549" spans="1:5" x14ac:dyDescent="0.25">
      <c r="A549" s="76"/>
      <c r="C549" t="s">
        <v>318</v>
      </c>
      <c r="D549" s="27" t="b">
        <f>D546&lt;D547</f>
        <v>1</v>
      </c>
    </row>
    <row r="550" spans="1:5" x14ac:dyDescent="0.25">
      <c r="A550" s="76"/>
      <c r="B550" t="s">
        <v>320</v>
      </c>
      <c r="C550" t="s">
        <v>321</v>
      </c>
      <c r="D550" s="27">
        <f>0.5*POWER(D485, 2)/D542</f>
        <v>9.8000000000000004E-2</v>
      </c>
      <c r="E550" t="s">
        <v>22</v>
      </c>
    </row>
    <row r="551" spans="1:5" x14ac:dyDescent="0.25">
      <c r="A551" s="76"/>
      <c r="B551" s="35" t="s">
        <v>916</v>
      </c>
      <c r="C551" t="s">
        <v>917</v>
      </c>
      <c r="D551" s="52">
        <v>9.6999999999999993</v>
      </c>
    </row>
    <row r="552" spans="1:5" x14ac:dyDescent="0.25">
      <c r="A552" s="76"/>
      <c r="B552" s="35" t="s">
        <v>930</v>
      </c>
      <c r="C552" t="s">
        <v>918</v>
      </c>
      <c r="D552" s="51">
        <f>D486-D551</f>
        <v>3.3000000000000007</v>
      </c>
    </row>
    <row r="553" spans="1:5" x14ac:dyDescent="0.25">
      <c r="A553" s="76"/>
      <c r="B553" t="s">
        <v>925</v>
      </c>
      <c r="C553" t="s">
        <v>926</v>
      </c>
      <c r="D553" s="27">
        <v>2</v>
      </c>
    </row>
    <row r="554" spans="1:5" x14ac:dyDescent="0.25">
      <c r="A554" s="76"/>
      <c r="B554" s="35"/>
      <c r="C554" t="s">
        <v>933</v>
      </c>
      <c r="D554" s="51" t="b">
        <f>D552&gt;=D553</f>
        <v>1</v>
      </c>
    </row>
    <row r="555" spans="1:5" x14ac:dyDescent="0.25">
      <c r="A555" s="76"/>
      <c r="B555" t="s">
        <v>929</v>
      </c>
      <c r="D555" s="52">
        <v>9.6999999999999993</v>
      </c>
    </row>
    <row r="556" spans="1:5" x14ac:dyDescent="0.25">
      <c r="A556" s="76"/>
      <c r="B556" t="s">
        <v>927</v>
      </c>
      <c r="C556" t="s">
        <v>928</v>
      </c>
      <c r="D556" s="51">
        <f xml:space="preserve"> D476</f>
        <v>14</v>
      </c>
    </row>
    <row r="557" spans="1:5" ht="15" customHeight="1" x14ac:dyDescent="0.25">
      <c r="A557" s="76"/>
      <c r="B557" s="35" t="s">
        <v>931</v>
      </c>
      <c r="C557" t="s">
        <v>932</v>
      </c>
      <c r="D557" s="51">
        <f>D556-D555</f>
        <v>4.3000000000000007</v>
      </c>
    </row>
    <row r="558" spans="1:5" ht="15" customHeight="1" x14ac:dyDescent="0.25">
      <c r="A558" s="76"/>
      <c r="C558" t="s">
        <v>934</v>
      </c>
      <c r="D558" s="27" t="b">
        <f>D557&gt;=D553</f>
        <v>1</v>
      </c>
    </row>
    <row r="559" spans="1:5" ht="15" customHeight="1" x14ac:dyDescent="0.25">
      <c r="A559" s="76"/>
      <c r="D559" s="51"/>
    </row>
    <row r="560" spans="1:5" ht="15" customHeight="1" x14ac:dyDescent="0.25">
      <c r="A560" s="76"/>
      <c r="B560" s="35" t="s">
        <v>1101</v>
      </c>
      <c r="C560" t="s">
        <v>1102</v>
      </c>
      <c r="D560" s="51">
        <f>D492</f>
        <v>6.6</v>
      </c>
    </row>
    <row r="561" spans="1:5" ht="15" customHeight="1" x14ac:dyDescent="0.25">
      <c r="A561" s="76"/>
      <c r="B561" s="35" t="s">
        <v>1103</v>
      </c>
      <c r="C561" t="s">
        <v>1104</v>
      </c>
      <c r="D561" s="54">
        <f>0.00000000361</f>
        <v>3.6100000000000001E-9</v>
      </c>
    </row>
    <row r="562" spans="1:5" ht="15" customHeight="1" x14ac:dyDescent="0.25">
      <c r="A562" s="76"/>
      <c r="B562" s="35" t="s">
        <v>1105</v>
      </c>
      <c r="C562" t="s">
        <v>1106</v>
      </c>
      <c r="D562" s="51">
        <f>E963</f>
        <v>2.2741325637156556E-10</v>
      </c>
    </row>
    <row r="563" spans="1:5" ht="15" customHeight="1" x14ac:dyDescent="0.25">
      <c r="A563" s="76"/>
      <c r="B563" s="35" t="s">
        <v>1130</v>
      </c>
      <c r="C563" t="s">
        <v>1129</v>
      </c>
      <c r="D563" s="51">
        <v>2.0000000000000001E-9</v>
      </c>
    </row>
    <row r="564" spans="1:5" ht="15" customHeight="1" x14ac:dyDescent="0.25">
      <c r="A564" s="76"/>
      <c r="B564" s="35" t="s">
        <v>1131</v>
      </c>
      <c r="D564" s="51">
        <f>D562+D563</f>
        <v>2.2274132563715655E-9</v>
      </c>
    </row>
    <row r="565" spans="1:5" ht="15" customHeight="1" x14ac:dyDescent="0.25">
      <c r="A565" s="76"/>
      <c r="B565" s="35" t="s">
        <v>1100</v>
      </c>
      <c r="D565" s="51">
        <f>D560*0.5*SQRT(D561/D564)</f>
        <v>4.2011398692792943</v>
      </c>
    </row>
    <row r="566" spans="1:5" ht="15" customHeight="1" x14ac:dyDescent="0.25">
      <c r="A566" s="76"/>
    </row>
    <row r="567" spans="1:5" ht="15" customHeight="1" x14ac:dyDescent="0.25">
      <c r="A567" s="48"/>
      <c r="D567" s="27"/>
    </row>
    <row r="568" spans="1:5" x14ac:dyDescent="0.25">
      <c r="A568" s="76" t="s">
        <v>680</v>
      </c>
      <c r="B568" t="s">
        <v>322</v>
      </c>
      <c r="D568" s="1">
        <f>D445</f>
        <v>3.2603164267398674</v>
      </c>
      <c r="E568" t="s">
        <v>22</v>
      </c>
    </row>
    <row r="569" spans="1:5" x14ac:dyDescent="0.25">
      <c r="A569" s="76"/>
      <c r="C569" t="s">
        <v>681</v>
      </c>
      <c r="D569">
        <v>0.9</v>
      </c>
      <c r="E569" s="34" t="s">
        <v>682</v>
      </c>
    </row>
    <row r="570" spans="1:5" x14ac:dyDescent="0.25">
      <c r="A570" s="76"/>
      <c r="C570" t="s">
        <v>683</v>
      </c>
      <c r="D570">
        <v>0.15</v>
      </c>
      <c r="E570" s="35" t="s">
        <v>133</v>
      </c>
    </row>
    <row r="571" spans="1:5" x14ac:dyDescent="0.25">
      <c r="A571" s="76"/>
      <c r="C571" t="s">
        <v>684</v>
      </c>
      <c r="D571" s="1">
        <v>1.4999999999999999E-4</v>
      </c>
      <c r="E571" s="36" t="s">
        <v>207</v>
      </c>
    </row>
    <row r="572" spans="1:5" x14ac:dyDescent="0.25">
      <c r="A572" s="76"/>
      <c r="B572" t="s">
        <v>686</v>
      </c>
      <c r="C572" t="s">
        <v>687</v>
      </c>
      <c r="D572">
        <f>D570/(1000*D569*D571)</f>
        <v>1.1111111111111112</v>
      </c>
      <c r="E572" s="35"/>
    </row>
    <row r="573" spans="1:5" x14ac:dyDescent="0.25">
      <c r="A573" s="76"/>
      <c r="B573" t="s">
        <v>688</v>
      </c>
      <c r="C573" t="s">
        <v>689</v>
      </c>
      <c r="D573">
        <f>3.5+0.5</f>
        <v>4</v>
      </c>
      <c r="E573" s="35"/>
    </row>
    <row r="574" spans="1:5" x14ac:dyDescent="0.25">
      <c r="A574" s="76"/>
      <c r="B574" t="s">
        <v>690</v>
      </c>
      <c r="C574" t="s">
        <v>691</v>
      </c>
      <c r="D574">
        <v>6.6665999999999999</v>
      </c>
      <c r="E574" s="34"/>
    </row>
    <row r="575" spans="1:5" x14ac:dyDescent="0.25">
      <c r="A575" s="76"/>
      <c r="C575" t="s">
        <v>685</v>
      </c>
      <c r="D575" s="27">
        <f>D572+D573+D574</f>
        <v>11.77771111111111</v>
      </c>
      <c r="E575" s="34"/>
    </row>
    <row r="576" spans="1:5" x14ac:dyDescent="0.25">
      <c r="A576" s="76"/>
      <c r="B576" t="s">
        <v>693</v>
      </c>
      <c r="C576" t="s">
        <v>692</v>
      </c>
      <c r="D576" s="51">
        <f>D575*D568</f>
        <v>38.399065004952206</v>
      </c>
      <c r="E576" s="34"/>
    </row>
    <row r="577" spans="1:5" x14ac:dyDescent="0.25">
      <c r="A577" s="76"/>
      <c r="C577" t="s">
        <v>694</v>
      </c>
      <c r="D577">
        <v>35</v>
      </c>
      <c r="E577" s="34"/>
    </row>
    <row r="578" spans="1:5" x14ac:dyDescent="0.25">
      <c r="A578" s="76"/>
      <c r="C578" t="s">
        <v>695</v>
      </c>
      <c r="D578" s="51">
        <f>D577+D576</f>
        <v>73.399065004952206</v>
      </c>
      <c r="E578" s="34"/>
    </row>
    <row r="579" spans="1:5" x14ac:dyDescent="0.25">
      <c r="A579" s="76"/>
      <c r="C579" t="s">
        <v>696</v>
      </c>
      <c r="D579">
        <v>150</v>
      </c>
      <c r="E579" s="34"/>
    </row>
    <row r="580" spans="1:5" x14ac:dyDescent="0.25">
      <c r="A580" s="76"/>
      <c r="C580" t="s">
        <v>697</v>
      </c>
      <c r="D580" s="27" t="b">
        <f>D578&lt;D579/D4</f>
        <v>1</v>
      </c>
    </row>
    <row r="581" spans="1:5" x14ac:dyDescent="0.25">
      <c r="A581" s="76" t="s">
        <v>698</v>
      </c>
    </row>
    <row r="582" spans="1:5" x14ac:dyDescent="0.25">
      <c r="A582" s="76"/>
    </row>
    <row r="583" spans="1:5" x14ac:dyDescent="0.25">
      <c r="A583" s="76"/>
    </row>
    <row r="584" spans="1:5" x14ac:dyDescent="0.25">
      <c r="A584" s="76"/>
    </row>
    <row r="585" spans="1:5" x14ac:dyDescent="0.25">
      <c r="A585" s="77" t="s">
        <v>330</v>
      </c>
      <c r="B585" t="s">
        <v>39</v>
      </c>
      <c r="C585" t="s">
        <v>41</v>
      </c>
      <c r="D585">
        <f>D110</f>
        <v>0.5</v>
      </c>
    </row>
    <row r="586" spans="1:5" x14ac:dyDescent="0.25">
      <c r="A586" s="77"/>
      <c r="B586" t="s">
        <v>47</v>
      </c>
      <c r="D586">
        <f>D3</f>
        <v>16000</v>
      </c>
    </row>
    <row r="587" spans="1:5" x14ac:dyDescent="0.25">
      <c r="A587" s="77"/>
      <c r="B587" t="s">
        <v>231</v>
      </c>
      <c r="D587">
        <f>D234</f>
        <v>22.598870056497173</v>
      </c>
    </row>
    <row r="588" spans="1:5" x14ac:dyDescent="0.25">
      <c r="A588" s="77"/>
      <c r="C588" t="s">
        <v>334</v>
      </c>
      <c r="D588">
        <v>2</v>
      </c>
    </row>
    <row r="589" spans="1:5" x14ac:dyDescent="0.25">
      <c r="A589" s="77"/>
      <c r="C589" t="s">
        <v>336</v>
      </c>
      <c r="D589">
        <f>D588*D587</f>
        <v>45.197740112994346</v>
      </c>
    </row>
    <row r="590" spans="1:5" x14ac:dyDescent="0.25">
      <c r="A590" s="77"/>
      <c r="B590" t="s">
        <v>331</v>
      </c>
      <c r="C590" t="s">
        <v>332</v>
      </c>
      <c r="D590">
        <v>1E-3</v>
      </c>
    </row>
    <row r="591" spans="1:5" x14ac:dyDescent="0.25">
      <c r="A591" s="77"/>
      <c r="B591" t="s">
        <v>333</v>
      </c>
      <c r="C591" t="s">
        <v>335</v>
      </c>
      <c r="D591">
        <f>D590*D587</f>
        <v>2.2598870056497175E-2</v>
      </c>
    </row>
    <row r="592" spans="1:5" x14ac:dyDescent="0.25">
      <c r="A592" s="77"/>
      <c r="B592" t="s">
        <v>383</v>
      </c>
      <c r="C592" t="s">
        <v>384</v>
      </c>
      <c r="D592">
        <f>POWER(D587, 2)*D590/3</f>
        <v>0.17023630927681485</v>
      </c>
    </row>
    <row r="593" spans="1:5" x14ac:dyDescent="0.25">
      <c r="A593" s="77"/>
      <c r="B593" t="s">
        <v>338</v>
      </c>
      <c r="C593" t="s">
        <v>337</v>
      </c>
      <c r="D593">
        <f>POWER(D589, 2)*D590/3</f>
        <v>0.6809452371072594</v>
      </c>
    </row>
    <row r="594" spans="1:5" x14ac:dyDescent="0.25">
      <c r="A594" s="77"/>
      <c r="B594" t="s">
        <v>339</v>
      </c>
      <c r="C594" t="s">
        <v>335</v>
      </c>
      <c r="D594">
        <f>D587*D590</f>
        <v>2.2598870056497175E-2</v>
      </c>
    </row>
    <row r="595" spans="1:5" x14ac:dyDescent="0.25">
      <c r="A595" s="77"/>
      <c r="B595" t="s">
        <v>340</v>
      </c>
      <c r="C595" t="s">
        <v>341</v>
      </c>
      <c r="D595">
        <f>D589*D590</f>
        <v>4.519774011299435E-2</v>
      </c>
    </row>
    <row r="596" spans="1:5" x14ac:dyDescent="0.25">
      <c r="A596" s="77"/>
      <c r="C596" t="s">
        <v>342</v>
      </c>
      <c r="D596">
        <f>2.5</f>
        <v>2.5</v>
      </c>
    </row>
    <row r="597" spans="1:5" x14ac:dyDescent="0.25">
      <c r="A597" s="77"/>
      <c r="B597" t="s">
        <v>373</v>
      </c>
      <c r="C597" t="s">
        <v>374</v>
      </c>
      <c r="D597" s="4" t="s">
        <v>375</v>
      </c>
    </row>
    <row r="598" spans="1:5" x14ac:dyDescent="0.25">
      <c r="A598" s="77"/>
      <c r="B598" t="s">
        <v>347</v>
      </c>
      <c r="C598" t="s">
        <v>346</v>
      </c>
      <c r="D598" s="1">
        <v>2.5000000000000001E-4</v>
      </c>
    </row>
    <row r="599" spans="1:5" x14ac:dyDescent="0.25">
      <c r="A599" s="77"/>
      <c r="B599" t="s">
        <v>348</v>
      </c>
      <c r="C599" t="s">
        <v>349</v>
      </c>
      <c r="D599" s="1">
        <v>5.0000000000000001E-9</v>
      </c>
    </row>
    <row r="600" spans="1:5" x14ac:dyDescent="0.25">
      <c r="A600" s="77"/>
      <c r="B600" t="s">
        <v>351</v>
      </c>
      <c r="C600" t="s">
        <v>350</v>
      </c>
      <c r="D600" s="1">
        <v>10000000</v>
      </c>
      <c r="E600" t="s">
        <v>68</v>
      </c>
    </row>
    <row r="601" spans="1:5" x14ac:dyDescent="0.25">
      <c r="A601" s="77"/>
      <c r="B601" t="s">
        <v>352</v>
      </c>
      <c r="C601" t="s">
        <v>353</v>
      </c>
      <c r="D601" s="25">
        <v>7000</v>
      </c>
      <c r="E601" t="s">
        <v>357</v>
      </c>
    </row>
    <row r="602" spans="1:5" x14ac:dyDescent="0.25">
      <c r="A602" s="77"/>
      <c r="B602" t="s">
        <v>354</v>
      </c>
      <c r="C602" t="s">
        <v>355</v>
      </c>
      <c r="D602" s="1">
        <f>D601*1000</f>
        <v>7000000</v>
      </c>
      <c r="E602" t="s">
        <v>356</v>
      </c>
    </row>
    <row r="603" spans="1:5" x14ac:dyDescent="0.25">
      <c r="A603" s="77"/>
      <c r="B603" s="26" t="s">
        <v>358</v>
      </c>
      <c r="C603" t="s">
        <v>359</v>
      </c>
      <c r="D603" s="26">
        <v>70</v>
      </c>
      <c r="E603" t="s">
        <v>360</v>
      </c>
    </row>
    <row r="604" spans="1:5" x14ac:dyDescent="0.25">
      <c r="A604" s="77"/>
      <c r="C604" t="s">
        <v>361</v>
      </c>
      <c r="D604">
        <f>D596/D595</f>
        <v>55.3125</v>
      </c>
    </row>
    <row r="605" spans="1:5" x14ac:dyDescent="0.25">
      <c r="A605" s="77"/>
      <c r="B605" t="s">
        <v>376</v>
      </c>
      <c r="C605" t="s">
        <v>364</v>
      </c>
      <c r="D605">
        <f>D604-1</f>
        <v>54.3125</v>
      </c>
    </row>
    <row r="606" spans="1:5" x14ac:dyDescent="0.25">
      <c r="A606" s="77"/>
      <c r="B606" t="s">
        <v>377</v>
      </c>
      <c r="D606">
        <f>20*LOG10(D605)</f>
        <v>34.697995875854836</v>
      </c>
    </row>
    <row r="607" spans="1:5" x14ac:dyDescent="0.25">
      <c r="A607" s="77"/>
      <c r="B607" t="s">
        <v>343</v>
      </c>
      <c r="D607">
        <v>56000</v>
      </c>
    </row>
    <row r="608" spans="1:5" x14ac:dyDescent="0.25">
      <c r="A608" s="77"/>
      <c r="B608" t="s">
        <v>345</v>
      </c>
      <c r="D608">
        <f>D607/D605</f>
        <v>1031.0701956271575</v>
      </c>
    </row>
    <row r="609" spans="1:5" x14ac:dyDescent="0.25">
      <c r="A609" s="77"/>
      <c r="B609" t="s">
        <v>344</v>
      </c>
      <c r="C609" t="s">
        <v>362</v>
      </c>
      <c r="D609">
        <v>1000</v>
      </c>
    </row>
    <row r="610" spans="1:5" x14ac:dyDescent="0.25">
      <c r="A610" s="77"/>
      <c r="B610" t="s">
        <v>378</v>
      </c>
      <c r="C610" t="s">
        <v>363</v>
      </c>
      <c r="D610">
        <f>1+(D607/D609)</f>
        <v>57</v>
      </c>
    </row>
    <row r="611" spans="1:5" x14ac:dyDescent="0.25">
      <c r="A611" s="77"/>
      <c r="C611" t="s">
        <v>394</v>
      </c>
      <c r="D611">
        <v>1E-3</v>
      </c>
    </row>
    <row r="612" spans="1:5" x14ac:dyDescent="0.25">
      <c r="A612" s="77"/>
      <c r="B612" t="s">
        <v>395</v>
      </c>
      <c r="D612">
        <f>D607*(1+D611)</f>
        <v>56055.999999999993</v>
      </c>
    </row>
    <row r="613" spans="1:5" x14ac:dyDescent="0.25">
      <c r="A613" s="77"/>
      <c r="B613" t="s">
        <v>396</v>
      </c>
      <c r="D613">
        <f>D607*(1-D611)</f>
        <v>55944</v>
      </c>
    </row>
    <row r="614" spans="1:5" x14ac:dyDescent="0.25">
      <c r="A614" s="77"/>
      <c r="B614" t="s">
        <v>397</v>
      </c>
      <c r="D614">
        <f>D609*(1+D611)</f>
        <v>1000.9999999999999</v>
      </c>
    </row>
    <row r="615" spans="1:5" x14ac:dyDescent="0.25">
      <c r="A615" s="77"/>
      <c r="B615" t="s">
        <v>398</v>
      </c>
      <c r="D615">
        <f>D609*(1-D611)</f>
        <v>999</v>
      </c>
    </row>
    <row r="616" spans="1:5" x14ac:dyDescent="0.25">
      <c r="A616" s="77"/>
      <c r="B616" t="s">
        <v>392</v>
      </c>
      <c r="C616" t="s">
        <v>393</v>
      </c>
      <c r="D616">
        <f>1+(D612/D615)</f>
        <v>57.112112112112108</v>
      </c>
    </row>
    <row r="617" spans="1:5" x14ac:dyDescent="0.25">
      <c r="A617" s="77"/>
      <c r="B617" t="s">
        <v>399</v>
      </c>
      <c r="C617" t="s">
        <v>393</v>
      </c>
      <c r="D617">
        <f>1+(D613/D614)</f>
        <v>56.888111888111894</v>
      </c>
    </row>
    <row r="618" spans="1:5" x14ac:dyDescent="0.25">
      <c r="A618" s="77"/>
      <c r="C618" t="s">
        <v>400</v>
      </c>
      <c r="D618">
        <f>MAX(ABS((D616-D610)/D610), ABS((D617-D610)/D610))</f>
        <v>1.9668791598615406E-3</v>
      </c>
    </row>
    <row r="619" spans="1:5" x14ac:dyDescent="0.25">
      <c r="A619" s="77"/>
      <c r="C619" t="s">
        <v>401</v>
      </c>
      <c r="D619">
        <f>100*D618</f>
        <v>0.19668791598615407</v>
      </c>
      <c r="E619" t="s">
        <v>162</v>
      </c>
    </row>
    <row r="620" spans="1:5" x14ac:dyDescent="0.25">
      <c r="A620" s="77"/>
      <c r="B620" t="s">
        <v>379</v>
      </c>
      <c r="D620">
        <f>20*LOG10(D610)</f>
        <v>35.117497113449829</v>
      </c>
    </row>
    <row r="621" spans="1:5" x14ac:dyDescent="0.25">
      <c r="A621" s="77"/>
      <c r="C621" t="s">
        <v>368</v>
      </c>
      <c r="D621" t="b">
        <f>ABS((D610-D604)/D604)&lt;0.02</f>
        <v>0</v>
      </c>
    </row>
    <row r="622" spans="1:5" x14ac:dyDescent="0.25">
      <c r="A622" s="77"/>
      <c r="C622" t="s">
        <v>380</v>
      </c>
      <c r="D622" t="b">
        <f>D603&gt;D620</f>
        <v>1</v>
      </c>
    </row>
    <row r="623" spans="1:5" x14ac:dyDescent="0.25">
      <c r="A623" s="77"/>
      <c r="B623" t="s">
        <v>366</v>
      </c>
      <c r="C623" t="s">
        <v>365</v>
      </c>
      <c r="D623" s="1">
        <f>D598/D590</f>
        <v>0.25</v>
      </c>
    </row>
    <row r="624" spans="1:5" x14ac:dyDescent="0.25">
      <c r="A624" s="77"/>
      <c r="C624" t="s">
        <v>381</v>
      </c>
      <c r="D624" s="1">
        <f>D587/20</f>
        <v>1.1299435028248586</v>
      </c>
    </row>
    <row r="625" spans="1:5" x14ac:dyDescent="0.25">
      <c r="A625" s="77"/>
      <c r="C625" t="s">
        <v>382</v>
      </c>
      <c r="D625" s="1" t="b">
        <f>D623&lt;D624</f>
        <v>1</v>
      </c>
    </row>
    <row r="626" spans="1:5" x14ac:dyDescent="0.25">
      <c r="A626" s="77"/>
      <c r="B626" t="s">
        <v>367</v>
      </c>
      <c r="D626">
        <f>D600/D610</f>
        <v>175438.59649122806</v>
      </c>
    </row>
    <row r="627" spans="1:5" x14ac:dyDescent="0.25">
      <c r="A627" s="77"/>
      <c r="C627" t="s">
        <v>372</v>
      </c>
      <c r="D627">
        <f>D586*D610</f>
        <v>912000</v>
      </c>
    </row>
    <row r="628" spans="1:5" x14ac:dyDescent="0.25">
      <c r="A628" s="77"/>
      <c r="C628" t="s">
        <v>369</v>
      </c>
      <c r="D628" t="b">
        <f>D626&gt;=D3</f>
        <v>1</v>
      </c>
    </row>
    <row r="629" spans="1:5" x14ac:dyDescent="0.25">
      <c r="A629" s="77"/>
    </row>
    <row r="630" spans="1:5" x14ac:dyDescent="0.25">
      <c r="A630" s="77"/>
      <c r="C630" t="s">
        <v>370</v>
      </c>
      <c r="D630">
        <f>D596*D586/D585</f>
        <v>80000</v>
      </c>
      <c r="E630" t="s">
        <v>356</v>
      </c>
    </row>
    <row r="631" spans="1:5" x14ac:dyDescent="0.25">
      <c r="A631" s="77"/>
      <c r="C631" t="s">
        <v>370</v>
      </c>
      <c r="D631">
        <f>D630/1000</f>
        <v>80</v>
      </c>
      <c r="E631" t="s">
        <v>357</v>
      </c>
    </row>
    <row r="632" spans="1:5" x14ac:dyDescent="0.25">
      <c r="A632" s="77"/>
      <c r="C632" t="s">
        <v>371</v>
      </c>
      <c r="D632" t="b">
        <f>D630&lt;=D602</f>
        <v>1</v>
      </c>
    </row>
    <row r="633" spans="1:5" x14ac:dyDescent="0.25">
      <c r="A633" s="77"/>
      <c r="B633" t="s">
        <v>385</v>
      </c>
      <c r="D633">
        <f>(D607*D609)/(D607+D609)</f>
        <v>982.45614035087715</v>
      </c>
    </row>
    <row r="634" spans="1:5" x14ac:dyDescent="0.25">
      <c r="A634" s="77"/>
      <c r="B634" t="s">
        <v>386</v>
      </c>
      <c r="D634">
        <f>D590</f>
        <v>1E-3</v>
      </c>
    </row>
    <row r="635" spans="1:5" x14ac:dyDescent="0.25">
      <c r="A635" s="77"/>
    </row>
    <row r="636" spans="1:5" x14ac:dyDescent="0.25">
      <c r="A636" s="77"/>
    </row>
    <row r="637" spans="1:5" x14ac:dyDescent="0.25">
      <c r="A637" s="77"/>
      <c r="B637" t="s">
        <v>388</v>
      </c>
      <c r="C637" s="27" t="s">
        <v>387</v>
      </c>
      <c r="D637">
        <f>D599*(D633-D634)</f>
        <v>4.9122757017543856E-6</v>
      </c>
      <c r="E637" t="s">
        <v>21</v>
      </c>
    </row>
    <row r="638" spans="1:5" x14ac:dyDescent="0.25">
      <c r="A638" s="77"/>
      <c r="B638" t="s">
        <v>389</v>
      </c>
      <c r="C638" t="s">
        <v>390</v>
      </c>
      <c r="D638" s="1">
        <f>D610*D598</f>
        <v>1.4250000000000001E-2</v>
      </c>
    </row>
    <row r="639" spans="1:5" x14ac:dyDescent="0.25">
      <c r="A639" s="77"/>
      <c r="B639" t="s">
        <v>391</v>
      </c>
      <c r="D639" s="1">
        <f>D638+D637</f>
        <v>1.4254912275701755E-2</v>
      </c>
    </row>
    <row r="640" spans="1:5" x14ac:dyDescent="0.25">
      <c r="A640" s="77"/>
      <c r="B640" t="s">
        <v>402</v>
      </c>
      <c r="C640" t="s">
        <v>403</v>
      </c>
      <c r="D640">
        <f>D590*D610</f>
        <v>5.7000000000000002E-2</v>
      </c>
    </row>
    <row r="641" spans="1:5" x14ac:dyDescent="0.25">
      <c r="A641" s="77"/>
      <c r="B641" t="s">
        <v>404</v>
      </c>
      <c r="D641">
        <f>D640*D618</f>
        <v>1.1211211211210782E-4</v>
      </c>
    </row>
    <row r="642" spans="1:5" x14ac:dyDescent="0.25">
      <c r="A642" s="77"/>
      <c r="B642" t="s">
        <v>405</v>
      </c>
      <c r="D642" s="1">
        <f>D641+D639</f>
        <v>1.4367024387813862E-2</v>
      </c>
    </row>
    <row r="643" spans="1:5" x14ac:dyDescent="0.25">
      <c r="A643" s="77"/>
      <c r="B643" t="s">
        <v>406</v>
      </c>
      <c r="D643" s="1">
        <f>(D641*D587)+D639</f>
        <v>1.6788519329082721E-2</v>
      </c>
    </row>
    <row r="644" spans="1:5" x14ac:dyDescent="0.25">
      <c r="A644" s="77"/>
      <c r="B644" t="s">
        <v>407</v>
      </c>
      <c r="D644" s="1">
        <f>(D641*D589)+D639</f>
        <v>1.9322126382463688E-2</v>
      </c>
    </row>
    <row r="645" spans="1:5" x14ac:dyDescent="0.25">
      <c r="A645" s="77"/>
      <c r="C645" t="s">
        <v>408</v>
      </c>
      <c r="D645">
        <f>1/D640</f>
        <v>17.543859649122805</v>
      </c>
    </row>
    <row r="646" spans="1:5" x14ac:dyDescent="0.25">
      <c r="A646" s="77"/>
      <c r="B646" t="s">
        <v>409</v>
      </c>
      <c r="D646" s="1">
        <f>D642*D643</f>
        <v>2.4120106663621586E-4</v>
      </c>
    </row>
    <row r="647" spans="1:5" x14ac:dyDescent="0.25">
      <c r="A647" s="77"/>
      <c r="B647" t="s">
        <v>410</v>
      </c>
      <c r="D647" s="1">
        <f>D643*D645</f>
        <v>0.29453542682601264</v>
      </c>
    </row>
    <row r="648" spans="1:5" x14ac:dyDescent="0.25">
      <c r="A648" s="77"/>
      <c r="B648" t="s">
        <v>411</v>
      </c>
      <c r="D648" s="1">
        <f>D644*D645</f>
        <v>0.33898467337655586</v>
      </c>
    </row>
    <row r="649" spans="1:5" x14ac:dyDescent="0.25">
      <c r="A649" s="77"/>
      <c r="B649" t="s">
        <v>409</v>
      </c>
      <c r="D649" s="1">
        <f>D646*100</f>
        <v>2.4120106663621587E-2</v>
      </c>
      <c r="E649" t="s">
        <v>162</v>
      </c>
    </row>
    <row r="650" spans="1:5" x14ac:dyDescent="0.25">
      <c r="A650" s="77"/>
      <c r="B650" t="s">
        <v>410</v>
      </c>
      <c r="D650" s="1">
        <f>(D647/D587)*100</f>
        <v>1.3033192637051061</v>
      </c>
      <c r="E650" t="s">
        <v>162</v>
      </c>
    </row>
    <row r="651" spans="1:5" x14ac:dyDescent="0.25">
      <c r="A651" s="77"/>
      <c r="B651" t="s">
        <v>411</v>
      </c>
      <c r="D651">
        <f>(D648/D589)*100</f>
        <v>0.75000358984562998</v>
      </c>
      <c r="E651" t="s">
        <v>162</v>
      </c>
    </row>
    <row r="652" spans="1:5" x14ac:dyDescent="0.25">
      <c r="A652" s="44"/>
    </row>
    <row r="653" spans="1:5" x14ac:dyDescent="0.25">
      <c r="A653" s="76" t="s">
        <v>1007</v>
      </c>
      <c r="B653" t="s">
        <v>831</v>
      </c>
      <c r="C653" t="s">
        <v>804</v>
      </c>
      <c r="D653">
        <f>D114</f>
        <v>22.598870056497173</v>
      </c>
      <c r="E653" t="s">
        <v>20</v>
      </c>
    </row>
    <row r="654" spans="1:5" x14ac:dyDescent="0.25">
      <c r="A654" s="76"/>
      <c r="B654" t="s">
        <v>830</v>
      </c>
      <c r="D654" s="27">
        <f>D653/SQRT(3)</f>
        <v>13.047463710500017</v>
      </c>
      <c r="E654" t="s">
        <v>20</v>
      </c>
    </row>
    <row r="655" spans="1:5" ht="15.75" x14ac:dyDescent="0.3">
      <c r="A655" s="76"/>
      <c r="B655" s="46" t="s">
        <v>806</v>
      </c>
      <c r="C655" t="s">
        <v>805</v>
      </c>
      <c r="D655" s="52">
        <f xml:space="preserve"> 40</f>
        <v>40</v>
      </c>
      <c r="E655" t="s">
        <v>20</v>
      </c>
    </row>
    <row r="656" spans="1:5" ht="15.75" x14ac:dyDescent="0.3">
      <c r="A656" s="76"/>
      <c r="B656" s="46" t="s">
        <v>808</v>
      </c>
      <c r="C656" t="s">
        <v>807</v>
      </c>
      <c r="D656" s="9">
        <f>D655/SQRT(3)</f>
        <v>23.094010767585033</v>
      </c>
      <c r="E656" t="s">
        <v>20</v>
      </c>
    </row>
    <row r="657" spans="1:5" ht="15.75" x14ac:dyDescent="0.3">
      <c r="A657" s="76"/>
      <c r="B657" s="46" t="s">
        <v>793</v>
      </c>
      <c r="C657" t="s">
        <v>794</v>
      </c>
      <c r="D657" s="7">
        <f>D3</f>
        <v>16000</v>
      </c>
      <c r="E657" t="s">
        <v>68</v>
      </c>
    </row>
    <row r="658" spans="1:5" ht="15.75" x14ac:dyDescent="0.3">
      <c r="A658" s="76"/>
      <c r="B658" s="46" t="s">
        <v>795</v>
      </c>
      <c r="C658" t="s">
        <v>796</v>
      </c>
      <c r="D658" s="67">
        <v>200</v>
      </c>
    </row>
    <row r="659" spans="1:5" ht="15.75" x14ac:dyDescent="0.3">
      <c r="A659" s="76"/>
      <c r="B659" s="46" t="s">
        <v>820</v>
      </c>
      <c r="D659" s="9">
        <f>D653/D658</f>
        <v>0.11299435028248586</v>
      </c>
      <c r="E659" t="s">
        <v>20</v>
      </c>
    </row>
    <row r="660" spans="1:5" x14ac:dyDescent="0.25">
      <c r="A660" s="76"/>
      <c r="B660" t="s">
        <v>809</v>
      </c>
      <c r="D660" s="9">
        <f>D655/D658</f>
        <v>0.2</v>
      </c>
      <c r="E660" t="s">
        <v>20</v>
      </c>
    </row>
    <row r="661" spans="1:5" x14ac:dyDescent="0.25">
      <c r="A661" s="76"/>
      <c r="B661" t="s">
        <v>829</v>
      </c>
      <c r="D661" s="9">
        <f>D654/D658</f>
        <v>6.523731855250009E-2</v>
      </c>
      <c r="E661" t="s">
        <v>20</v>
      </c>
    </row>
    <row r="662" spans="1:5" x14ac:dyDescent="0.25">
      <c r="A662" s="76"/>
      <c r="B662" t="s">
        <v>810</v>
      </c>
      <c r="D662" s="9">
        <f>D656/D658</f>
        <v>0.11547005383792516</v>
      </c>
      <c r="E662" t="s">
        <v>20</v>
      </c>
    </row>
    <row r="663" spans="1:5" x14ac:dyDescent="0.25">
      <c r="A663" s="76"/>
      <c r="B663" t="s">
        <v>797</v>
      </c>
      <c r="C663" t="s">
        <v>811</v>
      </c>
      <c r="D663" s="67">
        <v>2</v>
      </c>
      <c r="E663" t="s">
        <v>21</v>
      </c>
    </row>
    <row r="664" spans="1:5" x14ac:dyDescent="0.25">
      <c r="A664" s="76"/>
      <c r="B664" t="s">
        <v>798</v>
      </c>
      <c r="C664" t="s">
        <v>799</v>
      </c>
      <c r="D664" s="52">
        <v>1.05</v>
      </c>
      <c r="E664" t="s">
        <v>21</v>
      </c>
    </row>
    <row r="665" spans="1:5" x14ac:dyDescent="0.25">
      <c r="A665" s="76"/>
      <c r="B665" t="s">
        <v>801</v>
      </c>
      <c r="C665" t="s">
        <v>800</v>
      </c>
      <c r="D665" s="27">
        <f>(D663)/D660</f>
        <v>10</v>
      </c>
      <c r="E665" s="8" t="s">
        <v>24</v>
      </c>
    </row>
    <row r="666" spans="1:5" x14ac:dyDescent="0.25">
      <c r="A666" s="76"/>
      <c r="B666" t="s">
        <v>802</v>
      </c>
      <c r="C666" t="s">
        <v>803</v>
      </c>
      <c r="D666" s="52">
        <f>D665</f>
        <v>10</v>
      </c>
      <c r="E666" s="8" t="s">
        <v>24</v>
      </c>
    </row>
    <row r="667" spans="1:5" x14ac:dyDescent="0.25">
      <c r="A667" s="76"/>
      <c r="B667" t="s">
        <v>815</v>
      </c>
      <c r="C667" t="s">
        <v>814</v>
      </c>
      <c r="D667" s="27">
        <f xml:space="preserve"> D660*D666</f>
        <v>2</v>
      </c>
      <c r="E667" t="s">
        <v>21</v>
      </c>
    </row>
    <row r="668" spans="1:5" x14ac:dyDescent="0.25">
      <c r="A668" s="76"/>
    </row>
    <row r="669" spans="1:5" x14ac:dyDescent="0.25">
      <c r="A669" s="76"/>
      <c r="B669" t="s">
        <v>817</v>
      </c>
      <c r="C669" t="s">
        <v>812</v>
      </c>
      <c r="D669" s="27">
        <f xml:space="preserve"> POWER(D660, 2)*D666</f>
        <v>0.40000000000000008</v>
      </c>
      <c r="E669" t="s">
        <v>22</v>
      </c>
    </row>
    <row r="670" spans="1:5" x14ac:dyDescent="0.25">
      <c r="A670" s="76"/>
      <c r="B670" t="s">
        <v>825</v>
      </c>
      <c r="C670" t="s">
        <v>828</v>
      </c>
      <c r="D670" s="27">
        <f>POWER(D662, 2)*D666</f>
        <v>0.13333333333333336</v>
      </c>
      <c r="E670" t="s">
        <v>22</v>
      </c>
    </row>
    <row r="671" spans="1:5" x14ac:dyDescent="0.25">
      <c r="A671" s="76"/>
      <c r="B671" t="s">
        <v>819</v>
      </c>
      <c r="C671" t="s">
        <v>818</v>
      </c>
      <c r="D671" s="27">
        <f>POWER(D659, 2)*D666</f>
        <v>0.12767723195761113</v>
      </c>
      <c r="E671" t="s">
        <v>22</v>
      </c>
    </row>
    <row r="672" spans="1:5" x14ac:dyDescent="0.25">
      <c r="A672" s="76"/>
      <c r="B672" t="s">
        <v>826</v>
      </c>
      <c r="C672" t="s">
        <v>827</v>
      </c>
      <c r="D672" s="27">
        <f>POWER(D661, 2)*D666</f>
        <v>4.255907731920372E-2</v>
      </c>
      <c r="E672" t="s">
        <v>22</v>
      </c>
    </row>
    <row r="673" spans="1:102" x14ac:dyDescent="0.25">
      <c r="A673" s="76"/>
      <c r="B673" t="s">
        <v>816</v>
      </c>
      <c r="C673" t="s">
        <v>813</v>
      </c>
      <c r="D673" s="27">
        <f>D664*D660</f>
        <v>0.21000000000000002</v>
      </c>
      <c r="E673" t="s">
        <v>22</v>
      </c>
    </row>
    <row r="674" spans="1:102" x14ac:dyDescent="0.25">
      <c r="A674" s="76"/>
      <c r="B674" t="s">
        <v>821</v>
      </c>
      <c r="C674" t="s">
        <v>822</v>
      </c>
      <c r="D674" s="27">
        <f>D664*D659</f>
        <v>0.11864406779661016</v>
      </c>
    </row>
    <row r="675" spans="1:102" x14ac:dyDescent="0.25">
      <c r="A675" s="76"/>
      <c r="D675" s="27"/>
    </row>
    <row r="676" spans="1:102" x14ac:dyDescent="0.25">
      <c r="A676" s="76"/>
      <c r="B676" t="s">
        <v>832</v>
      </c>
      <c r="C676" t="s">
        <v>833</v>
      </c>
      <c r="D676" s="27">
        <f>D666+(2*(D664/D660))</f>
        <v>20.5</v>
      </c>
      <c r="E676" s="8" t="s">
        <v>24</v>
      </c>
    </row>
    <row r="677" spans="1:102" x14ac:dyDescent="0.25">
      <c r="A677" s="76"/>
      <c r="B677" t="s">
        <v>823</v>
      </c>
      <c r="C677" t="s">
        <v>824</v>
      </c>
      <c r="D677" s="27">
        <f>D659*D666</f>
        <v>1.1299435028248586</v>
      </c>
      <c r="E677" t="s">
        <v>21</v>
      </c>
    </row>
    <row r="678" spans="1:102" x14ac:dyDescent="0.25">
      <c r="A678" s="76"/>
      <c r="B678" t="s">
        <v>834</v>
      </c>
      <c r="C678" t="s">
        <v>835</v>
      </c>
      <c r="D678" s="27">
        <f>D660</f>
        <v>0.2</v>
      </c>
    </row>
    <row r="679" spans="1:102" x14ac:dyDescent="0.25">
      <c r="A679" s="76"/>
      <c r="B679" t="s">
        <v>836</v>
      </c>
      <c r="C679" t="s">
        <v>837</v>
      </c>
      <c r="D679" t="s">
        <v>510</v>
      </c>
    </row>
    <row r="680" spans="1:102" x14ac:dyDescent="0.25">
      <c r="A680" s="76"/>
      <c r="B680" t="s">
        <v>838</v>
      </c>
      <c r="C680" t="s">
        <v>839</v>
      </c>
    </row>
    <row r="681" spans="1:102" x14ac:dyDescent="0.25">
      <c r="A681" s="76"/>
      <c r="B681" t="s">
        <v>840</v>
      </c>
      <c r="C681" t="s">
        <v>841</v>
      </c>
      <c r="D681" s="52">
        <v>100</v>
      </c>
      <c r="E681" s="8" t="s">
        <v>24</v>
      </c>
    </row>
    <row r="682" spans="1:102" x14ac:dyDescent="0.25">
      <c r="A682" s="76"/>
      <c r="B682" t="s">
        <v>842</v>
      </c>
      <c r="D682">
        <f xml:space="preserve"> (1/D657)/2</f>
        <v>3.1250000000000001E-5</v>
      </c>
      <c r="E682" s="8"/>
    </row>
    <row r="683" spans="1:102" x14ac:dyDescent="0.25">
      <c r="A683" s="76"/>
      <c r="B683" t="s">
        <v>843</v>
      </c>
      <c r="C683" t="s">
        <v>844</v>
      </c>
      <c r="D683">
        <v>100</v>
      </c>
      <c r="E683" s="8"/>
    </row>
    <row r="684" spans="1:102" x14ac:dyDescent="0.25">
      <c r="A684" s="76"/>
      <c r="B684" t="s">
        <v>693</v>
      </c>
      <c r="C684" t="s">
        <v>845</v>
      </c>
      <c r="D684">
        <f>D682/D683</f>
        <v>3.1250000000000003E-7</v>
      </c>
      <c r="E684" s="8"/>
    </row>
    <row r="685" spans="1:102" x14ac:dyDescent="0.25">
      <c r="A685" s="76"/>
      <c r="B685" t="s">
        <v>848</v>
      </c>
      <c r="C685">
        <f>D655</f>
        <v>40</v>
      </c>
      <c r="D685">
        <f>D655</f>
        <v>40</v>
      </c>
      <c r="E685" s="8">
        <f>D685</f>
        <v>40</v>
      </c>
      <c r="F685">
        <f>E685</f>
        <v>40</v>
      </c>
      <c r="G685">
        <f t="shared" ref="G685:BR685" si="35">F685</f>
        <v>40</v>
      </c>
      <c r="H685">
        <f t="shared" si="35"/>
        <v>40</v>
      </c>
      <c r="I685">
        <f t="shared" si="35"/>
        <v>40</v>
      </c>
      <c r="J685">
        <f t="shared" si="35"/>
        <v>40</v>
      </c>
      <c r="K685">
        <f t="shared" si="35"/>
        <v>40</v>
      </c>
      <c r="L685">
        <f t="shared" si="35"/>
        <v>40</v>
      </c>
      <c r="M685">
        <f t="shared" si="35"/>
        <v>40</v>
      </c>
      <c r="N685">
        <f t="shared" si="35"/>
        <v>40</v>
      </c>
      <c r="O685">
        <f t="shared" si="35"/>
        <v>40</v>
      </c>
      <c r="P685">
        <f t="shared" si="35"/>
        <v>40</v>
      </c>
      <c r="Q685">
        <f t="shared" si="35"/>
        <v>40</v>
      </c>
      <c r="R685">
        <f t="shared" si="35"/>
        <v>40</v>
      </c>
      <c r="S685">
        <f t="shared" si="35"/>
        <v>40</v>
      </c>
      <c r="T685">
        <f t="shared" si="35"/>
        <v>40</v>
      </c>
      <c r="U685">
        <f t="shared" si="35"/>
        <v>40</v>
      </c>
      <c r="V685">
        <f t="shared" si="35"/>
        <v>40</v>
      </c>
      <c r="W685">
        <f t="shared" si="35"/>
        <v>40</v>
      </c>
      <c r="X685">
        <f t="shared" si="35"/>
        <v>40</v>
      </c>
      <c r="Y685">
        <f t="shared" si="35"/>
        <v>40</v>
      </c>
      <c r="Z685">
        <f t="shared" si="35"/>
        <v>40</v>
      </c>
      <c r="AA685">
        <f t="shared" si="35"/>
        <v>40</v>
      </c>
      <c r="AB685">
        <f t="shared" si="35"/>
        <v>40</v>
      </c>
      <c r="AC685">
        <f t="shared" si="35"/>
        <v>40</v>
      </c>
      <c r="AD685">
        <f t="shared" si="35"/>
        <v>40</v>
      </c>
      <c r="AE685">
        <f t="shared" si="35"/>
        <v>40</v>
      </c>
      <c r="AF685">
        <f t="shared" si="35"/>
        <v>40</v>
      </c>
      <c r="AG685">
        <f t="shared" si="35"/>
        <v>40</v>
      </c>
      <c r="AH685">
        <f t="shared" si="35"/>
        <v>40</v>
      </c>
      <c r="AI685">
        <f t="shared" si="35"/>
        <v>40</v>
      </c>
      <c r="AJ685">
        <f t="shared" si="35"/>
        <v>40</v>
      </c>
      <c r="AK685">
        <f t="shared" si="35"/>
        <v>40</v>
      </c>
      <c r="AL685">
        <f t="shared" si="35"/>
        <v>40</v>
      </c>
      <c r="AM685">
        <f t="shared" si="35"/>
        <v>40</v>
      </c>
      <c r="AN685">
        <f t="shared" si="35"/>
        <v>40</v>
      </c>
      <c r="AO685">
        <f t="shared" si="35"/>
        <v>40</v>
      </c>
      <c r="AP685">
        <f t="shared" si="35"/>
        <v>40</v>
      </c>
      <c r="AQ685">
        <f t="shared" si="35"/>
        <v>40</v>
      </c>
      <c r="AR685">
        <f t="shared" si="35"/>
        <v>40</v>
      </c>
      <c r="AS685">
        <f t="shared" si="35"/>
        <v>40</v>
      </c>
      <c r="AT685">
        <f t="shared" si="35"/>
        <v>40</v>
      </c>
      <c r="AU685">
        <f t="shared" si="35"/>
        <v>40</v>
      </c>
      <c r="AV685">
        <f t="shared" si="35"/>
        <v>40</v>
      </c>
      <c r="AW685">
        <f t="shared" si="35"/>
        <v>40</v>
      </c>
      <c r="AX685">
        <f t="shared" si="35"/>
        <v>40</v>
      </c>
      <c r="AY685">
        <f t="shared" si="35"/>
        <v>40</v>
      </c>
      <c r="AZ685">
        <f t="shared" si="35"/>
        <v>40</v>
      </c>
      <c r="BA685">
        <f t="shared" si="35"/>
        <v>40</v>
      </c>
      <c r="BB685">
        <f t="shared" si="35"/>
        <v>40</v>
      </c>
      <c r="BC685">
        <f t="shared" si="35"/>
        <v>40</v>
      </c>
      <c r="BD685">
        <f t="shared" si="35"/>
        <v>40</v>
      </c>
      <c r="BE685">
        <f t="shared" si="35"/>
        <v>40</v>
      </c>
      <c r="BF685">
        <f t="shared" si="35"/>
        <v>40</v>
      </c>
      <c r="BG685">
        <f t="shared" si="35"/>
        <v>40</v>
      </c>
      <c r="BH685">
        <f t="shared" si="35"/>
        <v>40</v>
      </c>
      <c r="BI685">
        <f t="shared" si="35"/>
        <v>40</v>
      </c>
      <c r="BJ685">
        <f t="shared" si="35"/>
        <v>40</v>
      </c>
      <c r="BK685">
        <f t="shared" si="35"/>
        <v>40</v>
      </c>
      <c r="BL685">
        <f t="shared" si="35"/>
        <v>40</v>
      </c>
      <c r="BM685">
        <f t="shared" si="35"/>
        <v>40</v>
      </c>
      <c r="BN685">
        <f t="shared" si="35"/>
        <v>40</v>
      </c>
      <c r="BO685">
        <f t="shared" si="35"/>
        <v>40</v>
      </c>
      <c r="BP685">
        <f t="shared" si="35"/>
        <v>40</v>
      </c>
      <c r="BQ685">
        <f t="shared" si="35"/>
        <v>40</v>
      </c>
      <c r="BR685">
        <f t="shared" si="35"/>
        <v>40</v>
      </c>
      <c r="BS685">
        <f t="shared" ref="BS685:CX685" si="36">BR685</f>
        <v>40</v>
      </c>
      <c r="BT685">
        <f t="shared" si="36"/>
        <v>40</v>
      </c>
      <c r="BU685">
        <f t="shared" si="36"/>
        <v>40</v>
      </c>
      <c r="BV685">
        <f t="shared" si="36"/>
        <v>40</v>
      </c>
      <c r="BW685">
        <f t="shared" si="36"/>
        <v>40</v>
      </c>
      <c r="BX685">
        <f t="shared" si="36"/>
        <v>40</v>
      </c>
      <c r="BY685">
        <f t="shared" si="36"/>
        <v>40</v>
      </c>
      <c r="BZ685">
        <f t="shared" si="36"/>
        <v>40</v>
      </c>
      <c r="CA685">
        <f t="shared" si="36"/>
        <v>40</v>
      </c>
      <c r="CB685">
        <f t="shared" si="36"/>
        <v>40</v>
      </c>
      <c r="CC685">
        <f t="shared" si="36"/>
        <v>40</v>
      </c>
      <c r="CD685">
        <f t="shared" si="36"/>
        <v>40</v>
      </c>
      <c r="CE685">
        <f t="shared" si="36"/>
        <v>40</v>
      </c>
      <c r="CF685">
        <f t="shared" si="36"/>
        <v>40</v>
      </c>
      <c r="CG685">
        <f t="shared" si="36"/>
        <v>40</v>
      </c>
      <c r="CH685">
        <f t="shared" si="36"/>
        <v>40</v>
      </c>
      <c r="CI685">
        <f t="shared" si="36"/>
        <v>40</v>
      </c>
      <c r="CJ685">
        <f t="shared" si="36"/>
        <v>40</v>
      </c>
      <c r="CK685">
        <f t="shared" si="36"/>
        <v>40</v>
      </c>
      <c r="CL685">
        <f t="shared" si="36"/>
        <v>40</v>
      </c>
      <c r="CM685">
        <f t="shared" si="36"/>
        <v>40</v>
      </c>
      <c r="CN685">
        <f t="shared" si="36"/>
        <v>40</v>
      </c>
      <c r="CO685">
        <f t="shared" si="36"/>
        <v>40</v>
      </c>
      <c r="CP685">
        <f t="shared" si="36"/>
        <v>40</v>
      </c>
      <c r="CQ685">
        <f t="shared" si="36"/>
        <v>40</v>
      </c>
      <c r="CR685">
        <f t="shared" si="36"/>
        <v>40</v>
      </c>
      <c r="CS685">
        <f t="shared" si="36"/>
        <v>40</v>
      </c>
      <c r="CT685">
        <f t="shared" si="36"/>
        <v>40</v>
      </c>
      <c r="CU685">
        <f t="shared" si="36"/>
        <v>40</v>
      </c>
      <c r="CV685">
        <f t="shared" si="36"/>
        <v>40</v>
      </c>
      <c r="CW685">
        <f t="shared" si="36"/>
        <v>40</v>
      </c>
      <c r="CX685">
        <f t="shared" si="36"/>
        <v>40</v>
      </c>
    </row>
    <row r="686" spans="1:102" x14ac:dyDescent="0.25">
      <c r="A686" s="76"/>
      <c r="B686" t="s">
        <v>846</v>
      </c>
      <c r="C686">
        <v>1</v>
      </c>
      <c r="D686">
        <v>2</v>
      </c>
      <c r="E686" s="8">
        <v>3</v>
      </c>
      <c r="F686">
        <v>4</v>
      </c>
      <c r="G686" s="8">
        <v>5</v>
      </c>
      <c r="H686">
        <v>6</v>
      </c>
      <c r="I686" s="8">
        <v>7</v>
      </c>
      <c r="J686">
        <v>8</v>
      </c>
      <c r="K686" s="8">
        <v>9</v>
      </c>
      <c r="L686">
        <v>10</v>
      </c>
      <c r="M686" s="8">
        <v>11</v>
      </c>
      <c r="N686">
        <v>12</v>
      </c>
      <c r="O686" s="8">
        <v>13</v>
      </c>
      <c r="P686">
        <v>14</v>
      </c>
      <c r="Q686" s="8">
        <v>15</v>
      </c>
      <c r="R686">
        <v>16</v>
      </c>
      <c r="S686" s="8">
        <v>17</v>
      </c>
      <c r="T686">
        <v>18</v>
      </c>
      <c r="U686" s="8">
        <v>19</v>
      </c>
      <c r="V686">
        <v>20</v>
      </c>
      <c r="W686" s="8">
        <v>21</v>
      </c>
      <c r="X686">
        <v>22</v>
      </c>
      <c r="Y686" s="8">
        <v>23</v>
      </c>
      <c r="Z686">
        <v>24</v>
      </c>
      <c r="AA686" s="8">
        <v>25</v>
      </c>
      <c r="AB686">
        <v>26</v>
      </c>
      <c r="AC686" s="8">
        <v>27</v>
      </c>
      <c r="AD686">
        <v>28</v>
      </c>
      <c r="AE686" s="8">
        <v>29</v>
      </c>
      <c r="AF686">
        <v>30</v>
      </c>
      <c r="AG686" s="8">
        <v>31</v>
      </c>
      <c r="AH686">
        <v>32</v>
      </c>
      <c r="AI686" s="8">
        <v>33</v>
      </c>
      <c r="AJ686">
        <v>34</v>
      </c>
      <c r="AK686" s="8">
        <v>35</v>
      </c>
      <c r="AL686">
        <v>36</v>
      </c>
      <c r="AM686" s="8">
        <v>37</v>
      </c>
      <c r="AN686">
        <v>38</v>
      </c>
      <c r="AO686" s="8">
        <v>39</v>
      </c>
      <c r="AP686">
        <v>40</v>
      </c>
      <c r="AQ686" s="8">
        <v>41</v>
      </c>
      <c r="AR686">
        <v>42</v>
      </c>
      <c r="AS686" s="8">
        <v>43</v>
      </c>
      <c r="AT686">
        <v>44</v>
      </c>
      <c r="AU686" s="8">
        <v>45</v>
      </c>
      <c r="AV686">
        <v>46</v>
      </c>
      <c r="AW686" s="8">
        <v>47</v>
      </c>
      <c r="AX686">
        <v>48</v>
      </c>
      <c r="AY686" s="8">
        <v>49</v>
      </c>
      <c r="AZ686">
        <v>50</v>
      </c>
      <c r="BA686" s="8">
        <v>51</v>
      </c>
      <c r="BB686">
        <v>52</v>
      </c>
      <c r="BC686" s="8">
        <v>53</v>
      </c>
      <c r="BD686">
        <v>54</v>
      </c>
      <c r="BE686" s="8">
        <v>55</v>
      </c>
      <c r="BF686">
        <v>56</v>
      </c>
      <c r="BG686" s="8">
        <v>57</v>
      </c>
      <c r="BH686">
        <v>58</v>
      </c>
      <c r="BI686" s="8">
        <v>59</v>
      </c>
      <c r="BJ686">
        <v>60</v>
      </c>
      <c r="BK686" s="8">
        <v>61</v>
      </c>
      <c r="BL686">
        <v>62</v>
      </c>
      <c r="BM686" s="8">
        <v>63</v>
      </c>
      <c r="BN686">
        <v>64</v>
      </c>
      <c r="BO686" s="8">
        <v>65</v>
      </c>
      <c r="BP686">
        <v>66</v>
      </c>
      <c r="BQ686" s="8">
        <v>67</v>
      </c>
      <c r="BR686">
        <v>68</v>
      </c>
      <c r="BS686" s="8">
        <v>69</v>
      </c>
      <c r="BT686">
        <v>70</v>
      </c>
      <c r="BU686" s="8">
        <v>71</v>
      </c>
      <c r="BV686">
        <v>72</v>
      </c>
      <c r="BW686" s="8">
        <v>73</v>
      </c>
      <c r="BX686">
        <v>74</v>
      </c>
      <c r="BY686" s="8">
        <v>75</v>
      </c>
      <c r="BZ686">
        <v>76</v>
      </c>
      <c r="CA686" s="8">
        <v>77</v>
      </c>
      <c r="CB686">
        <v>78</v>
      </c>
      <c r="CC686" s="8">
        <v>79</v>
      </c>
      <c r="CD686">
        <v>80</v>
      </c>
      <c r="CE686" s="8">
        <v>81</v>
      </c>
      <c r="CF686">
        <v>82</v>
      </c>
      <c r="CG686" s="8">
        <v>83</v>
      </c>
      <c r="CH686">
        <v>84</v>
      </c>
      <c r="CI686" s="8">
        <v>85</v>
      </c>
      <c r="CJ686">
        <v>86</v>
      </c>
      <c r="CK686" s="8">
        <v>87</v>
      </c>
      <c r="CL686">
        <v>88</v>
      </c>
      <c r="CM686" s="8">
        <v>89</v>
      </c>
      <c r="CN686">
        <v>90</v>
      </c>
      <c r="CO686" s="8">
        <v>91</v>
      </c>
      <c r="CP686">
        <v>92</v>
      </c>
      <c r="CQ686" s="8">
        <v>93</v>
      </c>
      <c r="CR686">
        <v>94</v>
      </c>
      <c r="CS686" s="8">
        <v>95</v>
      </c>
      <c r="CT686">
        <v>96</v>
      </c>
      <c r="CU686" s="8">
        <v>97</v>
      </c>
      <c r="CV686">
        <v>98</v>
      </c>
      <c r="CW686" s="8">
        <v>99</v>
      </c>
      <c r="CX686">
        <v>100</v>
      </c>
    </row>
    <row r="687" spans="1:102" x14ac:dyDescent="0.25">
      <c r="A687" s="76"/>
      <c r="B687" t="s">
        <v>847</v>
      </c>
      <c r="C687">
        <f>(C686/50)*C685</f>
        <v>0.8</v>
      </c>
      <c r="D687">
        <f>(D686/50)*D685</f>
        <v>1.6</v>
      </c>
      <c r="E687">
        <f t="shared" ref="E687:AZ687" si="37">(E686/50)*E685</f>
        <v>2.4</v>
      </c>
      <c r="F687">
        <f t="shared" si="37"/>
        <v>3.2</v>
      </c>
      <c r="G687">
        <f t="shared" si="37"/>
        <v>4</v>
      </c>
      <c r="H687">
        <f t="shared" si="37"/>
        <v>4.8</v>
      </c>
      <c r="I687">
        <f t="shared" si="37"/>
        <v>5.6000000000000005</v>
      </c>
      <c r="J687">
        <f t="shared" si="37"/>
        <v>6.4</v>
      </c>
      <c r="K687">
        <f t="shared" si="37"/>
        <v>7.1999999999999993</v>
      </c>
      <c r="L687">
        <f t="shared" si="37"/>
        <v>8</v>
      </c>
      <c r="M687">
        <f t="shared" si="37"/>
        <v>8.8000000000000007</v>
      </c>
      <c r="N687">
        <f t="shared" si="37"/>
        <v>9.6</v>
      </c>
      <c r="O687">
        <f t="shared" si="37"/>
        <v>10.4</v>
      </c>
      <c r="P687">
        <f t="shared" si="37"/>
        <v>11.200000000000001</v>
      </c>
      <c r="Q687">
        <f t="shared" si="37"/>
        <v>12</v>
      </c>
      <c r="R687">
        <f t="shared" si="37"/>
        <v>12.8</v>
      </c>
      <c r="S687">
        <f t="shared" si="37"/>
        <v>13.600000000000001</v>
      </c>
      <c r="T687">
        <f t="shared" si="37"/>
        <v>14.399999999999999</v>
      </c>
      <c r="U687">
        <f t="shared" si="37"/>
        <v>15.2</v>
      </c>
      <c r="V687">
        <f t="shared" si="37"/>
        <v>16</v>
      </c>
      <c r="W687">
        <f t="shared" si="37"/>
        <v>16.8</v>
      </c>
      <c r="X687">
        <f t="shared" si="37"/>
        <v>17.600000000000001</v>
      </c>
      <c r="Y687">
        <f t="shared" si="37"/>
        <v>18.400000000000002</v>
      </c>
      <c r="Z687">
        <f t="shared" si="37"/>
        <v>19.2</v>
      </c>
      <c r="AA687">
        <f t="shared" si="37"/>
        <v>20</v>
      </c>
      <c r="AB687">
        <f t="shared" si="37"/>
        <v>20.8</v>
      </c>
      <c r="AC687">
        <f t="shared" si="37"/>
        <v>21.6</v>
      </c>
      <c r="AD687">
        <f t="shared" si="37"/>
        <v>22.400000000000002</v>
      </c>
      <c r="AE687">
        <f t="shared" si="37"/>
        <v>23.2</v>
      </c>
      <c r="AF687">
        <f t="shared" si="37"/>
        <v>24</v>
      </c>
      <c r="AG687">
        <f t="shared" si="37"/>
        <v>24.8</v>
      </c>
      <c r="AH687">
        <f t="shared" si="37"/>
        <v>25.6</v>
      </c>
      <c r="AI687">
        <f t="shared" si="37"/>
        <v>26.400000000000002</v>
      </c>
      <c r="AJ687">
        <f t="shared" si="37"/>
        <v>27.200000000000003</v>
      </c>
      <c r="AK687">
        <f t="shared" si="37"/>
        <v>28</v>
      </c>
      <c r="AL687">
        <f t="shared" si="37"/>
        <v>28.799999999999997</v>
      </c>
      <c r="AM687">
        <f t="shared" si="37"/>
        <v>29.6</v>
      </c>
      <c r="AN687">
        <f t="shared" si="37"/>
        <v>30.4</v>
      </c>
      <c r="AO687">
        <f t="shared" si="37"/>
        <v>31.200000000000003</v>
      </c>
      <c r="AP687">
        <f t="shared" si="37"/>
        <v>32</v>
      </c>
      <c r="AQ687">
        <f t="shared" si="37"/>
        <v>32.799999999999997</v>
      </c>
      <c r="AR687">
        <f t="shared" si="37"/>
        <v>33.6</v>
      </c>
      <c r="AS687">
        <f t="shared" si="37"/>
        <v>34.4</v>
      </c>
      <c r="AT687">
        <f t="shared" si="37"/>
        <v>35.200000000000003</v>
      </c>
      <c r="AU687">
        <f t="shared" si="37"/>
        <v>36</v>
      </c>
      <c r="AV687">
        <f t="shared" si="37"/>
        <v>36.800000000000004</v>
      </c>
      <c r="AW687">
        <f t="shared" si="37"/>
        <v>37.599999999999994</v>
      </c>
      <c r="AX687">
        <f t="shared" si="37"/>
        <v>38.4</v>
      </c>
      <c r="AY687">
        <f t="shared" si="37"/>
        <v>39.200000000000003</v>
      </c>
      <c r="AZ687">
        <f t="shared" si="37"/>
        <v>40</v>
      </c>
      <c r="BA687">
        <f>(((100-BA686)/50)*BA685)</f>
        <v>39.200000000000003</v>
      </c>
      <c r="BB687">
        <f t="shared" ref="BB687:BD687" si="38">(((100-BB686)/50)*BB685)</f>
        <v>38.4</v>
      </c>
      <c r="BC687">
        <f t="shared" si="38"/>
        <v>37.599999999999994</v>
      </c>
      <c r="BD687">
        <f t="shared" si="38"/>
        <v>36.800000000000004</v>
      </c>
      <c r="BE687">
        <f t="shared" ref="BE687" si="39">(((100-BE686)/50)*BE685)</f>
        <v>36</v>
      </c>
      <c r="BF687">
        <f t="shared" ref="BF687:BG687" si="40">(((100-BF686)/50)*BF685)</f>
        <v>35.200000000000003</v>
      </c>
      <c r="BG687">
        <f t="shared" si="40"/>
        <v>34.4</v>
      </c>
      <c r="BH687">
        <f t="shared" ref="BH687" si="41">(((100-BH686)/50)*BH685)</f>
        <v>33.6</v>
      </c>
      <c r="BI687">
        <f t="shared" ref="BI687:BJ687" si="42">(((100-BI686)/50)*BI685)</f>
        <v>32.799999999999997</v>
      </c>
      <c r="BJ687">
        <f t="shared" si="42"/>
        <v>32</v>
      </c>
      <c r="BK687">
        <f t="shared" ref="BK687" si="43">(((100-BK686)/50)*BK685)</f>
        <v>31.200000000000003</v>
      </c>
      <c r="BL687">
        <f t="shared" ref="BL687:BM687" si="44">(((100-BL686)/50)*BL685)</f>
        <v>30.4</v>
      </c>
      <c r="BM687">
        <f t="shared" si="44"/>
        <v>29.6</v>
      </c>
      <c r="BN687">
        <f t="shared" ref="BN687" si="45">(((100-BN686)/50)*BN685)</f>
        <v>28.799999999999997</v>
      </c>
      <c r="BO687">
        <f t="shared" ref="BO687:BP687" si="46">(((100-BO686)/50)*BO685)</f>
        <v>28</v>
      </c>
      <c r="BP687">
        <f t="shared" si="46"/>
        <v>27.200000000000003</v>
      </c>
      <c r="BQ687">
        <f t="shared" ref="BQ687" si="47">(((100-BQ686)/50)*BQ685)</f>
        <v>26.400000000000002</v>
      </c>
      <c r="BR687">
        <f t="shared" ref="BR687:BS687" si="48">(((100-BR686)/50)*BR685)</f>
        <v>25.6</v>
      </c>
      <c r="BS687">
        <f t="shared" si="48"/>
        <v>24.8</v>
      </c>
      <c r="BT687">
        <f t="shared" ref="BT687" si="49">(((100-BT686)/50)*BT685)</f>
        <v>24</v>
      </c>
      <c r="BU687">
        <f t="shared" ref="BU687:BV687" si="50">(((100-BU686)/50)*BU685)</f>
        <v>23.2</v>
      </c>
      <c r="BV687">
        <f t="shared" si="50"/>
        <v>22.400000000000002</v>
      </c>
      <c r="BW687">
        <f t="shared" ref="BW687" si="51">(((100-BW686)/50)*BW685)</f>
        <v>21.6</v>
      </c>
      <c r="BX687">
        <f t="shared" ref="BX687:BY687" si="52">(((100-BX686)/50)*BX685)</f>
        <v>20.8</v>
      </c>
      <c r="BY687">
        <f t="shared" si="52"/>
        <v>20</v>
      </c>
      <c r="BZ687">
        <f t="shared" ref="BZ687" si="53">(((100-BZ686)/50)*BZ685)</f>
        <v>19.2</v>
      </c>
      <c r="CA687">
        <f t="shared" ref="CA687:CB687" si="54">(((100-CA686)/50)*CA685)</f>
        <v>18.400000000000002</v>
      </c>
      <c r="CB687">
        <f t="shared" si="54"/>
        <v>17.600000000000001</v>
      </c>
      <c r="CC687">
        <f t="shared" ref="CC687" si="55">(((100-CC686)/50)*CC685)</f>
        <v>16.8</v>
      </c>
      <c r="CD687">
        <f t="shared" ref="CD687:CE687" si="56">(((100-CD686)/50)*CD685)</f>
        <v>16</v>
      </c>
      <c r="CE687">
        <f t="shared" si="56"/>
        <v>15.2</v>
      </c>
      <c r="CF687">
        <f t="shared" ref="CF687" si="57">(((100-CF686)/50)*CF685)</f>
        <v>14.399999999999999</v>
      </c>
      <c r="CG687">
        <f t="shared" ref="CG687:CH687" si="58">(((100-CG686)/50)*CG685)</f>
        <v>13.600000000000001</v>
      </c>
      <c r="CH687">
        <f t="shared" si="58"/>
        <v>12.8</v>
      </c>
      <c r="CI687">
        <f t="shared" ref="CI687" si="59">(((100-CI686)/50)*CI685)</f>
        <v>12</v>
      </c>
      <c r="CJ687">
        <f t="shared" ref="CJ687:CK687" si="60">(((100-CJ686)/50)*CJ685)</f>
        <v>11.200000000000001</v>
      </c>
      <c r="CK687">
        <f t="shared" si="60"/>
        <v>10.4</v>
      </c>
      <c r="CL687">
        <f t="shared" ref="CL687" si="61">(((100-CL686)/50)*CL685)</f>
        <v>9.6</v>
      </c>
      <c r="CM687">
        <f t="shared" ref="CM687:CN687" si="62">(((100-CM686)/50)*CM685)</f>
        <v>8.8000000000000007</v>
      </c>
      <c r="CN687">
        <f t="shared" si="62"/>
        <v>8</v>
      </c>
      <c r="CO687">
        <f t="shared" ref="CO687" si="63">(((100-CO686)/50)*CO685)</f>
        <v>7.1999999999999993</v>
      </c>
      <c r="CP687">
        <f t="shared" ref="CP687:CQ687" si="64">(((100-CP686)/50)*CP685)</f>
        <v>6.4</v>
      </c>
      <c r="CQ687">
        <f t="shared" si="64"/>
        <v>5.6000000000000005</v>
      </c>
      <c r="CR687">
        <f t="shared" ref="CR687" si="65">(((100-CR686)/50)*CR685)</f>
        <v>4.8</v>
      </c>
      <c r="CS687">
        <f t="shared" ref="CS687:CT687" si="66">(((100-CS686)/50)*CS685)</f>
        <v>4</v>
      </c>
      <c r="CT687">
        <f t="shared" si="66"/>
        <v>3.2</v>
      </c>
      <c r="CU687">
        <f t="shared" ref="CU687" si="67">(((100-CU686)/50)*CU685)</f>
        <v>2.4</v>
      </c>
      <c r="CV687">
        <f t="shared" ref="CV687:CW687" si="68">(((100-CV686)/50)*CV685)</f>
        <v>1.6</v>
      </c>
      <c r="CW687">
        <f t="shared" si="68"/>
        <v>0.8</v>
      </c>
      <c r="CX687">
        <f t="shared" ref="CX687" si="69">(((100-CX686)/50)*CX685)</f>
        <v>0</v>
      </c>
    </row>
    <row r="688" spans="1:102" x14ac:dyDescent="0.25">
      <c r="A688" s="76"/>
      <c r="B688" t="s">
        <v>849</v>
      </c>
      <c r="C688">
        <f t="shared" ref="C688:AH688" si="70">C687/$D$658</f>
        <v>4.0000000000000001E-3</v>
      </c>
      <c r="D688">
        <f t="shared" si="70"/>
        <v>8.0000000000000002E-3</v>
      </c>
      <c r="E688">
        <f t="shared" si="70"/>
        <v>1.2E-2</v>
      </c>
      <c r="F688">
        <f t="shared" si="70"/>
        <v>1.6E-2</v>
      </c>
      <c r="G688">
        <f t="shared" si="70"/>
        <v>0.02</v>
      </c>
      <c r="H688">
        <f t="shared" si="70"/>
        <v>2.4E-2</v>
      </c>
      <c r="I688">
        <f t="shared" si="70"/>
        <v>2.8000000000000004E-2</v>
      </c>
      <c r="J688">
        <f t="shared" si="70"/>
        <v>3.2000000000000001E-2</v>
      </c>
      <c r="K688">
        <f t="shared" si="70"/>
        <v>3.5999999999999997E-2</v>
      </c>
      <c r="L688">
        <f t="shared" si="70"/>
        <v>0.04</v>
      </c>
      <c r="M688">
        <f t="shared" si="70"/>
        <v>4.4000000000000004E-2</v>
      </c>
      <c r="N688">
        <f t="shared" si="70"/>
        <v>4.8000000000000001E-2</v>
      </c>
      <c r="O688">
        <f t="shared" si="70"/>
        <v>5.2000000000000005E-2</v>
      </c>
      <c r="P688">
        <f t="shared" si="70"/>
        <v>5.6000000000000008E-2</v>
      </c>
      <c r="Q688">
        <f t="shared" si="70"/>
        <v>0.06</v>
      </c>
      <c r="R688">
        <f t="shared" si="70"/>
        <v>6.4000000000000001E-2</v>
      </c>
      <c r="S688">
        <f t="shared" si="70"/>
        <v>6.8000000000000005E-2</v>
      </c>
      <c r="T688">
        <f t="shared" si="70"/>
        <v>7.1999999999999995E-2</v>
      </c>
      <c r="U688">
        <f t="shared" si="70"/>
        <v>7.5999999999999998E-2</v>
      </c>
      <c r="V688">
        <f t="shared" si="70"/>
        <v>0.08</v>
      </c>
      <c r="W688">
        <f t="shared" si="70"/>
        <v>8.4000000000000005E-2</v>
      </c>
      <c r="X688">
        <f t="shared" si="70"/>
        <v>8.8000000000000009E-2</v>
      </c>
      <c r="Y688">
        <f t="shared" si="70"/>
        <v>9.2000000000000012E-2</v>
      </c>
      <c r="Z688">
        <f t="shared" si="70"/>
        <v>9.6000000000000002E-2</v>
      </c>
      <c r="AA688">
        <f t="shared" si="70"/>
        <v>0.1</v>
      </c>
      <c r="AB688">
        <f t="shared" si="70"/>
        <v>0.10400000000000001</v>
      </c>
      <c r="AC688">
        <f t="shared" si="70"/>
        <v>0.10800000000000001</v>
      </c>
      <c r="AD688">
        <f t="shared" si="70"/>
        <v>0.11200000000000002</v>
      </c>
      <c r="AE688">
        <f t="shared" si="70"/>
        <v>0.11599999999999999</v>
      </c>
      <c r="AF688">
        <f t="shared" si="70"/>
        <v>0.12</v>
      </c>
      <c r="AG688">
        <f t="shared" si="70"/>
        <v>0.124</v>
      </c>
      <c r="AH688">
        <f t="shared" si="70"/>
        <v>0.128</v>
      </c>
      <c r="AI688">
        <f t="shared" ref="AI688:BN688" si="71">AI687/$D$658</f>
        <v>0.13200000000000001</v>
      </c>
      <c r="AJ688">
        <f t="shared" si="71"/>
        <v>0.13600000000000001</v>
      </c>
      <c r="AK688">
        <f t="shared" si="71"/>
        <v>0.14000000000000001</v>
      </c>
      <c r="AL688">
        <f t="shared" si="71"/>
        <v>0.14399999999999999</v>
      </c>
      <c r="AM688">
        <f t="shared" si="71"/>
        <v>0.14800000000000002</v>
      </c>
      <c r="AN688">
        <f t="shared" si="71"/>
        <v>0.152</v>
      </c>
      <c r="AO688">
        <f t="shared" si="71"/>
        <v>0.15600000000000003</v>
      </c>
      <c r="AP688">
        <f t="shared" si="71"/>
        <v>0.16</v>
      </c>
      <c r="AQ688">
        <f t="shared" si="71"/>
        <v>0.16399999999999998</v>
      </c>
      <c r="AR688">
        <f t="shared" si="71"/>
        <v>0.16800000000000001</v>
      </c>
      <c r="AS688">
        <f t="shared" si="71"/>
        <v>0.17199999999999999</v>
      </c>
      <c r="AT688">
        <f t="shared" si="71"/>
        <v>0.17600000000000002</v>
      </c>
      <c r="AU688">
        <f t="shared" si="71"/>
        <v>0.18</v>
      </c>
      <c r="AV688">
        <f t="shared" si="71"/>
        <v>0.18400000000000002</v>
      </c>
      <c r="AW688">
        <f t="shared" si="71"/>
        <v>0.18799999999999997</v>
      </c>
      <c r="AX688">
        <f t="shared" si="71"/>
        <v>0.192</v>
      </c>
      <c r="AY688">
        <f t="shared" si="71"/>
        <v>0.19600000000000001</v>
      </c>
      <c r="AZ688">
        <f t="shared" si="71"/>
        <v>0.2</v>
      </c>
      <c r="BA688">
        <f t="shared" si="71"/>
        <v>0.19600000000000001</v>
      </c>
      <c r="BB688">
        <f t="shared" si="71"/>
        <v>0.192</v>
      </c>
      <c r="BC688">
        <f t="shared" si="71"/>
        <v>0.18799999999999997</v>
      </c>
      <c r="BD688">
        <f t="shared" si="71"/>
        <v>0.18400000000000002</v>
      </c>
      <c r="BE688">
        <f t="shared" si="71"/>
        <v>0.18</v>
      </c>
      <c r="BF688">
        <f t="shared" si="71"/>
        <v>0.17600000000000002</v>
      </c>
      <c r="BG688">
        <f t="shared" si="71"/>
        <v>0.17199999999999999</v>
      </c>
      <c r="BH688">
        <f t="shared" si="71"/>
        <v>0.16800000000000001</v>
      </c>
      <c r="BI688">
        <f t="shared" si="71"/>
        <v>0.16399999999999998</v>
      </c>
      <c r="BJ688">
        <f t="shared" si="71"/>
        <v>0.16</v>
      </c>
      <c r="BK688">
        <f t="shared" si="71"/>
        <v>0.15600000000000003</v>
      </c>
      <c r="BL688">
        <f t="shared" si="71"/>
        <v>0.152</v>
      </c>
      <c r="BM688">
        <f t="shared" si="71"/>
        <v>0.14800000000000002</v>
      </c>
      <c r="BN688">
        <f t="shared" si="71"/>
        <v>0.14399999999999999</v>
      </c>
      <c r="BO688">
        <f t="shared" ref="BO688" si="72">BO687/$D$658</f>
        <v>0.14000000000000001</v>
      </c>
      <c r="BP688">
        <f t="shared" ref="BP688:CX688" si="73">BP687/$D$658</f>
        <v>0.13600000000000001</v>
      </c>
      <c r="BQ688">
        <f t="shared" si="73"/>
        <v>0.13200000000000001</v>
      </c>
      <c r="BR688">
        <f t="shared" si="73"/>
        <v>0.128</v>
      </c>
      <c r="BS688">
        <f t="shared" si="73"/>
        <v>0.124</v>
      </c>
      <c r="BT688">
        <f t="shared" si="73"/>
        <v>0.12</v>
      </c>
      <c r="BU688">
        <f t="shared" si="73"/>
        <v>0.11599999999999999</v>
      </c>
      <c r="BV688">
        <f t="shared" si="73"/>
        <v>0.11200000000000002</v>
      </c>
      <c r="BW688">
        <f t="shared" si="73"/>
        <v>0.10800000000000001</v>
      </c>
      <c r="BX688">
        <f t="shared" si="73"/>
        <v>0.10400000000000001</v>
      </c>
      <c r="BY688">
        <f t="shared" si="73"/>
        <v>0.1</v>
      </c>
      <c r="BZ688">
        <f t="shared" si="73"/>
        <v>9.6000000000000002E-2</v>
      </c>
      <c r="CA688">
        <f t="shared" si="73"/>
        <v>9.2000000000000012E-2</v>
      </c>
      <c r="CB688">
        <f t="shared" si="73"/>
        <v>8.8000000000000009E-2</v>
      </c>
      <c r="CC688">
        <f t="shared" si="73"/>
        <v>8.4000000000000005E-2</v>
      </c>
      <c r="CD688">
        <f t="shared" si="73"/>
        <v>0.08</v>
      </c>
      <c r="CE688">
        <f t="shared" si="73"/>
        <v>7.5999999999999998E-2</v>
      </c>
      <c r="CF688">
        <f t="shared" si="73"/>
        <v>7.1999999999999995E-2</v>
      </c>
      <c r="CG688">
        <f t="shared" si="73"/>
        <v>6.8000000000000005E-2</v>
      </c>
      <c r="CH688">
        <f t="shared" si="73"/>
        <v>6.4000000000000001E-2</v>
      </c>
      <c r="CI688">
        <f t="shared" si="73"/>
        <v>0.06</v>
      </c>
      <c r="CJ688">
        <f t="shared" si="73"/>
        <v>5.6000000000000008E-2</v>
      </c>
      <c r="CK688">
        <f t="shared" si="73"/>
        <v>5.2000000000000005E-2</v>
      </c>
      <c r="CL688">
        <f t="shared" si="73"/>
        <v>4.8000000000000001E-2</v>
      </c>
      <c r="CM688">
        <f t="shared" si="73"/>
        <v>4.4000000000000004E-2</v>
      </c>
      <c r="CN688">
        <f t="shared" si="73"/>
        <v>0.04</v>
      </c>
      <c r="CO688">
        <f t="shared" si="73"/>
        <v>3.5999999999999997E-2</v>
      </c>
      <c r="CP688">
        <f t="shared" si="73"/>
        <v>3.2000000000000001E-2</v>
      </c>
      <c r="CQ688">
        <f t="shared" si="73"/>
        <v>2.8000000000000004E-2</v>
      </c>
      <c r="CR688">
        <f t="shared" si="73"/>
        <v>2.4E-2</v>
      </c>
      <c r="CS688">
        <f t="shared" si="73"/>
        <v>0.02</v>
      </c>
      <c r="CT688">
        <f t="shared" si="73"/>
        <v>1.6E-2</v>
      </c>
      <c r="CU688">
        <f t="shared" si="73"/>
        <v>1.2E-2</v>
      </c>
      <c r="CV688">
        <f t="shared" si="73"/>
        <v>8.0000000000000002E-3</v>
      </c>
      <c r="CW688">
        <f t="shared" si="73"/>
        <v>4.0000000000000001E-3</v>
      </c>
      <c r="CX688">
        <f t="shared" si="73"/>
        <v>0</v>
      </c>
    </row>
    <row r="689" spans="1:102" x14ac:dyDescent="0.25">
      <c r="A689" s="76"/>
      <c r="B689" t="s">
        <v>850</v>
      </c>
      <c r="C689">
        <f>(($D$664*2)+(C688*($D$666+$D$668)))*$D$684</f>
        <v>6.6875000000000006E-7</v>
      </c>
      <c r="D689">
        <f>(($D$664*2)+(D688*($D$666+$D$668)))*$D$684</f>
        <v>6.8125000000000015E-7</v>
      </c>
      <c r="E689">
        <f t="shared" ref="E689:BP689" si="74">(($D$664*2)+(E688*($D$666+$D$668)))*$D$684</f>
        <v>6.9375000000000013E-7</v>
      </c>
      <c r="F689">
        <f t="shared" si="74"/>
        <v>7.0625000000000012E-7</v>
      </c>
      <c r="G689">
        <f t="shared" si="74"/>
        <v>7.1875000000000011E-7</v>
      </c>
      <c r="H689">
        <f t="shared" si="74"/>
        <v>7.3124999999999999E-7</v>
      </c>
      <c r="I689">
        <f t="shared" si="74"/>
        <v>7.4375000000000008E-7</v>
      </c>
      <c r="J689">
        <f t="shared" si="74"/>
        <v>7.5625000000000007E-7</v>
      </c>
      <c r="K689">
        <f t="shared" si="74"/>
        <v>7.6875000000000005E-7</v>
      </c>
      <c r="L689">
        <f t="shared" si="74"/>
        <v>7.8125000000000004E-7</v>
      </c>
      <c r="M689">
        <f t="shared" si="74"/>
        <v>7.9375000000000002E-7</v>
      </c>
      <c r="N689">
        <f t="shared" si="74"/>
        <v>8.0625000000000012E-7</v>
      </c>
      <c r="O689">
        <f t="shared" si="74"/>
        <v>8.187500000000001E-7</v>
      </c>
      <c r="P689">
        <f t="shared" si="74"/>
        <v>8.3125000000000009E-7</v>
      </c>
      <c r="Q689">
        <f t="shared" si="74"/>
        <v>8.4375000000000007E-7</v>
      </c>
      <c r="R689">
        <f t="shared" si="74"/>
        <v>8.5625000000000017E-7</v>
      </c>
      <c r="S689">
        <f t="shared" si="74"/>
        <v>8.6875000000000015E-7</v>
      </c>
      <c r="T689">
        <f t="shared" si="74"/>
        <v>8.8125000000000014E-7</v>
      </c>
      <c r="U689">
        <f t="shared" si="74"/>
        <v>8.9375000000000012E-7</v>
      </c>
      <c r="V689">
        <f t="shared" si="74"/>
        <v>9.0625000000000022E-7</v>
      </c>
      <c r="W689">
        <f t="shared" si="74"/>
        <v>9.187500000000002E-7</v>
      </c>
      <c r="X689">
        <f t="shared" si="74"/>
        <v>9.3125000000000019E-7</v>
      </c>
      <c r="Y689">
        <f t="shared" si="74"/>
        <v>9.4375000000000018E-7</v>
      </c>
      <c r="Z689">
        <f t="shared" si="74"/>
        <v>9.5625000000000016E-7</v>
      </c>
      <c r="AA689">
        <f t="shared" si="74"/>
        <v>9.6875000000000004E-7</v>
      </c>
      <c r="AB689">
        <f t="shared" si="74"/>
        <v>9.8125000000000013E-7</v>
      </c>
      <c r="AC689">
        <f t="shared" si="74"/>
        <v>9.9375000000000023E-7</v>
      </c>
      <c r="AD689">
        <f t="shared" si="74"/>
        <v>1.0062500000000001E-6</v>
      </c>
      <c r="AE689">
        <f t="shared" si="74"/>
        <v>1.01875E-6</v>
      </c>
      <c r="AF689">
        <f t="shared" si="74"/>
        <v>1.0312500000000001E-6</v>
      </c>
      <c r="AG689">
        <f t="shared" si="74"/>
        <v>1.04375E-6</v>
      </c>
      <c r="AH689">
        <f t="shared" si="74"/>
        <v>1.0562500000000001E-6</v>
      </c>
      <c r="AI689">
        <f t="shared" si="74"/>
        <v>1.0687500000000001E-6</v>
      </c>
      <c r="AJ689">
        <f t="shared" si="74"/>
        <v>1.08125E-6</v>
      </c>
      <c r="AK689">
        <f t="shared" si="74"/>
        <v>1.0937500000000001E-6</v>
      </c>
      <c r="AL689">
        <f t="shared" si="74"/>
        <v>1.10625E-6</v>
      </c>
      <c r="AM689">
        <f t="shared" si="74"/>
        <v>1.1187500000000001E-6</v>
      </c>
      <c r="AN689">
        <f t="shared" si="74"/>
        <v>1.1312500000000002E-6</v>
      </c>
      <c r="AO689">
        <f t="shared" si="74"/>
        <v>1.1437500000000001E-6</v>
      </c>
      <c r="AP689">
        <f t="shared" si="74"/>
        <v>1.1562500000000002E-6</v>
      </c>
      <c r="AQ689">
        <f t="shared" si="74"/>
        <v>1.16875E-6</v>
      </c>
      <c r="AR689">
        <f t="shared" si="74"/>
        <v>1.1812500000000001E-6</v>
      </c>
      <c r="AS689">
        <f t="shared" si="74"/>
        <v>1.19375E-6</v>
      </c>
      <c r="AT689">
        <f t="shared" si="74"/>
        <v>1.2062500000000001E-6</v>
      </c>
      <c r="AU689">
        <f t="shared" si="74"/>
        <v>1.21875E-6</v>
      </c>
      <c r="AV689">
        <f t="shared" si="74"/>
        <v>1.2312500000000003E-6</v>
      </c>
      <c r="AW689">
        <f t="shared" si="74"/>
        <v>1.24375E-6</v>
      </c>
      <c r="AX689">
        <f t="shared" si="74"/>
        <v>1.25625E-6</v>
      </c>
      <c r="AY689">
        <f t="shared" si="74"/>
        <v>1.2687500000000003E-6</v>
      </c>
      <c r="AZ689">
        <f t="shared" si="74"/>
        <v>1.28125E-6</v>
      </c>
      <c r="BA689">
        <f t="shared" si="74"/>
        <v>1.2687500000000003E-6</v>
      </c>
      <c r="BB689">
        <f t="shared" si="74"/>
        <v>1.25625E-6</v>
      </c>
      <c r="BC689">
        <f t="shared" si="74"/>
        <v>1.24375E-6</v>
      </c>
      <c r="BD689">
        <f t="shared" si="74"/>
        <v>1.2312500000000003E-6</v>
      </c>
      <c r="BE689">
        <f t="shared" si="74"/>
        <v>1.21875E-6</v>
      </c>
      <c r="BF689">
        <f t="shared" si="74"/>
        <v>1.2062500000000001E-6</v>
      </c>
      <c r="BG689">
        <f t="shared" si="74"/>
        <v>1.19375E-6</v>
      </c>
      <c r="BH689">
        <f t="shared" si="74"/>
        <v>1.1812500000000001E-6</v>
      </c>
      <c r="BI689">
        <f t="shared" si="74"/>
        <v>1.16875E-6</v>
      </c>
      <c r="BJ689">
        <f t="shared" si="74"/>
        <v>1.1562500000000002E-6</v>
      </c>
      <c r="BK689">
        <f t="shared" si="74"/>
        <v>1.1437500000000001E-6</v>
      </c>
      <c r="BL689">
        <f t="shared" si="74"/>
        <v>1.1312500000000002E-6</v>
      </c>
      <c r="BM689">
        <f t="shared" si="74"/>
        <v>1.1187500000000001E-6</v>
      </c>
      <c r="BN689">
        <f t="shared" si="74"/>
        <v>1.10625E-6</v>
      </c>
      <c r="BO689">
        <f t="shared" si="74"/>
        <v>1.0937500000000001E-6</v>
      </c>
      <c r="BP689">
        <f t="shared" si="74"/>
        <v>1.08125E-6</v>
      </c>
      <c r="BQ689">
        <f t="shared" ref="BQ689:CX689" si="75">(($D$664*2)+(BQ688*($D$666+$D$668)))*$D$684</f>
        <v>1.0687500000000001E-6</v>
      </c>
      <c r="BR689">
        <f t="shared" si="75"/>
        <v>1.0562500000000001E-6</v>
      </c>
      <c r="BS689">
        <f t="shared" si="75"/>
        <v>1.04375E-6</v>
      </c>
      <c r="BT689">
        <f t="shared" si="75"/>
        <v>1.0312500000000001E-6</v>
      </c>
      <c r="BU689">
        <f t="shared" si="75"/>
        <v>1.01875E-6</v>
      </c>
      <c r="BV689">
        <f t="shared" si="75"/>
        <v>1.0062500000000001E-6</v>
      </c>
      <c r="BW689">
        <f t="shared" si="75"/>
        <v>9.9375000000000023E-7</v>
      </c>
      <c r="BX689">
        <f t="shared" si="75"/>
        <v>9.8125000000000013E-7</v>
      </c>
      <c r="BY689">
        <f t="shared" si="75"/>
        <v>9.6875000000000004E-7</v>
      </c>
      <c r="BZ689">
        <f t="shared" si="75"/>
        <v>9.5625000000000016E-7</v>
      </c>
      <c r="CA689">
        <f t="shared" si="75"/>
        <v>9.4375000000000018E-7</v>
      </c>
      <c r="CB689">
        <f t="shared" si="75"/>
        <v>9.3125000000000019E-7</v>
      </c>
      <c r="CC689">
        <f t="shared" si="75"/>
        <v>9.187500000000002E-7</v>
      </c>
      <c r="CD689">
        <f t="shared" si="75"/>
        <v>9.0625000000000022E-7</v>
      </c>
      <c r="CE689">
        <f t="shared" si="75"/>
        <v>8.9375000000000012E-7</v>
      </c>
      <c r="CF689">
        <f t="shared" si="75"/>
        <v>8.8125000000000014E-7</v>
      </c>
      <c r="CG689">
        <f t="shared" si="75"/>
        <v>8.6875000000000015E-7</v>
      </c>
      <c r="CH689">
        <f t="shared" si="75"/>
        <v>8.5625000000000017E-7</v>
      </c>
      <c r="CI689">
        <f t="shared" si="75"/>
        <v>8.4375000000000007E-7</v>
      </c>
      <c r="CJ689">
        <f t="shared" si="75"/>
        <v>8.3125000000000009E-7</v>
      </c>
      <c r="CK689">
        <f t="shared" si="75"/>
        <v>8.187500000000001E-7</v>
      </c>
      <c r="CL689">
        <f t="shared" si="75"/>
        <v>8.0625000000000012E-7</v>
      </c>
      <c r="CM689">
        <f t="shared" si="75"/>
        <v>7.9375000000000002E-7</v>
      </c>
      <c r="CN689">
        <f t="shared" si="75"/>
        <v>7.8125000000000004E-7</v>
      </c>
      <c r="CO689">
        <f t="shared" si="75"/>
        <v>7.6875000000000005E-7</v>
      </c>
      <c r="CP689">
        <f t="shared" si="75"/>
        <v>7.5625000000000007E-7</v>
      </c>
      <c r="CQ689">
        <f t="shared" si="75"/>
        <v>7.4375000000000008E-7</v>
      </c>
      <c r="CR689">
        <f t="shared" si="75"/>
        <v>7.3124999999999999E-7</v>
      </c>
      <c r="CS689">
        <f t="shared" si="75"/>
        <v>7.1875000000000011E-7</v>
      </c>
      <c r="CT689">
        <f t="shared" si="75"/>
        <v>7.0625000000000012E-7</v>
      </c>
      <c r="CU689">
        <f t="shared" si="75"/>
        <v>6.9375000000000013E-7</v>
      </c>
      <c r="CV689">
        <f t="shared" si="75"/>
        <v>6.8125000000000015E-7</v>
      </c>
      <c r="CW689">
        <f t="shared" si="75"/>
        <v>6.6875000000000006E-7</v>
      </c>
      <c r="CX689">
        <f t="shared" si="75"/>
        <v>6.5625000000000007E-7</v>
      </c>
    </row>
    <row r="690" spans="1:102" x14ac:dyDescent="0.25">
      <c r="A690" s="76"/>
      <c r="B690" t="s">
        <v>851</v>
      </c>
      <c r="C690" s="27">
        <f>SUM(C689:CX689)</f>
        <v>9.6874999999999969E-5</v>
      </c>
    </row>
    <row r="691" spans="1:102" x14ac:dyDescent="0.25">
      <c r="A691" s="76"/>
      <c r="B691" t="s">
        <v>852</v>
      </c>
      <c r="C691" s="27">
        <f>791/1000000</f>
        <v>7.9100000000000004E-4</v>
      </c>
    </row>
    <row r="692" spans="1:102" x14ac:dyDescent="0.25">
      <c r="A692" s="76"/>
      <c r="C692" t="s">
        <v>853</v>
      </c>
      <c r="D692" s="27" t="b">
        <f>C690&lt;=C691</f>
        <v>1</v>
      </c>
    </row>
    <row r="693" spans="1:102" x14ac:dyDescent="0.25">
      <c r="A693" s="45"/>
    </row>
    <row r="694" spans="1:102" x14ac:dyDescent="0.25">
      <c r="A694" s="45"/>
      <c r="E694" s="8"/>
    </row>
    <row r="695" spans="1:102" x14ac:dyDescent="0.25">
      <c r="A695" s="77" t="s">
        <v>431</v>
      </c>
      <c r="B695" t="s">
        <v>47</v>
      </c>
      <c r="C695" t="s">
        <v>46</v>
      </c>
      <c r="D695">
        <f>D3</f>
        <v>16000</v>
      </c>
    </row>
    <row r="696" spans="1:102" x14ac:dyDescent="0.25">
      <c r="A696" s="77"/>
      <c r="B696" t="s">
        <v>40</v>
      </c>
      <c r="C696" t="s">
        <v>414</v>
      </c>
      <c r="D696">
        <f>D114</f>
        <v>22.598870056497173</v>
      </c>
    </row>
    <row r="697" spans="1:102" x14ac:dyDescent="0.25">
      <c r="A697" s="77"/>
      <c r="B697" t="s">
        <v>39</v>
      </c>
      <c r="C697" t="s">
        <v>415</v>
      </c>
      <c r="D697">
        <f>D110</f>
        <v>0.5</v>
      </c>
    </row>
    <row r="698" spans="1:102" x14ac:dyDescent="0.25">
      <c r="A698" s="77"/>
      <c r="B698" t="s">
        <v>412</v>
      </c>
      <c r="C698" t="s">
        <v>413</v>
      </c>
      <c r="D698">
        <f>0.5*D696/D695</f>
        <v>7.0621468926553661E-4</v>
      </c>
    </row>
    <row r="699" spans="1:102" x14ac:dyDescent="0.25">
      <c r="A699" s="77"/>
      <c r="B699" t="s">
        <v>416</v>
      </c>
      <c r="D699">
        <v>0.5</v>
      </c>
    </row>
    <row r="700" spans="1:102" x14ac:dyDescent="0.25">
      <c r="A700" s="77"/>
      <c r="B700" t="s">
        <v>422</v>
      </c>
      <c r="D700">
        <f>D698/D699</f>
        <v>1.4124293785310732E-3</v>
      </c>
    </row>
    <row r="701" spans="1:102" x14ac:dyDescent="0.25">
      <c r="A701" s="77"/>
      <c r="C701" t="s">
        <v>417</v>
      </c>
      <c r="D701">
        <v>10</v>
      </c>
    </row>
    <row r="702" spans="1:102" x14ac:dyDescent="0.25">
      <c r="A702" s="77"/>
      <c r="B702" t="s">
        <v>421</v>
      </c>
      <c r="D702">
        <f>D701*D700</f>
        <v>1.4124293785310733E-2</v>
      </c>
    </row>
    <row r="703" spans="1:102" x14ac:dyDescent="0.25">
      <c r="A703" s="77"/>
      <c r="B703" t="s">
        <v>446</v>
      </c>
      <c r="C703" t="s">
        <v>447</v>
      </c>
      <c r="D703">
        <f>3*D725</f>
        <v>132.30000000000001</v>
      </c>
    </row>
    <row r="704" spans="1:102" x14ac:dyDescent="0.25">
      <c r="A704" s="77"/>
      <c r="B704" t="s">
        <v>448</v>
      </c>
      <c r="D704" s="1">
        <v>1E-3</v>
      </c>
    </row>
    <row r="705" spans="1:4" x14ac:dyDescent="0.25">
      <c r="A705" s="77"/>
      <c r="B705" t="s">
        <v>449</v>
      </c>
      <c r="D705">
        <v>20</v>
      </c>
    </row>
    <row r="706" spans="1:4" x14ac:dyDescent="0.25">
      <c r="A706" s="77"/>
      <c r="B706" t="s">
        <v>452</v>
      </c>
      <c r="C706" t="s">
        <v>453</v>
      </c>
      <c r="D706" s="29">
        <v>1.7000000000000001E-2</v>
      </c>
    </row>
    <row r="707" spans="1:4" x14ac:dyDescent="0.25">
      <c r="A707" s="77"/>
      <c r="B707" t="s">
        <v>454</v>
      </c>
      <c r="D707">
        <f>D706/D705</f>
        <v>8.5000000000000006E-4</v>
      </c>
    </row>
    <row r="708" spans="1:4" x14ac:dyDescent="0.25">
      <c r="A708" s="77"/>
      <c r="B708" t="s">
        <v>427</v>
      </c>
      <c r="C708" t="s">
        <v>428</v>
      </c>
      <c r="D708" s="1">
        <f>D704*D705</f>
        <v>0.02</v>
      </c>
    </row>
    <row r="709" spans="1:4" x14ac:dyDescent="0.25">
      <c r="A709" s="77"/>
      <c r="C709" t="s">
        <v>450</v>
      </c>
      <c r="D709" s="1">
        <f>0.2</f>
        <v>0.2</v>
      </c>
    </row>
    <row r="710" spans="1:4" x14ac:dyDescent="0.25">
      <c r="A710" s="77"/>
      <c r="B710" t="s">
        <v>451</v>
      </c>
      <c r="D710" s="1">
        <f>D708*(1-D709)</f>
        <v>1.6E-2</v>
      </c>
    </row>
    <row r="711" spans="1:4" x14ac:dyDescent="0.25">
      <c r="A711" s="77"/>
      <c r="B711" t="s">
        <v>487</v>
      </c>
      <c r="D711" s="1">
        <f>D707*D696</f>
        <v>1.9209039548022597E-2</v>
      </c>
    </row>
    <row r="712" spans="1:4" x14ac:dyDescent="0.25">
      <c r="A712" s="77"/>
      <c r="B712" t="s">
        <v>488</v>
      </c>
      <c r="D712" s="1">
        <f>D698/D708</f>
        <v>3.531073446327683E-2</v>
      </c>
    </row>
    <row r="713" spans="1:4" x14ac:dyDescent="0.25">
      <c r="A713" s="77"/>
      <c r="B713" t="s">
        <v>489</v>
      </c>
      <c r="D713" s="1">
        <f>D711+D712</f>
        <v>5.4519774011299427E-2</v>
      </c>
    </row>
    <row r="714" spans="1:4" x14ac:dyDescent="0.25">
      <c r="A714" s="77"/>
      <c r="B714" t="s">
        <v>455</v>
      </c>
      <c r="D714" s="1">
        <f>POWER(D711, 2)/D707</f>
        <v>0.43410258865587781</v>
      </c>
    </row>
    <row r="715" spans="1:4" x14ac:dyDescent="0.25">
      <c r="A715" s="77"/>
      <c r="B715" t="s">
        <v>456</v>
      </c>
      <c r="D715" s="1">
        <f>D714/D705</f>
        <v>2.1705129432793891E-2</v>
      </c>
    </row>
    <row r="716" spans="1:4" x14ac:dyDescent="0.25">
      <c r="A716" s="77"/>
      <c r="B716" t="s">
        <v>425</v>
      </c>
      <c r="C716" t="s">
        <v>419</v>
      </c>
      <c r="D716">
        <v>500</v>
      </c>
    </row>
    <row r="717" spans="1:4" x14ac:dyDescent="0.25">
      <c r="A717" s="77"/>
      <c r="B717" t="s">
        <v>423</v>
      </c>
      <c r="C717" t="s">
        <v>424</v>
      </c>
      <c r="D717">
        <f>1/(POWER(2*PI()*D716, 2)*D702)</f>
        <v>7.1735398018775158E-6</v>
      </c>
    </row>
    <row r="718" spans="1:4" x14ac:dyDescent="0.25">
      <c r="A718" s="77"/>
      <c r="B718" t="s">
        <v>420</v>
      </c>
      <c r="C718" t="s">
        <v>457</v>
      </c>
      <c r="D718" s="1">
        <v>2.1999999999999999E-5</v>
      </c>
    </row>
    <row r="719" spans="1:4" x14ac:dyDescent="0.25">
      <c r="A719" s="77"/>
      <c r="B719" t="s">
        <v>458</v>
      </c>
      <c r="D719" s="1">
        <f>D2*2/D5</f>
        <v>11.299435028248586</v>
      </c>
    </row>
    <row r="720" spans="1:4" x14ac:dyDescent="0.25">
      <c r="A720" s="77"/>
      <c r="B720" t="s">
        <v>459</v>
      </c>
      <c r="D720" s="1">
        <f>2*D719</f>
        <v>22.598870056497173</v>
      </c>
    </row>
    <row r="721" spans="1:4" x14ac:dyDescent="0.25">
      <c r="A721" s="77"/>
      <c r="B721" t="s">
        <v>418</v>
      </c>
      <c r="C721" t="s">
        <v>426</v>
      </c>
      <c r="D721" s="1">
        <f>1/(2*PI()*POWER(D708*D718, 0.5))</f>
        <v>239.93510443917407</v>
      </c>
    </row>
    <row r="722" spans="1:4" x14ac:dyDescent="0.25">
      <c r="A722" s="77"/>
      <c r="B722" t="s">
        <v>429</v>
      </c>
      <c r="D722" s="1">
        <f>40*LOG10(D695/D721)</f>
        <v>72.961047570285331</v>
      </c>
    </row>
    <row r="723" spans="1:4" x14ac:dyDescent="0.25">
      <c r="A723" s="77"/>
      <c r="C723" t="s">
        <v>430</v>
      </c>
      <c r="D723">
        <f>POWER(D7, 2)*0.5*D708</f>
        <v>19.448100000000004</v>
      </c>
    </row>
    <row r="724" spans="1:4" x14ac:dyDescent="0.25">
      <c r="A724" s="77"/>
      <c r="B724" t="s">
        <v>432</v>
      </c>
      <c r="C724" t="s">
        <v>433</v>
      </c>
      <c r="D724">
        <v>33</v>
      </c>
    </row>
    <row r="725" spans="1:4" x14ac:dyDescent="0.25">
      <c r="A725" s="77"/>
      <c r="B725" t="s">
        <v>38</v>
      </c>
      <c r="D725">
        <f>D7</f>
        <v>44.1</v>
      </c>
    </row>
    <row r="726" spans="1:4" x14ac:dyDescent="0.25">
      <c r="A726" s="77"/>
    </row>
    <row r="727" spans="1:4" x14ac:dyDescent="0.25">
      <c r="A727" s="77"/>
      <c r="B727" t="s">
        <v>435</v>
      </c>
      <c r="D727" s="1">
        <f>((-D724)+POWER(POWER(D724, 2)-(4*D718/D708), 0.5))/(2*D718)</f>
        <v>-1.5151530456139737</v>
      </c>
    </row>
    <row r="728" spans="1:4" x14ac:dyDescent="0.25">
      <c r="A728" s="77"/>
      <c r="B728" t="s">
        <v>436</v>
      </c>
      <c r="D728" s="1">
        <f>((-D724)-POWER(POWER(D724, 2)-(4*D718/D708), 0.5))/(2*D718)</f>
        <v>-1499998.4848469547</v>
      </c>
    </row>
    <row r="729" spans="1:4" x14ac:dyDescent="0.25">
      <c r="A729" s="77"/>
      <c r="B729" t="s">
        <v>437</v>
      </c>
      <c r="D729" s="1">
        <f>LN(D728/D727)/(D727-D728)</f>
        <v>9.2036573945350537E-6</v>
      </c>
    </row>
    <row r="730" spans="1:4" x14ac:dyDescent="0.25">
      <c r="A730" s="77"/>
      <c r="B730" t="s">
        <v>231</v>
      </c>
      <c r="D730" s="1">
        <f>(D725/(D718*(D727-D728)))*(EXP(D727*D729)-EXP(D728*D729))</f>
        <v>1.3363463508162678</v>
      </c>
    </row>
    <row r="731" spans="1:4" x14ac:dyDescent="0.25">
      <c r="A731" s="77"/>
      <c r="B731" t="s">
        <v>438</v>
      </c>
      <c r="D731" s="1">
        <f>D724*POWER(D730, 2)</f>
        <v>58.932111788218542</v>
      </c>
    </row>
    <row r="732" spans="1:4" x14ac:dyDescent="0.25">
      <c r="A732" s="77"/>
      <c r="C732" t="s">
        <v>434</v>
      </c>
      <c r="D732" s="1">
        <f>D731*D4</f>
        <v>70.71853414586225</v>
      </c>
    </row>
    <row r="733" spans="1:4" x14ac:dyDescent="0.25">
      <c r="A733" s="77"/>
      <c r="B733" t="s">
        <v>440</v>
      </c>
      <c r="C733" t="s">
        <v>439</v>
      </c>
      <c r="D733" t="b">
        <f>(POWER(D724, 2)/(4*POWER(D718, 2)))&lt;(1/(D718*D708))</f>
        <v>0</v>
      </c>
    </row>
    <row r="734" spans="1:4" x14ac:dyDescent="0.25">
      <c r="A734" s="77"/>
      <c r="B734" t="s">
        <v>441</v>
      </c>
      <c r="D734" s="1">
        <f>D724/(2*D718)</f>
        <v>750000</v>
      </c>
    </row>
    <row r="735" spans="1:4" x14ac:dyDescent="0.25">
      <c r="A735" s="77"/>
      <c r="B735" t="s">
        <v>442</v>
      </c>
      <c r="D735" s="1">
        <f>1/POWER(D718*D708, 0.5)</f>
        <v>1507.5567228888181</v>
      </c>
    </row>
    <row r="736" spans="1:4" x14ac:dyDescent="0.25">
      <c r="A736" s="77"/>
      <c r="B736" t="s">
        <v>443</v>
      </c>
      <c r="D736" t="str">
        <f>IF(D733, POWER(POWER(D735, 2)-POWER(D734, 2), 0.5),"NA")</f>
        <v>NA</v>
      </c>
    </row>
    <row r="737" spans="1:4" x14ac:dyDescent="0.25">
      <c r="A737" s="77"/>
      <c r="C737" t="s">
        <v>444</v>
      </c>
      <c r="D737" s="1" t="str">
        <f>IF(D733, 100*EXP(-PI()*D734/D736), "Not Under-damped")</f>
        <v>Not Under-damped</v>
      </c>
    </row>
    <row r="738" spans="1:4" x14ac:dyDescent="0.25">
      <c r="A738" s="77"/>
      <c r="B738" t="s">
        <v>445</v>
      </c>
      <c r="D738" s="1">
        <f>5/MIN(ABS(D727), ABS(D728))</f>
        <v>3.2999966666561322</v>
      </c>
    </row>
    <row r="739" spans="1:4" x14ac:dyDescent="0.25">
      <c r="A739" s="77"/>
      <c r="B739" t="s">
        <v>463</v>
      </c>
      <c r="C739" t="s">
        <v>460</v>
      </c>
      <c r="D739">
        <v>1600</v>
      </c>
    </row>
    <row r="740" spans="1:4" x14ac:dyDescent="0.25">
      <c r="A740" s="77"/>
      <c r="C740" t="s">
        <v>461</v>
      </c>
      <c r="D740">
        <v>0.1</v>
      </c>
    </row>
    <row r="741" spans="1:4" x14ac:dyDescent="0.25">
      <c r="A741" s="77"/>
      <c r="B741" t="s">
        <v>462</v>
      </c>
      <c r="D741">
        <f>D739*(1-D740)</f>
        <v>1440</v>
      </c>
    </row>
    <row r="742" spans="1:4" x14ac:dyDescent="0.25">
      <c r="A742" s="77"/>
      <c r="B742" t="s">
        <v>464</v>
      </c>
      <c r="D742">
        <f>D739*(1+D740)</f>
        <v>1760.0000000000002</v>
      </c>
    </row>
    <row r="743" spans="1:4" x14ac:dyDescent="0.25">
      <c r="A743" s="77"/>
      <c r="B743" t="s">
        <v>465</v>
      </c>
      <c r="D743">
        <v>24</v>
      </c>
    </row>
    <row r="744" spans="1:4" x14ac:dyDescent="0.25">
      <c r="A744" s="77"/>
      <c r="B744" t="s">
        <v>466</v>
      </c>
      <c r="D744">
        <v>1.4999999999999999E-2</v>
      </c>
    </row>
    <row r="745" spans="1:4" x14ac:dyDescent="0.25">
      <c r="A745" s="77"/>
      <c r="C745" t="s">
        <v>467</v>
      </c>
      <c r="D745" t="b">
        <f>(D743/D739)=D744</f>
        <v>1</v>
      </c>
    </row>
    <row r="746" spans="1:4" x14ac:dyDescent="0.25">
      <c r="A746" s="77"/>
      <c r="B746" t="s">
        <v>468</v>
      </c>
      <c r="C746" t="s">
        <v>469</v>
      </c>
      <c r="D746">
        <f>1.3*D743</f>
        <v>31.200000000000003</v>
      </c>
    </row>
    <row r="747" spans="1:4" x14ac:dyDescent="0.25">
      <c r="A747" s="77"/>
      <c r="B747" t="s">
        <v>470</v>
      </c>
      <c r="C747" t="s">
        <v>471</v>
      </c>
      <c r="D747">
        <f>0.75*D743</f>
        <v>18</v>
      </c>
    </row>
    <row r="748" spans="1:4" x14ac:dyDescent="0.25">
      <c r="A748" s="77"/>
      <c r="B748" t="s">
        <v>472</v>
      </c>
      <c r="D748">
        <f>D747/D742</f>
        <v>1.0227272727272725E-2</v>
      </c>
    </row>
    <row r="749" spans="1:4" x14ac:dyDescent="0.25">
      <c r="A749" s="77"/>
      <c r="B749" t="s">
        <v>473</v>
      </c>
      <c r="D749">
        <f>D746/D742</f>
        <v>1.7727272727272727E-2</v>
      </c>
    </row>
    <row r="750" spans="1:4" x14ac:dyDescent="0.25">
      <c r="A750" s="77"/>
      <c r="B750" t="s">
        <v>479</v>
      </c>
      <c r="D750">
        <v>1330</v>
      </c>
    </row>
    <row r="751" spans="1:4" x14ac:dyDescent="0.25">
      <c r="A751" s="77"/>
      <c r="C751" t="s">
        <v>483</v>
      </c>
      <c r="D751">
        <v>0.05</v>
      </c>
    </row>
    <row r="752" spans="1:4" x14ac:dyDescent="0.25">
      <c r="A752" s="77"/>
      <c r="B752" t="s">
        <v>484</v>
      </c>
      <c r="D752">
        <f>D750*(1-D751)</f>
        <v>1263.5</v>
      </c>
    </row>
    <row r="753" spans="1:4" x14ac:dyDescent="0.25">
      <c r="A753" s="77"/>
      <c r="B753" t="s">
        <v>485</v>
      </c>
      <c r="D753">
        <f>D750*(1+D751)</f>
        <v>1396.5</v>
      </c>
    </row>
    <row r="754" spans="1:4" x14ac:dyDescent="0.25">
      <c r="A754" s="77"/>
      <c r="C754" t="s">
        <v>476</v>
      </c>
      <c r="D754">
        <f>D6/(D739+D750)</f>
        <v>1.3003412969283274E-2</v>
      </c>
    </row>
    <row r="755" spans="1:4" x14ac:dyDescent="0.25">
      <c r="A755" s="77"/>
      <c r="C755" t="s">
        <v>477</v>
      </c>
      <c r="D755">
        <f>D5/(D741+D753)</f>
        <v>1.2480169222633529E-2</v>
      </c>
    </row>
    <row r="756" spans="1:4" x14ac:dyDescent="0.25">
      <c r="A756" s="77"/>
      <c r="C756" t="s">
        <v>478</v>
      </c>
      <c r="D756">
        <f>D7/(D741+D752)</f>
        <v>1.6312187904568152E-2</v>
      </c>
    </row>
    <row r="757" spans="1:4" x14ac:dyDescent="0.25">
      <c r="A757" s="77"/>
      <c r="C757" t="s">
        <v>480</v>
      </c>
      <c r="D757" t="b">
        <f>AND((D754&gt;D748), (D756&lt;D749))</f>
        <v>1</v>
      </c>
    </row>
    <row r="758" spans="1:4" x14ac:dyDescent="0.25">
      <c r="A758" s="77"/>
    </row>
    <row r="759" spans="1:4" x14ac:dyDescent="0.25">
      <c r="A759" s="77"/>
      <c r="B759" t="s">
        <v>481</v>
      </c>
      <c r="D759">
        <f xml:space="preserve"> POWER(D756, 2)*D750</f>
        <v>0.35389634073113957</v>
      </c>
    </row>
    <row r="760" spans="1:4" x14ac:dyDescent="0.25">
      <c r="A760" s="77"/>
      <c r="B760" t="s">
        <v>486</v>
      </c>
      <c r="D760">
        <f>POWER(D754, 2)*D739</f>
        <v>0.27054199815955915</v>
      </c>
    </row>
    <row r="761" spans="1:4" x14ac:dyDescent="0.25">
      <c r="A761" s="77"/>
      <c r="B761" t="s">
        <v>482</v>
      </c>
      <c r="D761">
        <f>POWER(D755, 2)*D742</f>
        <v>0.27412813793300184</v>
      </c>
    </row>
    <row r="762" spans="1:4" x14ac:dyDescent="0.25">
      <c r="A762" s="77"/>
      <c r="C762" t="s">
        <v>606</v>
      </c>
      <c r="D762" s="1">
        <f>0.5*D718*POWER(D763, 2)</f>
        <v>3.0311171733454588E-4</v>
      </c>
    </row>
    <row r="763" spans="1:4" x14ac:dyDescent="0.25">
      <c r="A763" s="77"/>
      <c r="C763" t="s">
        <v>607</v>
      </c>
      <c r="D763">
        <f>D2/D6</f>
        <v>5.2493438320209984</v>
      </c>
    </row>
    <row r="764" spans="1:4" x14ac:dyDescent="0.25">
      <c r="A764" s="77"/>
      <c r="C764" t="s">
        <v>608</v>
      </c>
      <c r="D764">
        <f>D6</f>
        <v>38.099999999999994</v>
      </c>
    </row>
    <row r="765" spans="1:4" x14ac:dyDescent="0.25">
      <c r="A765" s="77"/>
      <c r="C765" t="s">
        <v>609</v>
      </c>
      <c r="D765">
        <f>POWER(((0.5*D708*POWER(D764, 2))+D762)*2/D708, 0.5)</f>
        <v>38.100397782329424</v>
      </c>
    </row>
    <row r="766" spans="1:4" x14ac:dyDescent="0.25">
      <c r="A766" s="77"/>
      <c r="B766" t="s">
        <v>716</v>
      </c>
      <c r="C766" t="s">
        <v>715</v>
      </c>
      <c r="D766" s="1">
        <f>0.5*D708*POWER(D7, 2)</f>
        <v>19.448100000000004</v>
      </c>
    </row>
    <row r="767" spans="1:4" x14ac:dyDescent="0.25">
      <c r="A767" t="s">
        <v>714</v>
      </c>
      <c r="B767" t="s">
        <v>717</v>
      </c>
      <c r="C767" t="s">
        <v>718</v>
      </c>
      <c r="D767">
        <f>(0.06*0.022*0.0018)+(2*(0.06*0.0129*0.001))+(0.06*0.0091*0.0018)</f>
        <v>4.9067999999999993E-6</v>
      </c>
    </row>
    <row r="768" spans="1:4" x14ac:dyDescent="0.25">
      <c r="B768" t="s">
        <v>719</v>
      </c>
      <c r="C768" t="s">
        <v>720</v>
      </c>
      <c r="D768">
        <v>850</v>
      </c>
    </row>
    <row r="769" spans="1:10" x14ac:dyDescent="0.25">
      <c r="B769" t="s">
        <v>721</v>
      </c>
      <c r="C769" t="s">
        <v>722</v>
      </c>
      <c r="D769">
        <v>2700</v>
      </c>
    </row>
    <row r="770" spans="1:10" x14ac:dyDescent="0.25">
      <c r="B770" t="s">
        <v>693</v>
      </c>
      <c r="D770">
        <f>D766/(D769*D767*D768)</f>
        <v>1.7270150907024588</v>
      </c>
    </row>
    <row r="771" spans="1:10" x14ac:dyDescent="0.25">
      <c r="B771" t="s">
        <v>723</v>
      </c>
      <c r="C771" t="s">
        <v>730</v>
      </c>
      <c r="D771">
        <v>0.2</v>
      </c>
    </row>
    <row r="772" spans="1:10" x14ac:dyDescent="0.25">
      <c r="B772" t="s">
        <v>728</v>
      </c>
      <c r="C772" t="s">
        <v>727</v>
      </c>
      <c r="D772">
        <f>D768*D767*D769</f>
        <v>11.261106</v>
      </c>
    </row>
    <row r="773" spans="1:10" x14ac:dyDescent="0.25">
      <c r="B773" t="s">
        <v>734</v>
      </c>
      <c r="C773" t="s">
        <v>733</v>
      </c>
      <c r="D773">
        <f>0.022*0.06</f>
        <v>1.3199999999999998E-3</v>
      </c>
    </row>
    <row r="774" spans="1:10" x14ac:dyDescent="0.25">
      <c r="B774" t="s">
        <v>735</v>
      </c>
      <c r="C774" t="s">
        <v>736</v>
      </c>
      <c r="D774">
        <f>0.002</f>
        <v>2E-3</v>
      </c>
    </row>
    <row r="775" spans="1:10" x14ac:dyDescent="0.25">
      <c r="B775" t="s">
        <v>724</v>
      </c>
      <c r="C775" t="s">
        <v>725</v>
      </c>
      <c r="D775">
        <v>0.5</v>
      </c>
    </row>
    <row r="776" spans="1:10" x14ac:dyDescent="0.25">
      <c r="B776" t="s">
        <v>729</v>
      </c>
      <c r="C776" t="s">
        <v>726</v>
      </c>
      <c r="D776">
        <f>4.605*D772/D775</f>
        <v>103.71478626000001</v>
      </c>
    </row>
    <row r="777" spans="1:10" x14ac:dyDescent="0.25">
      <c r="B777" t="s">
        <v>731</v>
      </c>
      <c r="C777" t="s">
        <v>732</v>
      </c>
      <c r="D777">
        <f>D774/(D771*D773)</f>
        <v>7.575757575757577</v>
      </c>
    </row>
    <row r="778" spans="1:10" x14ac:dyDescent="0.25">
      <c r="B778" t="s">
        <v>737</v>
      </c>
      <c r="D778">
        <f>D772*D770/D776</f>
        <v>0.18751521071687935</v>
      </c>
    </row>
    <row r="779" spans="1:10" x14ac:dyDescent="0.25">
      <c r="B779" t="s">
        <v>738</v>
      </c>
      <c r="D779">
        <f>D778*D777</f>
        <v>1.4205697781581772</v>
      </c>
    </row>
    <row r="780" spans="1:10" x14ac:dyDescent="0.25">
      <c r="A780" s="37"/>
      <c r="C780" t="s">
        <v>614</v>
      </c>
      <c r="D780" t="s">
        <v>615</v>
      </c>
      <c r="E780" t="s">
        <v>617</v>
      </c>
      <c r="F780" t="s">
        <v>616</v>
      </c>
      <c r="G780" t="s">
        <v>618</v>
      </c>
    </row>
    <row r="781" spans="1:10" x14ac:dyDescent="0.25">
      <c r="A781" s="77" t="s">
        <v>610</v>
      </c>
      <c r="C781" t="s">
        <v>611</v>
      </c>
      <c r="D781">
        <f>D2/D5</f>
        <v>5.6497175141242932</v>
      </c>
      <c r="E781">
        <f>11*0.01</f>
        <v>0.11</v>
      </c>
      <c r="F781">
        <v>1</v>
      </c>
      <c r="G781">
        <v>22</v>
      </c>
      <c r="H781">
        <v>10</v>
      </c>
      <c r="I781">
        <v>10</v>
      </c>
      <c r="J781">
        <v>10</v>
      </c>
    </row>
    <row r="782" spans="1:10" x14ac:dyDescent="0.25">
      <c r="A782" s="77"/>
      <c r="C782" t="s">
        <v>612</v>
      </c>
      <c r="D782">
        <v>2</v>
      </c>
      <c r="E782">
        <v>2</v>
      </c>
      <c r="F782">
        <v>2</v>
      </c>
      <c r="G782">
        <v>2</v>
      </c>
      <c r="H782">
        <v>2</v>
      </c>
      <c r="I782">
        <v>2</v>
      </c>
      <c r="J782">
        <v>2</v>
      </c>
    </row>
    <row r="783" spans="1:10" x14ac:dyDescent="0.25">
      <c r="A783" s="77"/>
      <c r="C783" t="s">
        <v>613</v>
      </c>
      <c r="D783">
        <v>5</v>
      </c>
      <c r="E783">
        <v>5</v>
      </c>
      <c r="F783">
        <v>5</v>
      </c>
      <c r="G783">
        <v>5</v>
      </c>
      <c r="H783">
        <v>5</v>
      </c>
      <c r="I783">
        <v>5</v>
      </c>
      <c r="J783">
        <v>5</v>
      </c>
    </row>
    <row r="784" spans="1:10" x14ac:dyDescent="0.25">
      <c r="A784" s="77"/>
      <c r="C784" t="s">
        <v>621</v>
      </c>
      <c r="D784">
        <f>0.0254*POWER(D781/(0.048*POWER(D783, 0.44)), 1/0.725)/(D782*1.378)</f>
        <v>2.4923433704232472</v>
      </c>
      <c r="E784">
        <f t="shared" ref="E784:G784" si="76">0.0254*POWER(E781/(0.048*POWER(E783, 0.44)), 1/0.725)/(E782*1.378)</f>
        <v>1.0892125473680554E-2</v>
      </c>
      <c r="F784">
        <f t="shared" si="76"/>
        <v>0.22873341897835012</v>
      </c>
      <c r="G784">
        <f t="shared" si="76"/>
        <v>16.253508114154439</v>
      </c>
      <c r="H784">
        <f t="shared" ref="H784" si="77">0.0254*POWER(H781/(0.048*POWER(H783, 0.44)), 1/0.725)/(H782*1.378)</f>
        <v>5.4782262733389961</v>
      </c>
      <c r="I784">
        <f t="shared" ref="I784:J784" si="78">0.0254*POWER(I781/(0.048*POWER(I783, 0.44)), 1/0.725)/(I782*1.378)</f>
        <v>5.4782262733389961</v>
      </c>
      <c r="J784">
        <f t="shared" si="78"/>
        <v>5.4782262733389961</v>
      </c>
    </row>
    <row r="785" spans="1:9" x14ac:dyDescent="0.25">
      <c r="A785" s="77"/>
      <c r="C785" t="s">
        <v>622</v>
      </c>
      <c r="D785">
        <f>0.0254*POWER(D781/(0.024*POWER(D783, 0.44)), 1/0.725)/(D782*1.378)</f>
        <v>6.4836813405534928</v>
      </c>
      <c r="E785">
        <f t="shared" ref="E785:I785" si="79">0.0254*POWER(E781/(0.024*POWER(E783, 0.44)), 1/0.725)/(E782*1.378)</f>
        <v>2.8335209157266786E-2</v>
      </c>
      <c r="F785">
        <f t="shared" si="79"/>
        <v>0.59503622903255293</v>
      </c>
      <c r="G785">
        <f t="shared" si="79"/>
        <v>42.282523559497292</v>
      </c>
      <c r="H785">
        <f t="shared" si="79"/>
        <v>14.251276083899347</v>
      </c>
      <c r="I785">
        <f t="shared" si="79"/>
        <v>14.251276083899347</v>
      </c>
    </row>
    <row r="786" spans="1:9" x14ac:dyDescent="0.25">
      <c r="A786" s="77"/>
      <c r="C786" t="s">
        <v>620</v>
      </c>
      <c r="D786">
        <v>8</v>
      </c>
      <c r="E786">
        <v>1</v>
      </c>
      <c r="F786">
        <v>1</v>
      </c>
      <c r="G786">
        <v>8</v>
      </c>
      <c r="H786">
        <v>8</v>
      </c>
    </row>
    <row r="787" spans="1:9" x14ac:dyDescent="0.25">
      <c r="A787" s="77"/>
      <c r="C787" t="s">
        <v>625</v>
      </c>
      <c r="D787">
        <f>POWER(D781/POWER(D786*(D782*1.378)/0.0254, 0.725)/0.048, 1/0.44)</f>
        <v>0.7318559619713908</v>
      </c>
      <c r="E787">
        <f t="shared" ref="E787:H787" si="80">POWER(E781/POWER(E786*(E782*1.378)/0.0254, 0.725)/0.048, 1/0.44)</f>
        <v>2.9151906392472556E-3</v>
      </c>
      <c r="F787">
        <f t="shared" si="80"/>
        <v>0.43986554940209394</v>
      </c>
      <c r="G787">
        <f t="shared" si="80"/>
        <v>16.078094835159579</v>
      </c>
      <c r="H787">
        <f t="shared" si="80"/>
        <v>2.6791758539545092</v>
      </c>
    </row>
    <row r="788" spans="1:9" x14ac:dyDescent="0.25">
      <c r="A788" s="77"/>
      <c r="C788" t="s">
        <v>624</v>
      </c>
      <c r="D788">
        <f>POWER(D781/POWER(D786*(D782*1.378)/0.0254, 0.725)/0.024, 1/0.44)</f>
        <v>3.5365898499283999</v>
      </c>
      <c r="E788">
        <f t="shared" ref="E788:H788" si="81">POWER(E781/POWER(E786*(E782*1.378)/0.0254, 0.725)/0.024, 1/0.44)</f>
        <v>1.4087244158805046E-2</v>
      </c>
      <c r="F788">
        <f t="shared" si="81"/>
        <v>2.1255877087593311</v>
      </c>
      <c r="G788">
        <f t="shared" si="81"/>
        <v>77.695106625959824</v>
      </c>
      <c r="H788">
        <f t="shared" si="81"/>
        <v>12.946736275462857</v>
      </c>
    </row>
    <row r="789" spans="1:9" x14ac:dyDescent="0.25">
      <c r="A789" s="77"/>
      <c r="C789" t="s">
        <v>619</v>
      </c>
      <c r="D789">
        <v>100</v>
      </c>
      <c r="E789">
        <v>200</v>
      </c>
      <c r="F789">
        <v>120</v>
      </c>
      <c r="G789">
        <v>100</v>
      </c>
      <c r="H789">
        <v>100</v>
      </c>
    </row>
    <row r="790" spans="1:9" x14ac:dyDescent="0.25">
      <c r="A790" s="77"/>
      <c r="C790" t="s">
        <v>194</v>
      </c>
      <c r="D790">
        <f>(0.0000000168)*(D789/1000)/((D786/1000)*0.0000348*D782)</f>
        <v>3.0172413793103452E-3</v>
      </c>
      <c r="E790">
        <f>(0.0000000168)*(E789/1000)/((E786/1000)*0.0000348*E782)</f>
        <v>4.8275862068965524E-2</v>
      </c>
      <c r="F790">
        <f>(0.0000000168)*(F789/1000)/((F786/1000)*0.0000348*F782)</f>
        <v>2.8965517241379312E-2</v>
      </c>
      <c r="G790">
        <f>(0.0000000168)*(G789/1000)/((G786/1000)*0.0000348*G782)</f>
        <v>3.0172413793103452E-3</v>
      </c>
      <c r="H790">
        <f>(0.0000000168)*(H789/1000)/((H786/1000)*0.0000348*H782)</f>
        <v>3.0172413793103452E-3</v>
      </c>
    </row>
    <row r="791" spans="1:9" x14ac:dyDescent="0.25">
      <c r="A791" s="77"/>
      <c r="C791" t="s">
        <v>623</v>
      </c>
      <c r="D791">
        <f>POWER(D781, 2)*D790</f>
        <v>9.6308256864577377E-2</v>
      </c>
      <c r="E791">
        <f>POWER(E781, 2)*E790</f>
        <v>5.8413793103448278E-4</v>
      </c>
      <c r="F791">
        <f>POWER(F781, 2)*F790</f>
        <v>2.8965517241379312E-2</v>
      </c>
      <c r="G791">
        <f>POWER(G781, 2)*G790</f>
        <v>1.460344827586207</v>
      </c>
      <c r="H791">
        <f>POWER(H781, 2)*H790</f>
        <v>0.30172413793103453</v>
      </c>
    </row>
    <row r="792" spans="1:9" x14ac:dyDescent="0.25">
      <c r="A792" s="77"/>
      <c r="C792" t="s">
        <v>626</v>
      </c>
      <c r="D792">
        <f>D781*D790</f>
        <v>1.7046561465030197E-2</v>
      </c>
      <c r="E792">
        <f t="shared" ref="E792:H792" si="82">E781*E790</f>
        <v>5.3103448275862077E-3</v>
      </c>
      <c r="F792">
        <f t="shared" si="82"/>
        <v>2.8965517241379312E-2</v>
      </c>
      <c r="G792">
        <f t="shared" si="82"/>
        <v>6.6379310344827594E-2</v>
      </c>
      <c r="H792">
        <f t="shared" si="82"/>
        <v>3.0172413793103453E-2</v>
      </c>
    </row>
    <row r="793" spans="1:9" x14ac:dyDescent="0.25">
      <c r="A793" s="77"/>
    </row>
    <row r="794" spans="1:9" x14ac:dyDescent="0.25">
      <c r="A794" s="37"/>
    </row>
    <row r="795" spans="1:9" x14ac:dyDescent="0.25">
      <c r="A795" s="37"/>
    </row>
    <row r="799" spans="1:9" x14ac:dyDescent="0.25">
      <c r="A799" s="76" t="s">
        <v>699</v>
      </c>
      <c r="C799" t="s">
        <v>4</v>
      </c>
      <c r="D799">
        <v>1.2</v>
      </c>
    </row>
    <row r="800" spans="1:9" x14ac:dyDescent="0.25">
      <c r="A800" s="76"/>
      <c r="C800" t="s">
        <v>1069</v>
      </c>
      <c r="D800" s="52">
        <v>2</v>
      </c>
    </row>
    <row r="801" spans="1:5" x14ac:dyDescent="0.25">
      <c r="A801" s="76"/>
      <c r="C801" t="s">
        <v>1070</v>
      </c>
      <c r="D801" s="52">
        <f>1.2*D8</f>
        <v>96000</v>
      </c>
    </row>
    <row r="802" spans="1:5" x14ac:dyDescent="0.25">
      <c r="A802" s="76"/>
      <c r="C802" t="s">
        <v>1072</v>
      </c>
      <c r="D802" s="52">
        <v>25000</v>
      </c>
    </row>
    <row r="803" spans="1:5" x14ac:dyDescent="0.25">
      <c r="A803" s="76"/>
      <c r="C803" t="s">
        <v>1071</v>
      </c>
      <c r="D803" s="54">
        <v>1000000000</v>
      </c>
    </row>
    <row r="804" spans="1:5" x14ac:dyDescent="0.25">
      <c r="A804" s="76"/>
      <c r="C804" t="s">
        <v>1074</v>
      </c>
      <c r="D804" s="52">
        <v>3.5</v>
      </c>
    </row>
    <row r="805" spans="1:5" x14ac:dyDescent="0.25">
      <c r="A805" s="76"/>
      <c r="C805" t="s">
        <v>1076</v>
      </c>
      <c r="D805" s="52">
        <f>D802/D799</f>
        <v>20833.333333333336</v>
      </c>
    </row>
    <row r="806" spans="1:5" x14ac:dyDescent="0.25">
      <c r="A806" s="76"/>
      <c r="C806" t="s">
        <v>1075</v>
      </c>
      <c r="D806">
        <f>D804/D799</f>
        <v>2.916666666666667</v>
      </c>
    </row>
    <row r="807" spans="1:5" x14ac:dyDescent="0.25">
      <c r="A807" s="76"/>
      <c r="C807" t="s">
        <v>1073</v>
      </c>
      <c r="D807" s="52">
        <f>CEILING(D801/D805, 1)</f>
        <v>5</v>
      </c>
    </row>
    <row r="808" spans="1:5" x14ac:dyDescent="0.25">
      <c r="A808" s="76"/>
      <c r="C808" t="s">
        <v>700</v>
      </c>
      <c r="D808" s="52">
        <v>6</v>
      </c>
    </row>
    <row r="809" spans="1:5" x14ac:dyDescent="0.25">
      <c r="A809" s="76"/>
      <c r="C809" t="s">
        <v>1079</v>
      </c>
      <c r="D809" s="73">
        <f>D801/D808</f>
        <v>16000</v>
      </c>
    </row>
    <row r="810" spans="1:5" x14ac:dyDescent="0.25">
      <c r="A810" s="76"/>
      <c r="C810" t="s">
        <v>212</v>
      </c>
      <c r="D810" s="51">
        <f>D803*D808</f>
        <v>6000000000</v>
      </c>
    </row>
    <row r="811" spans="1:5" x14ac:dyDescent="0.25">
      <c r="A811" s="76"/>
      <c r="C811" t="s">
        <v>701</v>
      </c>
      <c r="D811" s="27">
        <f>D801/D800</f>
        <v>48000</v>
      </c>
    </row>
    <row r="812" spans="1:5" x14ac:dyDescent="0.25">
      <c r="A812" s="76"/>
      <c r="C812" t="s">
        <v>702</v>
      </c>
      <c r="D812" s="27">
        <f>D810/D811</f>
        <v>125000</v>
      </c>
    </row>
    <row r="813" spans="1:5" x14ac:dyDescent="0.25">
      <c r="A813" s="76"/>
      <c r="C813" t="s">
        <v>739</v>
      </c>
      <c r="D813" s="54">
        <f>D812</f>
        <v>125000</v>
      </c>
    </row>
    <row r="814" spans="1:5" x14ac:dyDescent="0.25">
      <c r="A814" s="76"/>
      <c r="C814" t="s">
        <v>703</v>
      </c>
      <c r="D814" s="51">
        <f>D801/D810</f>
        <v>1.5999999999999999E-5</v>
      </c>
      <c r="E814" t="s">
        <v>20</v>
      </c>
    </row>
    <row r="815" spans="1:5" x14ac:dyDescent="0.25">
      <c r="A815" s="76"/>
      <c r="C815" t="s">
        <v>704</v>
      </c>
      <c r="D815" s="51">
        <f>POWER(D814, 2)*D803</f>
        <v>0.25600000000000001</v>
      </c>
    </row>
    <row r="816" spans="1:5" x14ac:dyDescent="0.25">
      <c r="A816" s="76"/>
      <c r="C816" t="s">
        <v>1078</v>
      </c>
      <c r="D816" s="51" t="b">
        <f>D809&lt;=D805</f>
        <v>1</v>
      </c>
    </row>
    <row r="817" spans="1:4" x14ac:dyDescent="0.25">
      <c r="A817" s="76"/>
      <c r="C817" t="s">
        <v>1077</v>
      </c>
      <c r="D817" s="51" t="b">
        <f>D815&lt;=D806</f>
        <v>1</v>
      </c>
    </row>
    <row r="818" spans="1:4" x14ac:dyDescent="0.25">
      <c r="A818" s="76"/>
      <c r="C818" t="s">
        <v>705</v>
      </c>
      <c r="D818" s="51">
        <f>D815*D808</f>
        <v>1.536</v>
      </c>
    </row>
    <row r="819" spans="1:4" x14ac:dyDescent="0.25">
      <c r="A819" s="76"/>
      <c r="C819" t="s">
        <v>706</v>
      </c>
      <c r="D819" s="51">
        <f>POWER(D814, 2)*D813</f>
        <v>3.1999999999999999E-5</v>
      </c>
    </row>
    <row r="821" spans="1:4" x14ac:dyDescent="0.25">
      <c r="A821" s="76" t="s">
        <v>699</v>
      </c>
      <c r="C821" t="s">
        <v>4</v>
      </c>
      <c r="D821">
        <v>1.2</v>
      </c>
    </row>
    <row r="822" spans="1:4" x14ac:dyDescent="0.25">
      <c r="A822" s="76"/>
      <c r="C822" t="s">
        <v>1069</v>
      </c>
      <c r="D822" s="52">
        <v>2</v>
      </c>
    </row>
    <row r="823" spans="1:4" x14ac:dyDescent="0.25">
      <c r="A823" s="76"/>
      <c r="C823" t="s">
        <v>1070</v>
      </c>
      <c r="D823" s="52">
        <f>1.2*D12</f>
        <v>16800</v>
      </c>
    </row>
    <row r="824" spans="1:4" x14ac:dyDescent="0.25">
      <c r="A824" s="76"/>
      <c r="C824" t="s">
        <v>1072</v>
      </c>
      <c r="D824" s="52">
        <v>25000</v>
      </c>
    </row>
    <row r="825" spans="1:4" x14ac:dyDescent="0.25">
      <c r="A825" s="76"/>
      <c r="C825" t="s">
        <v>1071</v>
      </c>
      <c r="D825" s="54">
        <v>100000000</v>
      </c>
    </row>
    <row r="826" spans="1:4" x14ac:dyDescent="0.25">
      <c r="A826" s="76"/>
      <c r="C826" t="s">
        <v>1074</v>
      </c>
      <c r="D826" s="52">
        <v>3.5</v>
      </c>
    </row>
    <row r="827" spans="1:4" x14ac:dyDescent="0.25">
      <c r="A827" s="76"/>
      <c r="C827" t="s">
        <v>1076</v>
      </c>
      <c r="D827" s="52">
        <f>D824/D821</f>
        <v>20833.333333333336</v>
      </c>
    </row>
    <row r="828" spans="1:4" x14ac:dyDescent="0.25">
      <c r="A828" s="76"/>
      <c r="C828" t="s">
        <v>1075</v>
      </c>
      <c r="D828">
        <f>D826/D821</f>
        <v>2.916666666666667</v>
      </c>
    </row>
    <row r="829" spans="1:4" x14ac:dyDescent="0.25">
      <c r="A829" s="76"/>
      <c r="C829" t="s">
        <v>1073</v>
      </c>
      <c r="D829" s="52">
        <f>CEILING(D823/D827, 1)</f>
        <v>1</v>
      </c>
    </row>
    <row r="830" spans="1:4" x14ac:dyDescent="0.25">
      <c r="A830" s="76"/>
      <c r="C830" t="s">
        <v>700</v>
      </c>
      <c r="D830" s="52">
        <v>2</v>
      </c>
    </row>
    <row r="831" spans="1:4" x14ac:dyDescent="0.25">
      <c r="A831" s="76"/>
      <c r="C831" t="s">
        <v>1079</v>
      </c>
      <c r="D831" s="73">
        <f>D823/D830</f>
        <v>8400</v>
      </c>
    </row>
    <row r="832" spans="1:4" x14ac:dyDescent="0.25">
      <c r="A832" s="76"/>
      <c r="C832" t="s">
        <v>212</v>
      </c>
      <c r="D832" s="51">
        <f>D825*D830</f>
        <v>200000000</v>
      </c>
    </row>
    <row r="833" spans="1:5" x14ac:dyDescent="0.25">
      <c r="A833" s="76"/>
      <c r="C833" t="s">
        <v>701</v>
      </c>
      <c r="D833" s="27">
        <f>D823/D822</f>
        <v>8400</v>
      </c>
    </row>
    <row r="834" spans="1:5" x14ac:dyDescent="0.25">
      <c r="A834" s="76"/>
      <c r="C834" t="s">
        <v>702</v>
      </c>
      <c r="D834" s="27">
        <f>D832/D833</f>
        <v>23809.523809523809</v>
      </c>
    </row>
    <row r="835" spans="1:5" x14ac:dyDescent="0.25">
      <c r="A835" s="76"/>
      <c r="C835" t="s">
        <v>739</v>
      </c>
      <c r="D835" s="54">
        <f>D834</f>
        <v>23809.523809523809</v>
      </c>
    </row>
    <row r="836" spans="1:5" x14ac:dyDescent="0.25">
      <c r="A836" s="76"/>
      <c r="C836" t="s">
        <v>703</v>
      </c>
      <c r="D836" s="51">
        <f>D823/D832</f>
        <v>8.3999999999999995E-5</v>
      </c>
    </row>
    <row r="837" spans="1:5" x14ac:dyDescent="0.25">
      <c r="A837" s="76"/>
      <c r="C837" t="s">
        <v>704</v>
      </c>
      <c r="D837" s="51">
        <f>POWER(D836,2)*D825</f>
        <v>0.7056</v>
      </c>
    </row>
    <row r="838" spans="1:5" x14ac:dyDescent="0.25">
      <c r="A838" s="76"/>
      <c r="C838" t="s">
        <v>1078</v>
      </c>
      <c r="D838" s="51" t="b">
        <f>D831&lt;=D827</f>
        <v>1</v>
      </c>
    </row>
    <row r="839" spans="1:5" x14ac:dyDescent="0.25">
      <c r="A839" s="76"/>
      <c r="C839" t="s">
        <v>1077</v>
      </c>
      <c r="D839" s="51" t="b">
        <f>D837&lt;=D828</f>
        <v>1</v>
      </c>
    </row>
    <row r="840" spans="1:5" x14ac:dyDescent="0.25">
      <c r="A840" s="76"/>
      <c r="C840" t="s">
        <v>705</v>
      </c>
      <c r="D840" s="51">
        <f>D837*D830</f>
        <v>1.4112</v>
      </c>
    </row>
    <row r="841" spans="1:5" x14ac:dyDescent="0.25">
      <c r="A841" s="76"/>
      <c r="C841" t="s">
        <v>706</v>
      </c>
      <c r="D841" s="51">
        <f>POWER(D836, 2)*D835</f>
        <v>1.6799999999999999E-4</v>
      </c>
    </row>
    <row r="842" spans="1:5" x14ac:dyDescent="0.25">
      <c r="A842" s="69"/>
      <c r="D842" s="51"/>
    </row>
    <row r="843" spans="1:5" x14ac:dyDescent="0.25">
      <c r="C843" t="s">
        <v>708</v>
      </c>
      <c r="D843">
        <v>3</v>
      </c>
    </row>
    <row r="844" spans="1:5" x14ac:dyDescent="0.25">
      <c r="A844" s="77" t="s">
        <v>707</v>
      </c>
      <c r="C844" t="s">
        <v>709</v>
      </c>
      <c r="D844">
        <v>550</v>
      </c>
      <c r="E844" t="s">
        <v>711</v>
      </c>
    </row>
    <row r="845" spans="1:5" x14ac:dyDescent="0.25">
      <c r="A845" s="77"/>
      <c r="C845" t="s">
        <v>710</v>
      </c>
      <c r="D845">
        <f>25.4*41.9*0.000001</f>
        <v>1.06426E-3</v>
      </c>
    </row>
    <row r="846" spans="1:5" x14ac:dyDescent="0.25">
      <c r="A846" s="77"/>
      <c r="C846" t="s">
        <v>712</v>
      </c>
      <c r="D846">
        <f>D845*D844*0.3048</f>
        <v>0.17841254640000004</v>
      </c>
      <c r="E846" t="s">
        <v>628</v>
      </c>
    </row>
    <row r="847" spans="1:5" x14ac:dyDescent="0.25">
      <c r="A847" s="77"/>
      <c r="C847" t="s">
        <v>713</v>
      </c>
      <c r="D847">
        <f>D846*50</f>
        <v>8.9206273200000012</v>
      </c>
    </row>
    <row r="848" spans="1:5" x14ac:dyDescent="0.25">
      <c r="A848" s="77"/>
    </row>
    <row r="849" spans="1:5" x14ac:dyDescent="0.25">
      <c r="A849" s="77"/>
    </row>
    <row r="850" spans="1:5" x14ac:dyDescent="0.25">
      <c r="A850" s="77"/>
    </row>
    <row r="851" spans="1:5" x14ac:dyDescent="0.25">
      <c r="A851" s="77"/>
    </row>
    <row r="852" spans="1:5" x14ac:dyDescent="0.25">
      <c r="A852" s="77"/>
    </row>
    <row r="853" spans="1:5" x14ac:dyDescent="0.25">
      <c r="A853" s="77"/>
    </row>
    <row r="854" spans="1:5" x14ac:dyDescent="0.25">
      <c r="A854" s="77"/>
    </row>
    <row r="855" spans="1:5" x14ac:dyDescent="0.25">
      <c r="A855" s="77"/>
    </row>
    <row r="856" spans="1:5" x14ac:dyDescent="0.25">
      <c r="A856" s="77"/>
    </row>
    <row r="857" spans="1:5" x14ac:dyDescent="0.25">
      <c r="C857" t="s">
        <v>741</v>
      </c>
      <c r="E857" s="1">
        <f>D67</f>
        <v>0.15679999999999999</v>
      </c>
    </row>
    <row r="858" spans="1:5" x14ac:dyDescent="0.25">
      <c r="A858" s="77" t="s">
        <v>740</v>
      </c>
      <c r="C858" t="s">
        <v>742</v>
      </c>
      <c r="E858">
        <f>D27</f>
        <v>0.7</v>
      </c>
    </row>
    <row r="859" spans="1:5" x14ac:dyDescent="0.25">
      <c r="A859" s="77"/>
      <c r="C859" t="s">
        <v>743</v>
      </c>
      <c r="E859" s="1">
        <f>D217+D218</f>
        <v>1.5361505115495317</v>
      </c>
    </row>
    <row r="860" spans="1:5" x14ac:dyDescent="0.25">
      <c r="A860" s="77"/>
      <c r="C860" t="s">
        <v>744</v>
      </c>
      <c r="E860" s="1">
        <f>E857+E858+E859</f>
        <v>2.3929505115495315</v>
      </c>
    </row>
    <row r="861" spans="1:5" x14ac:dyDescent="0.25">
      <c r="A861" s="77"/>
    </row>
    <row r="862" spans="1:5" x14ac:dyDescent="0.25">
      <c r="A862" s="77"/>
    </row>
    <row r="863" spans="1:5" x14ac:dyDescent="0.25">
      <c r="A863" s="77"/>
      <c r="C863" t="s">
        <v>4</v>
      </c>
      <c r="E863">
        <v>2</v>
      </c>
    </row>
    <row r="864" spans="1:5" x14ac:dyDescent="0.25">
      <c r="A864" s="77"/>
      <c r="C864" t="s">
        <v>629</v>
      </c>
      <c r="D864" t="s">
        <v>206</v>
      </c>
      <c r="E864">
        <v>0.17399999999999999</v>
      </c>
    </row>
    <row r="865" spans="1:5" x14ac:dyDescent="0.25">
      <c r="A865" s="77"/>
      <c r="C865" t="s">
        <v>630</v>
      </c>
      <c r="D865" t="s">
        <v>206</v>
      </c>
      <c r="E865">
        <v>0.5</v>
      </c>
    </row>
    <row r="866" spans="1:5" x14ac:dyDescent="0.25">
      <c r="A866" s="77"/>
      <c r="C866" t="s">
        <v>627</v>
      </c>
      <c r="D866" t="s">
        <v>638</v>
      </c>
      <c r="E866">
        <f>POWER(E864/2, 2)*PI()*E865</f>
        <v>1.1889357397510571E-2</v>
      </c>
    </row>
    <row r="867" spans="1:5" x14ac:dyDescent="0.25">
      <c r="A867" s="77"/>
      <c r="C867" t="s">
        <v>631</v>
      </c>
      <c r="E867" s="1">
        <f>E860</f>
        <v>2.3929505115495315</v>
      </c>
    </row>
    <row r="868" spans="1:5" x14ac:dyDescent="0.25">
      <c r="A868" s="77"/>
      <c r="C868" t="s">
        <v>636</v>
      </c>
      <c r="D868" t="s">
        <v>632</v>
      </c>
      <c r="E868">
        <v>2300</v>
      </c>
    </row>
    <row r="869" spans="1:5" x14ac:dyDescent="0.25">
      <c r="A869" s="77"/>
      <c r="C869" t="s">
        <v>633</v>
      </c>
      <c r="D869" t="s">
        <v>634</v>
      </c>
      <c r="E869">
        <v>20</v>
      </c>
    </row>
    <row r="870" spans="1:5" x14ac:dyDescent="0.25">
      <c r="A870" s="77"/>
      <c r="C870" t="s">
        <v>635</v>
      </c>
      <c r="D870" t="s">
        <v>637</v>
      </c>
      <c r="E870">
        <v>800</v>
      </c>
    </row>
    <row r="871" spans="1:5" x14ac:dyDescent="0.25">
      <c r="A871" s="77"/>
      <c r="C871" t="s">
        <v>639</v>
      </c>
      <c r="D871" t="s">
        <v>640</v>
      </c>
      <c r="E871">
        <f>E870*E866</f>
        <v>9.5114859180084572</v>
      </c>
    </row>
    <row r="872" spans="1:5" x14ac:dyDescent="0.25">
      <c r="A872" s="77"/>
      <c r="C872" t="s">
        <v>641</v>
      </c>
      <c r="D872" t="s">
        <v>642</v>
      </c>
      <c r="E872">
        <f>E868*E871*E869</f>
        <v>437528.35222838906</v>
      </c>
    </row>
    <row r="873" spans="1:5" x14ac:dyDescent="0.25">
      <c r="A873" s="77"/>
      <c r="C873" t="s">
        <v>643</v>
      </c>
      <c r="D873" t="s">
        <v>323</v>
      </c>
      <c r="E873">
        <f>E872/E867</f>
        <v>182840.53519563674</v>
      </c>
    </row>
    <row r="874" spans="1:5" x14ac:dyDescent="0.25">
      <c r="A874" s="77"/>
      <c r="C874" t="s">
        <v>644</v>
      </c>
      <c r="D874" t="s">
        <v>323</v>
      </c>
      <c r="E874">
        <f>E873/E863</f>
        <v>91420.267597818369</v>
      </c>
    </row>
    <row r="875" spans="1:5" x14ac:dyDescent="0.25">
      <c r="A875" s="77"/>
      <c r="C875" t="s">
        <v>645</v>
      </c>
      <c r="D875" t="s">
        <v>646</v>
      </c>
      <c r="E875">
        <f>E866/E874</f>
        <v>1.3005165823638758E-7</v>
      </c>
    </row>
    <row r="876" spans="1:5" x14ac:dyDescent="0.25">
      <c r="A876" s="77"/>
      <c r="C876" t="s">
        <v>645</v>
      </c>
      <c r="D876" t="s">
        <v>647</v>
      </c>
      <c r="E876">
        <f>(1000000)*E875</f>
        <v>0.13005165823638759</v>
      </c>
    </row>
    <row r="877" spans="1:5" x14ac:dyDescent="0.25">
      <c r="A877" s="77"/>
      <c r="C877" t="s">
        <v>648</v>
      </c>
      <c r="D877" t="s">
        <v>649</v>
      </c>
      <c r="E877">
        <v>0.1</v>
      </c>
    </row>
    <row r="878" spans="1:5" x14ac:dyDescent="0.25">
      <c r="A878" s="77"/>
      <c r="C878" t="s">
        <v>650</v>
      </c>
      <c r="D878" t="s">
        <v>207</v>
      </c>
      <c r="E878">
        <f>E875/E877</f>
        <v>1.3005165823638757E-6</v>
      </c>
    </row>
    <row r="879" spans="1:5" x14ac:dyDescent="0.25">
      <c r="A879" s="77"/>
      <c r="C879" t="s">
        <v>651</v>
      </c>
      <c r="D879" t="s">
        <v>206</v>
      </c>
      <c r="E879">
        <f>2*POWER(E878/PI(), 0.5)</f>
        <v>1.286805790027971E-3</v>
      </c>
    </row>
    <row r="880" spans="1:5" x14ac:dyDescent="0.25">
      <c r="A880" s="77"/>
      <c r="C880" t="s">
        <v>653</v>
      </c>
      <c r="D880" t="s">
        <v>206</v>
      </c>
      <c r="E880">
        <f>CEILING(E879, 0.001)</f>
        <v>2E-3</v>
      </c>
    </row>
    <row r="881" spans="1:5" x14ac:dyDescent="0.25">
      <c r="A881" s="77"/>
      <c r="C881" t="s">
        <v>652</v>
      </c>
      <c r="D881" t="s">
        <v>133</v>
      </c>
      <c r="E881">
        <f>E880*1000</f>
        <v>2</v>
      </c>
    </row>
    <row r="882" spans="1:5" x14ac:dyDescent="0.25">
      <c r="A882" s="77"/>
      <c r="C882" t="s">
        <v>658</v>
      </c>
      <c r="D882" t="s">
        <v>133</v>
      </c>
      <c r="E882">
        <v>9</v>
      </c>
    </row>
    <row r="883" spans="1:5" x14ac:dyDescent="0.25">
      <c r="A883" s="77"/>
      <c r="C883" t="s">
        <v>659</v>
      </c>
      <c r="E883">
        <f>E882/1000</f>
        <v>8.9999999999999993E-3</v>
      </c>
    </row>
    <row r="884" spans="1:5" x14ac:dyDescent="0.25">
      <c r="C884" t="s">
        <v>656</v>
      </c>
      <c r="E884">
        <f>0.00604</f>
        <v>6.0400000000000002E-3</v>
      </c>
    </row>
    <row r="885" spans="1:5" x14ac:dyDescent="0.25">
      <c r="C885" t="s">
        <v>655</v>
      </c>
      <c r="E885">
        <f>E884/E870</f>
        <v>7.5500000000000006E-6</v>
      </c>
    </row>
    <row r="886" spans="1:5" x14ac:dyDescent="0.25">
      <c r="C886" t="s">
        <v>654</v>
      </c>
      <c r="E886">
        <v>2300</v>
      </c>
    </row>
    <row r="887" spans="1:5" x14ac:dyDescent="0.25">
      <c r="C887" t="s">
        <v>657</v>
      </c>
      <c r="E887">
        <f>E870*E877*E883/E884</f>
        <v>119.20529801324503</v>
      </c>
    </row>
    <row r="888" spans="1:5" x14ac:dyDescent="0.25">
      <c r="C888" t="s">
        <v>660</v>
      </c>
      <c r="E888" t="b">
        <f>E887&lt;E886</f>
        <v>1</v>
      </c>
    </row>
    <row r="891" spans="1:5" x14ac:dyDescent="0.25">
      <c r="B891" t="s">
        <v>37</v>
      </c>
      <c r="C891" t="s">
        <v>43</v>
      </c>
      <c r="D891" t="s">
        <v>21</v>
      </c>
      <c r="E891">
        <f>D5</f>
        <v>35.400000000000006</v>
      </c>
    </row>
    <row r="892" spans="1:5" x14ac:dyDescent="0.25">
      <c r="A892" s="77" t="s">
        <v>761</v>
      </c>
      <c r="B892" t="s">
        <v>474</v>
      </c>
      <c r="C892" t="s">
        <v>475</v>
      </c>
      <c r="D892" t="s">
        <v>21</v>
      </c>
      <c r="E892">
        <f>D6</f>
        <v>38.099999999999994</v>
      </c>
    </row>
    <row r="893" spans="1:5" x14ac:dyDescent="0.25">
      <c r="A893" s="77"/>
      <c r="B893" t="s">
        <v>38</v>
      </c>
      <c r="C893" t="s">
        <v>42</v>
      </c>
      <c r="D893" t="s">
        <v>21</v>
      </c>
      <c r="E893">
        <f>D7</f>
        <v>44.1</v>
      </c>
    </row>
    <row r="894" spans="1:5" x14ac:dyDescent="0.25">
      <c r="A894" s="77"/>
      <c r="C894" t="s">
        <v>762</v>
      </c>
      <c r="D894" t="s">
        <v>20</v>
      </c>
      <c r="E894">
        <v>3</v>
      </c>
    </row>
    <row r="895" spans="1:5" x14ac:dyDescent="0.25">
      <c r="A895" s="77"/>
      <c r="C895" t="s">
        <v>763</v>
      </c>
      <c r="E895">
        <f>(E893/E894)</f>
        <v>14.700000000000001</v>
      </c>
    </row>
    <row r="896" spans="1:5" x14ac:dyDescent="0.25">
      <c r="A896" s="77"/>
      <c r="C896" t="s">
        <v>764</v>
      </c>
      <c r="E896">
        <f>E891/E894</f>
        <v>11.800000000000002</v>
      </c>
    </row>
    <row r="897" spans="1:15" ht="18.75" customHeight="1" x14ac:dyDescent="0.25">
      <c r="A897" s="77"/>
      <c r="C897" t="s">
        <v>765</v>
      </c>
      <c r="E897">
        <f>E892/E894</f>
        <v>12.699999999999998</v>
      </c>
    </row>
    <row r="898" spans="1:15" hidden="1" x14ac:dyDescent="0.25">
      <c r="A898" s="77"/>
      <c r="C898" t="s">
        <v>766</v>
      </c>
      <c r="E898">
        <f>12</f>
        <v>12</v>
      </c>
    </row>
    <row r="899" spans="1:15" ht="115.5" customHeight="1" x14ac:dyDescent="0.25">
      <c r="A899" s="77"/>
      <c r="C899" t="s">
        <v>767</v>
      </c>
      <c r="E899">
        <f>E893*E893/E898</f>
        <v>162.06750000000002</v>
      </c>
      <c r="G899" s="17" t="s">
        <v>194</v>
      </c>
      <c r="H899" s="43" t="s">
        <v>773</v>
      </c>
      <c r="I899" s="43" t="s">
        <v>776</v>
      </c>
      <c r="J899" s="43" t="s">
        <v>775</v>
      </c>
      <c r="K899" s="43" t="s">
        <v>774</v>
      </c>
      <c r="L899" s="43" t="s">
        <v>777</v>
      </c>
      <c r="M899" s="43" t="s">
        <v>778</v>
      </c>
      <c r="N899" s="43" t="s">
        <v>780</v>
      </c>
      <c r="O899" s="42"/>
    </row>
    <row r="900" spans="1:15" x14ac:dyDescent="0.25">
      <c r="A900" s="77"/>
      <c r="C900" t="s">
        <v>768</v>
      </c>
      <c r="E900">
        <f>6</f>
        <v>6</v>
      </c>
      <c r="G900" s="17">
        <v>1</v>
      </c>
      <c r="H900" s="17">
        <f>E893/G900</f>
        <v>44.1</v>
      </c>
      <c r="I900" s="17">
        <f>H900*H900*G900</f>
        <v>1944.8100000000002</v>
      </c>
      <c r="J900" s="17">
        <f>I900/2</f>
        <v>972.40500000000009</v>
      </c>
      <c r="K900" s="17">
        <f>E891/G900</f>
        <v>35.400000000000006</v>
      </c>
      <c r="L900" s="17">
        <f>E891*E891/G900</f>
        <v>1253.1600000000003</v>
      </c>
      <c r="M900" s="17">
        <f>L900/2</f>
        <v>626.58000000000015</v>
      </c>
      <c r="N900" s="42"/>
    </row>
    <row r="901" spans="1:15" x14ac:dyDescent="0.25">
      <c r="A901" s="77"/>
      <c r="C901" t="s">
        <v>769</v>
      </c>
      <c r="E901">
        <v>2</v>
      </c>
      <c r="G901" s="17">
        <v>2</v>
      </c>
      <c r="H901" s="17">
        <f>E893/G901</f>
        <v>22.05</v>
      </c>
      <c r="I901" s="17">
        <f t="shared" ref="I901:I914" si="83">H901*H901*G901</f>
        <v>972.40500000000009</v>
      </c>
      <c r="J901" s="17">
        <f>I901/2</f>
        <v>486.20250000000004</v>
      </c>
      <c r="K901" s="17">
        <f>E891/G901</f>
        <v>17.700000000000003</v>
      </c>
      <c r="L901" s="17">
        <f>E891*E891/G901</f>
        <v>626.58000000000015</v>
      </c>
      <c r="M901" s="17">
        <f>L901/2</f>
        <v>313.29000000000008</v>
      </c>
      <c r="N901" s="42"/>
    </row>
    <row r="902" spans="1:15" x14ac:dyDescent="0.25">
      <c r="A902" s="77"/>
      <c r="C902" t="s">
        <v>770</v>
      </c>
      <c r="E902">
        <f xml:space="preserve"> E900*E901</f>
        <v>12</v>
      </c>
      <c r="G902" s="17">
        <v>3</v>
      </c>
      <c r="H902" s="17">
        <f>E893/G902</f>
        <v>14.700000000000001</v>
      </c>
      <c r="I902" s="17">
        <f t="shared" si="83"/>
        <v>648.2700000000001</v>
      </c>
      <c r="J902" s="17">
        <f>I902/2</f>
        <v>324.13500000000005</v>
      </c>
      <c r="K902" s="17">
        <f>E891/G902</f>
        <v>11.800000000000002</v>
      </c>
      <c r="L902" s="17">
        <f>E891*E891/G902</f>
        <v>417.72000000000008</v>
      </c>
      <c r="M902" s="17">
        <f>L902/2</f>
        <v>208.86000000000004</v>
      </c>
    </row>
    <row r="903" spans="1:15" x14ac:dyDescent="0.25">
      <c r="A903" s="77"/>
      <c r="G903" s="17">
        <v>4</v>
      </c>
      <c r="H903" s="17">
        <f>E893/G903</f>
        <v>11.025</v>
      </c>
      <c r="I903" s="17">
        <f t="shared" si="83"/>
        <v>486.20250000000004</v>
      </c>
      <c r="J903" s="17">
        <f t="shared" ref="J903:J914" si="84">I903/2</f>
        <v>243.10125000000002</v>
      </c>
      <c r="K903" s="17">
        <f>E891/G903</f>
        <v>8.8500000000000014</v>
      </c>
      <c r="L903" s="17">
        <f>E891*E891/G903</f>
        <v>313.29000000000008</v>
      </c>
      <c r="M903" s="17">
        <f t="shared" ref="M903:M914" si="85">L903/2</f>
        <v>156.64500000000004</v>
      </c>
    </row>
    <row r="904" spans="1:15" x14ac:dyDescent="0.25">
      <c r="A904" s="77"/>
      <c r="C904" t="s">
        <v>771</v>
      </c>
      <c r="E904">
        <f>(POWER(E893,2))/(200*2)</f>
        <v>4.862025</v>
      </c>
      <c r="G904" s="17">
        <v>5</v>
      </c>
      <c r="H904" s="17">
        <f>E893/G904</f>
        <v>8.82</v>
      </c>
      <c r="I904" s="17">
        <f t="shared" si="83"/>
        <v>388.96199999999999</v>
      </c>
      <c r="J904" s="17">
        <f t="shared" si="84"/>
        <v>194.48099999999999</v>
      </c>
      <c r="K904" s="17">
        <f>E891/G904</f>
        <v>7.080000000000001</v>
      </c>
      <c r="L904" s="17">
        <f>E891*E891/G904</f>
        <v>250.63200000000006</v>
      </c>
      <c r="M904" s="17">
        <f t="shared" si="85"/>
        <v>125.31600000000003</v>
      </c>
      <c r="N904" t="s">
        <v>779</v>
      </c>
    </row>
    <row r="905" spans="1:15" x14ac:dyDescent="0.25">
      <c r="A905" s="77"/>
      <c r="C905" t="s">
        <v>772</v>
      </c>
      <c r="E905">
        <f>E893/E904</f>
        <v>9.0702947845804989</v>
      </c>
      <c r="G905" s="17">
        <v>6</v>
      </c>
      <c r="H905" s="17">
        <f>E893/G905</f>
        <v>7.3500000000000005</v>
      </c>
      <c r="I905" s="17">
        <f t="shared" si="83"/>
        <v>324.13500000000005</v>
      </c>
      <c r="J905" s="17">
        <f t="shared" si="84"/>
        <v>162.06750000000002</v>
      </c>
      <c r="K905" s="17">
        <f>E891/G905</f>
        <v>5.9000000000000012</v>
      </c>
      <c r="L905" s="17">
        <f>E891*E891/G905</f>
        <v>208.86000000000004</v>
      </c>
      <c r="M905" s="17">
        <f t="shared" si="85"/>
        <v>104.43000000000002</v>
      </c>
      <c r="N905" t="s">
        <v>781</v>
      </c>
    </row>
    <row r="906" spans="1:15" x14ac:dyDescent="0.25">
      <c r="A906" s="77"/>
      <c r="G906" s="17">
        <v>7</v>
      </c>
      <c r="H906" s="17">
        <f>E893/G906</f>
        <v>6.3</v>
      </c>
      <c r="I906" s="17">
        <f t="shared" si="83"/>
        <v>277.83</v>
      </c>
      <c r="J906" s="17">
        <f t="shared" si="84"/>
        <v>138.91499999999999</v>
      </c>
      <c r="K906" s="17">
        <f>E891/G906</f>
        <v>5.0571428571428578</v>
      </c>
      <c r="L906" s="17">
        <f>E891*E891/G906</f>
        <v>179.02285714285719</v>
      </c>
      <c r="M906" s="17">
        <f t="shared" si="85"/>
        <v>89.511428571428596</v>
      </c>
      <c r="N906" t="s">
        <v>782</v>
      </c>
    </row>
    <row r="907" spans="1:15" x14ac:dyDescent="0.25">
      <c r="G907" s="17">
        <v>8</v>
      </c>
      <c r="H907" s="17">
        <f>E893/G907</f>
        <v>5.5125000000000002</v>
      </c>
      <c r="I907" s="17">
        <f t="shared" si="83"/>
        <v>243.10125000000002</v>
      </c>
      <c r="J907" s="17">
        <f t="shared" si="84"/>
        <v>121.55062500000001</v>
      </c>
      <c r="K907" s="17">
        <f>E891/G907</f>
        <v>4.4250000000000007</v>
      </c>
      <c r="L907" s="17">
        <f>E891*E891/G907</f>
        <v>156.64500000000004</v>
      </c>
      <c r="M907" s="17">
        <f t="shared" si="85"/>
        <v>78.322500000000019</v>
      </c>
      <c r="N907" t="s">
        <v>783</v>
      </c>
    </row>
    <row r="908" spans="1:15" x14ac:dyDescent="0.25">
      <c r="G908" s="17">
        <v>9</v>
      </c>
      <c r="H908" s="17">
        <f>E893/G908</f>
        <v>4.9000000000000004</v>
      </c>
      <c r="I908" s="17">
        <f t="shared" si="83"/>
        <v>216.09000000000003</v>
      </c>
      <c r="J908" s="17">
        <f t="shared" si="84"/>
        <v>108.04500000000002</v>
      </c>
      <c r="K908" s="17">
        <f>E891/G908</f>
        <v>3.933333333333334</v>
      </c>
      <c r="L908" s="17">
        <f>E891*E891/G908</f>
        <v>139.24000000000004</v>
      </c>
      <c r="M908" s="17">
        <f t="shared" si="85"/>
        <v>69.620000000000019</v>
      </c>
      <c r="N908" t="s">
        <v>784</v>
      </c>
    </row>
    <row r="909" spans="1:15" x14ac:dyDescent="0.25">
      <c r="G909" s="17">
        <v>10</v>
      </c>
      <c r="H909" s="17">
        <f>E893/G909</f>
        <v>4.41</v>
      </c>
      <c r="I909" s="17">
        <f t="shared" si="83"/>
        <v>194.48099999999999</v>
      </c>
      <c r="J909" s="17">
        <f t="shared" si="84"/>
        <v>97.240499999999997</v>
      </c>
      <c r="K909" s="17">
        <f>E891/G909</f>
        <v>3.5400000000000005</v>
      </c>
      <c r="L909" s="17">
        <f>E891*E891/G909</f>
        <v>125.31600000000003</v>
      </c>
      <c r="M909" s="17">
        <f t="shared" si="85"/>
        <v>62.658000000000015</v>
      </c>
      <c r="N909" t="s">
        <v>785</v>
      </c>
    </row>
    <row r="910" spans="1:15" x14ac:dyDescent="0.25">
      <c r="A910" s="77" t="s">
        <v>869</v>
      </c>
      <c r="B910" t="s">
        <v>855</v>
      </c>
      <c r="C910" t="s">
        <v>854</v>
      </c>
      <c r="E910">
        <v>5</v>
      </c>
      <c r="F910" s="8" t="s">
        <v>21</v>
      </c>
      <c r="G910" s="17">
        <v>11</v>
      </c>
      <c r="H910" s="17">
        <f>E893/G910</f>
        <v>4.0090909090909088</v>
      </c>
      <c r="I910" s="17">
        <f t="shared" si="83"/>
        <v>176.80090909090904</v>
      </c>
      <c r="J910" s="17">
        <f t="shared" si="84"/>
        <v>88.400454545454522</v>
      </c>
      <c r="K910" s="17">
        <f>E891/G910</f>
        <v>3.2181818181818187</v>
      </c>
      <c r="L910" s="17">
        <f>E891*E891/G910</f>
        <v>113.92363636363639</v>
      </c>
      <c r="M910" s="17">
        <f t="shared" si="85"/>
        <v>56.961818181818195</v>
      </c>
      <c r="N910" t="s">
        <v>786</v>
      </c>
    </row>
    <row r="911" spans="1:15" x14ac:dyDescent="0.25">
      <c r="A911" s="77"/>
      <c r="B911" t="s">
        <v>857</v>
      </c>
      <c r="C911" t="s">
        <v>858</v>
      </c>
      <c r="E911">
        <f>2000</f>
        <v>2000</v>
      </c>
      <c r="F911" s="8" t="s">
        <v>24</v>
      </c>
      <c r="G911" s="17">
        <v>12</v>
      </c>
      <c r="H911" s="17">
        <f>E893/G911</f>
        <v>3.6750000000000003</v>
      </c>
      <c r="I911" s="17">
        <f t="shared" si="83"/>
        <v>162.06750000000002</v>
      </c>
      <c r="J911" s="17">
        <f t="shared" si="84"/>
        <v>81.033750000000012</v>
      </c>
      <c r="K911" s="17">
        <f>E891/G911</f>
        <v>2.9500000000000006</v>
      </c>
      <c r="L911" s="17">
        <f>E891*E891/G911</f>
        <v>104.43000000000002</v>
      </c>
      <c r="M911" s="17">
        <f t="shared" si="85"/>
        <v>52.215000000000011</v>
      </c>
      <c r="N911" t="s">
        <v>788</v>
      </c>
    </row>
    <row r="912" spans="1:15" x14ac:dyDescent="0.25">
      <c r="A912" s="77"/>
      <c r="B912" t="s">
        <v>856</v>
      </c>
      <c r="C912" t="s">
        <v>859</v>
      </c>
      <c r="E912">
        <f>((E910/1.23)-1)*E911</f>
        <v>6130.081300813009</v>
      </c>
      <c r="F912" s="8" t="s">
        <v>24</v>
      </c>
      <c r="G912" s="17">
        <v>13</v>
      </c>
      <c r="H912" s="17">
        <f>E893/G912</f>
        <v>3.3923076923076922</v>
      </c>
      <c r="I912" s="17">
        <f t="shared" si="83"/>
        <v>149.60076923076923</v>
      </c>
      <c r="J912" s="17">
        <f t="shared" si="84"/>
        <v>74.800384615384615</v>
      </c>
      <c r="K912" s="17">
        <f>E891/G912</f>
        <v>2.7230769230769236</v>
      </c>
      <c r="L912" s="17">
        <f>E891*E891/G912</f>
        <v>96.396923076923102</v>
      </c>
      <c r="M912" s="17">
        <f t="shared" si="85"/>
        <v>48.198461538461551</v>
      </c>
      <c r="N912" t="s">
        <v>787</v>
      </c>
    </row>
    <row r="913" spans="1:14" x14ac:dyDescent="0.25">
      <c r="A913" s="47"/>
      <c r="B913" t="s">
        <v>868</v>
      </c>
      <c r="C913" t="s">
        <v>874</v>
      </c>
      <c r="E913">
        <f>1/(31000*E912)</f>
        <v>5.26225720886455E-9</v>
      </c>
      <c r="F913" s="8" t="s">
        <v>23</v>
      </c>
      <c r="G913" s="17"/>
      <c r="H913" s="17"/>
      <c r="I913" s="17"/>
      <c r="J913" s="17"/>
      <c r="K913" s="17"/>
      <c r="L913" s="17"/>
      <c r="M913" s="17"/>
    </row>
    <row r="914" spans="1:14" x14ac:dyDescent="0.25">
      <c r="G914" s="17">
        <v>14</v>
      </c>
      <c r="H914" s="17">
        <f>E893/G914</f>
        <v>3.15</v>
      </c>
      <c r="I914" s="17">
        <f t="shared" si="83"/>
        <v>138.91499999999999</v>
      </c>
      <c r="J914" s="17">
        <f t="shared" si="84"/>
        <v>69.457499999999996</v>
      </c>
      <c r="K914" s="17">
        <f>E891/G914</f>
        <v>2.5285714285714289</v>
      </c>
      <c r="L914" s="17">
        <f>E891*E891/G914</f>
        <v>89.511428571428596</v>
      </c>
      <c r="M914" s="17">
        <f t="shared" si="85"/>
        <v>44.755714285714298</v>
      </c>
      <c r="N914" t="s">
        <v>789</v>
      </c>
    </row>
    <row r="915" spans="1:14" x14ac:dyDescent="0.25">
      <c r="A915" s="77" t="s">
        <v>870</v>
      </c>
      <c r="B915" t="s">
        <v>855</v>
      </c>
      <c r="C915" t="s">
        <v>854</v>
      </c>
      <c r="E915">
        <v>3.3</v>
      </c>
      <c r="F915" s="8" t="s">
        <v>21</v>
      </c>
    </row>
    <row r="916" spans="1:14" x14ac:dyDescent="0.25">
      <c r="A916" s="77"/>
      <c r="B916" t="s">
        <v>857</v>
      </c>
      <c r="C916" t="s">
        <v>858</v>
      </c>
      <c r="E916">
        <f>2000</f>
        <v>2000</v>
      </c>
      <c r="F916" s="8" t="s">
        <v>24</v>
      </c>
    </row>
    <row r="917" spans="1:14" x14ac:dyDescent="0.25">
      <c r="A917" s="77"/>
      <c r="B917" t="s">
        <v>856</v>
      </c>
      <c r="C917" t="s">
        <v>859</v>
      </c>
      <c r="E917">
        <f>((E915/1.23)-1)*E916</f>
        <v>3365.8536585365846</v>
      </c>
      <c r="F917" s="8" t="s">
        <v>24</v>
      </c>
    </row>
    <row r="918" spans="1:14" x14ac:dyDescent="0.25">
      <c r="B918" t="s">
        <v>868</v>
      </c>
      <c r="C918" t="s">
        <v>874</v>
      </c>
      <c r="E918">
        <f>1/(31000*E917)</f>
        <v>9.583917718560077E-9</v>
      </c>
      <c r="F918" s="8" t="s">
        <v>23</v>
      </c>
    </row>
    <row r="920" spans="1:14" x14ac:dyDescent="0.25">
      <c r="A920" s="77" t="s">
        <v>873</v>
      </c>
      <c r="B920" t="s">
        <v>855</v>
      </c>
      <c r="C920" t="s">
        <v>854</v>
      </c>
      <c r="E920">
        <v>10</v>
      </c>
      <c r="F920" s="8" t="s">
        <v>21</v>
      </c>
    </row>
    <row r="921" spans="1:14" x14ac:dyDescent="0.25">
      <c r="A921" s="77"/>
      <c r="B921" t="s">
        <v>857</v>
      </c>
      <c r="C921" t="s">
        <v>858</v>
      </c>
      <c r="E921">
        <f>2000</f>
        <v>2000</v>
      </c>
      <c r="F921" s="8" t="s">
        <v>24</v>
      </c>
    </row>
    <row r="922" spans="1:14" x14ac:dyDescent="0.25">
      <c r="A922" s="77"/>
      <c r="B922" t="s">
        <v>856</v>
      </c>
      <c r="C922" t="s">
        <v>859</v>
      </c>
      <c r="E922">
        <f>((E920/1.23)-1)*E921</f>
        <v>14260.162601626018</v>
      </c>
      <c r="F922" s="8" t="s">
        <v>24</v>
      </c>
    </row>
    <row r="923" spans="1:14" x14ac:dyDescent="0.25">
      <c r="B923" t="s">
        <v>868</v>
      </c>
      <c r="C923" t="s">
        <v>874</v>
      </c>
      <c r="E923">
        <f>1/(31000*E922)</f>
        <v>2.2621105675506673E-9</v>
      </c>
      <c r="F923" s="8" t="s">
        <v>23</v>
      </c>
    </row>
    <row r="925" spans="1:14" x14ac:dyDescent="0.25">
      <c r="A925" s="77" t="s">
        <v>871</v>
      </c>
      <c r="B925" t="s">
        <v>861</v>
      </c>
      <c r="C925" t="s">
        <v>860</v>
      </c>
      <c r="E925">
        <v>2</v>
      </c>
      <c r="F925" s="8" t="s">
        <v>21</v>
      </c>
    </row>
    <row r="926" spans="1:14" x14ac:dyDescent="0.25">
      <c r="A926" s="77"/>
      <c r="B926" t="s">
        <v>862</v>
      </c>
      <c r="C926" t="s">
        <v>863</v>
      </c>
      <c r="E926">
        <v>30</v>
      </c>
      <c r="F926" s="8" t="s">
        <v>21</v>
      </c>
    </row>
    <row r="927" spans="1:14" x14ac:dyDescent="0.25">
      <c r="A927" s="77"/>
      <c r="B927" t="s">
        <v>857</v>
      </c>
      <c r="C927" t="s">
        <v>858</v>
      </c>
      <c r="E927">
        <f>2000</f>
        <v>2000</v>
      </c>
      <c r="F927" s="8" t="s">
        <v>24</v>
      </c>
    </row>
    <row r="928" spans="1:14" x14ac:dyDescent="0.25">
      <c r="A928" s="77"/>
      <c r="B928" t="s">
        <v>867</v>
      </c>
      <c r="C928" t="s">
        <v>864</v>
      </c>
      <c r="E928">
        <f>((E925/1.23)-1)*E927</f>
        <v>1252.0325203252032</v>
      </c>
      <c r="F928" s="8" t="s">
        <v>24</v>
      </c>
    </row>
    <row r="929" spans="1:6" x14ac:dyDescent="0.25">
      <c r="A929" s="77"/>
      <c r="B929" t="s">
        <v>866</v>
      </c>
      <c r="C929" t="s">
        <v>865</v>
      </c>
      <c r="E929">
        <f>((E926/1.23)-1)*E927</f>
        <v>46780.487804878052</v>
      </c>
      <c r="F929" s="8" t="s">
        <v>24</v>
      </c>
    </row>
    <row r="930" spans="1:6" x14ac:dyDescent="0.25">
      <c r="A930" s="77"/>
      <c r="B930" t="s">
        <v>868</v>
      </c>
      <c r="C930" t="s">
        <v>874</v>
      </c>
      <c r="E930">
        <f>1/(31000*E928)</f>
        <v>2.5764558022622537E-8</v>
      </c>
      <c r="F930" s="8" t="s">
        <v>23</v>
      </c>
    </row>
    <row r="932" spans="1:6" x14ac:dyDescent="0.25">
      <c r="A932" s="77" t="s">
        <v>872</v>
      </c>
      <c r="B932" t="s">
        <v>861</v>
      </c>
      <c r="C932" t="s">
        <v>860</v>
      </c>
      <c r="E932">
        <v>9</v>
      </c>
      <c r="F932" s="8" t="s">
        <v>21</v>
      </c>
    </row>
    <row r="933" spans="1:6" x14ac:dyDescent="0.25">
      <c r="A933" s="77"/>
      <c r="B933" t="s">
        <v>862</v>
      </c>
      <c r="C933" t="s">
        <v>863</v>
      </c>
      <c r="E933">
        <v>20</v>
      </c>
      <c r="F933" s="8" t="s">
        <v>21</v>
      </c>
    </row>
    <row r="934" spans="1:6" x14ac:dyDescent="0.25">
      <c r="A934" s="77"/>
      <c r="B934" t="s">
        <v>857</v>
      </c>
      <c r="C934" t="s">
        <v>858</v>
      </c>
      <c r="E934">
        <f>2000</f>
        <v>2000</v>
      </c>
      <c r="F934" s="8" t="s">
        <v>24</v>
      </c>
    </row>
    <row r="935" spans="1:6" x14ac:dyDescent="0.25">
      <c r="A935" s="77"/>
      <c r="B935" t="s">
        <v>867</v>
      </c>
      <c r="C935" t="s">
        <v>864</v>
      </c>
      <c r="E935">
        <f>((E932/1.23)-1)*E934</f>
        <v>12634.146341463415</v>
      </c>
      <c r="F935" s="8" t="s">
        <v>24</v>
      </c>
    </row>
    <row r="936" spans="1:6" x14ac:dyDescent="0.25">
      <c r="A936" s="77"/>
      <c r="B936" t="s">
        <v>866</v>
      </c>
      <c r="C936" t="s">
        <v>865</v>
      </c>
      <c r="E936">
        <f>((E933/1.23)-1)*E934</f>
        <v>30520.325203252036</v>
      </c>
      <c r="F936" s="8" t="s">
        <v>24</v>
      </c>
    </row>
    <row r="937" spans="1:6" x14ac:dyDescent="0.25">
      <c r="A937" s="77"/>
      <c r="B937" t="s">
        <v>868</v>
      </c>
      <c r="C937" t="s">
        <v>874</v>
      </c>
      <c r="E937">
        <f>1/(31000*E935)</f>
        <v>2.5532444887283596E-9</v>
      </c>
      <c r="F937" s="8" t="s">
        <v>23</v>
      </c>
    </row>
    <row r="946" spans="1:14" x14ac:dyDescent="0.25">
      <c r="A946" s="76" t="s">
        <v>1085</v>
      </c>
      <c r="C946" t="s">
        <v>1097</v>
      </c>
      <c r="E946" t="s">
        <v>1098</v>
      </c>
      <c r="G946" t="s">
        <v>1099</v>
      </c>
    </row>
    <row r="947" spans="1:14" x14ac:dyDescent="0.25">
      <c r="A947" s="76"/>
      <c r="B947" t="s">
        <v>1086</v>
      </c>
      <c r="E947">
        <f>PI()*0.0000004</f>
        <v>1.2566370614359173E-6</v>
      </c>
      <c r="F947" s="8" t="s">
        <v>206</v>
      </c>
      <c r="G947">
        <f t="shared" ref="G947:N947" si="86">$E947</f>
        <v>1.2566370614359173E-6</v>
      </c>
      <c r="H947">
        <f t="shared" si="86"/>
        <v>1.2566370614359173E-6</v>
      </c>
      <c r="I947">
        <f t="shared" si="86"/>
        <v>1.2566370614359173E-6</v>
      </c>
      <c r="J947">
        <f t="shared" si="86"/>
        <v>1.2566370614359173E-6</v>
      </c>
      <c r="K947">
        <f t="shared" si="86"/>
        <v>1.2566370614359173E-6</v>
      </c>
      <c r="L947">
        <f t="shared" si="86"/>
        <v>1.2566370614359173E-6</v>
      </c>
      <c r="M947">
        <f t="shared" si="86"/>
        <v>1.2566370614359173E-6</v>
      </c>
      <c r="N947">
        <f t="shared" si="86"/>
        <v>1.2566370614359173E-6</v>
      </c>
    </row>
    <row r="948" spans="1:14" x14ac:dyDescent="0.25">
      <c r="A948" s="76"/>
      <c r="B948" t="s">
        <v>1087</v>
      </c>
      <c r="C948" t="s">
        <v>1133</v>
      </c>
      <c r="E948">
        <v>6.0000000000000001E-3</v>
      </c>
      <c r="F948" s="8" t="s">
        <v>206</v>
      </c>
    </row>
    <row r="949" spans="1:14" x14ac:dyDescent="0.25">
      <c r="A949" s="76"/>
      <c r="B949" t="s">
        <v>135</v>
      </c>
      <c r="C949" t="s">
        <v>1132</v>
      </c>
      <c r="E949">
        <v>0.04</v>
      </c>
      <c r="F949" s="8" t="s">
        <v>206</v>
      </c>
    </row>
    <row r="950" spans="1:14" x14ac:dyDescent="0.25">
      <c r="A950" s="76"/>
      <c r="C950" t="s">
        <v>1134</v>
      </c>
      <c r="E950">
        <f>2*E948/E949</f>
        <v>0.3</v>
      </c>
      <c r="F950" s="8"/>
    </row>
    <row r="951" spans="1:14" x14ac:dyDescent="0.25">
      <c r="A951" s="76"/>
      <c r="C951" t="s">
        <v>1135</v>
      </c>
      <c r="E951">
        <f>1/E950</f>
        <v>3.3333333333333335</v>
      </c>
      <c r="F951" s="8"/>
    </row>
    <row r="952" spans="1:14" x14ac:dyDescent="0.25">
      <c r="A952" s="76"/>
      <c r="C952" t="s">
        <v>1136</v>
      </c>
      <c r="E952">
        <f>POWER(E950, 2)</f>
        <v>0.09</v>
      </c>
      <c r="F952" s="8"/>
    </row>
    <row r="953" spans="1:14" x14ac:dyDescent="0.25">
      <c r="A953" s="76"/>
      <c r="C953" t="s">
        <v>1137</v>
      </c>
      <c r="E953">
        <f>1/E952</f>
        <v>11.111111111111111</v>
      </c>
      <c r="F953" s="8"/>
    </row>
    <row r="954" spans="1:14" x14ac:dyDescent="0.25">
      <c r="A954" s="76"/>
      <c r="F954" s="8"/>
    </row>
    <row r="955" spans="1:14" x14ac:dyDescent="0.25">
      <c r="A955" s="76"/>
      <c r="B955" t="s">
        <v>1089</v>
      </c>
      <c r="C955" t="s">
        <v>1090</v>
      </c>
      <c r="E955">
        <f>(E947/(4*PI()))*(LN(E950+SQRT(1+E952)) - SQRT(1+E953)+E951)</f>
        <v>1.4890421125990595E-8</v>
      </c>
      <c r="F955" t="s">
        <v>154</v>
      </c>
      <c r="G955">
        <f t="shared" ref="G955:N955" si="87">(G947/(4*PI()))*(LN(G950+SQRT(1+G952)) - SQRT(1+G953)+G951)</f>
        <v>-1.0000000000000001E-7</v>
      </c>
      <c r="H955">
        <f t="shared" si="87"/>
        <v>-1.0000000000000001E-7</v>
      </c>
      <c r="I955">
        <f t="shared" si="87"/>
        <v>-1.0000000000000001E-7</v>
      </c>
      <c r="J955">
        <f t="shared" si="87"/>
        <v>-1.0000000000000001E-7</v>
      </c>
      <c r="K955">
        <f t="shared" si="87"/>
        <v>-1.0000000000000001E-7</v>
      </c>
      <c r="L955">
        <f t="shared" si="87"/>
        <v>-1.0000000000000001E-7</v>
      </c>
      <c r="M955">
        <f t="shared" si="87"/>
        <v>-1.0000000000000001E-7</v>
      </c>
      <c r="N955">
        <f t="shared" si="87"/>
        <v>-1.0000000000000001E-7</v>
      </c>
    </row>
    <row r="956" spans="1:14" x14ac:dyDescent="0.25">
      <c r="A956" s="76"/>
      <c r="B956" t="s">
        <v>1091</v>
      </c>
      <c r="C956" t="s">
        <v>1092</v>
      </c>
      <c r="E956">
        <f>22*16000*4</f>
        <v>1408000</v>
      </c>
    </row>
    <row r="957" spans="1:14" x14ac:dyDescent="0.25">
      <c r="A957" s="76"/>
      <c r="B957" s="74" t="s">
        <v>1095</v>
      </c>
      <c r="C957" t="s">
        <v>1096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</row>
    <row r="958" spans="1:14" x14ac:dyDescent="0.25">
      <c r="A958" s="76"/>
      <c r="B958" t="s">
        <v>1094</v>
      </c>
      <c r="C958" t="s">
        <v>1093</v>
      </c>
      <c r="E958">
        <f>E956*COS(E957)*E955</f>
        <v>2.096571294539476E-2</v>
      </c>
      <c r="F958" t="e">
        <f t="shared" ref="F958:N958" si="88">F956*COS(F957)*F955</f>
        <v>#VALUE!</v>
      </c>
      <c r="G958">
        <f t="shared" si="88"/>
        <v>0</v>
      </c>
      <c r="H958">
        <f t="shared" si="88"/>
        <v>0</v>
      </c>
      <c r="I958">
        <f t="shared" si="88"/>
        <v>0</v>
      </c>
      <c r="J958">
        <f t="shared" si="88"/>
        <v>0</v>
      </c>
      <c r="K958">
        <f t="shared" si="88"/>
        <v>0</v>
      </c>
      <c r="L958">
        <f t="shared" si="88"/>
        <v>0</v>
      </c>
      <c r="M958">
        <f t="shared" si="88"/>
        <v>0</v>
      </c>
      <c r="N958">
        <f t="shared" si="88"/>
        <v>0</v>
      </c>
    </row>
    <row r="959" spans="1:14" x14ac:dyDescent="0.25">
      <c r="A959" s="37"/>
    </row>
    <row r="960" spans="1:14" x14ac:dyDescent="0.25">
      <c r="A960" s="76" t="s">
        <v>1107</v>
      </c>
      <c r="B960" t="s">
        <v>1108</v>
      </c>
      <c r="C960" t="s">
        <v>1109</v>
      </c>
      <c r="E960">
        <v>1.4999999999999999E-2</v>
      </c>
      <c r="F960" t="s">
        <v>206</v>
      </c>
    </row>
    <row r="961" spans="1:6" x14ac:dyDescent="0.25">
      <c r="A961" s="76"/>
      <c r="B961" t="s">
        <v>1088</v>
      </c>
      <c r="C961" t="s">
        <v>1110</v>
      </c>
      <c r="E961">
        <v>1E-3</v>
      </c>
      <c r="F961" t="s">
        <v>206</v>
      </c>
    </row>
    <row r="962" spans="1:6" x14ac:dyDescent="0.25">
      <c r="A962" s="76"/>
      <c r="B962" t="s">
        <v>1111</v>
      </c>
      <c r="C962" t="s">
        <v>1112</v>
      </c>
      <c r="E962">
        <v>1.6000000000000001E-3</v>
      </c>
      <c r="F962" t="s">
        <v>206</v>
      </c>
    </row>
    <row r="963" spans="1:6" x14ac:dyDescent="0.25">
      <c r="A963" s="76"/>
      <c r="B963" t="s">
        <v>1113</v>
      </c>
      <c r="E963">
        <f>0.00000000508*E960*(LN(2*E960/(E961+E962))+0.5+(0.2235*(E961+E962)/E960))</f>
        <v>2.2741325637156556E-10</v>
      </c>
      <c r="F963" t="s">
        <v>154</v>
      </c>
    </row>
    <row r="964" spans="1:6" x14ac:dyDescent="0.25">
      <c r="A964" s="76"/>
    </row>
    <row r="965" spans="1:6" x14ac:dyDescent="0.25">
      <c r="A965" s="76"/>
    </row>
    <row r="966" spans="1:6" x14ac:dyDescent="0.25">
      <c r="A966" s="76"/>
    </row>
    <row r="968" spans="1:6" x14ac:dyDescent="0.25">
      <c r="A968" s="76" t="s">
        <v>1138</v>
      </c>
      <c r="B968" t="s">
        <v>1139</v>
      </c>
      <c r="C968" t="s">
        <v>1139</v>
      </c>
      <c r="E968" s="52" t="b">
        <v>0</v>
      </c>
    </row>
    <row r="969" spans="1:6" x14ac:dyDescent="0.25">
      <c r="A969" s="76"/>
      <c r="B969" t="s">
        <v>511</v>
      </c>
      <c r="E969" s="27">
        <f>IF(E968, 0.024, 0.048)</f>
        <v>4.8000000000000001E-2</v>
      </c>
    </row>
    <row r="970" spans="1:6" x14ac:dyDescent="0.25">
      <c r="A970" s="76"/>
      <c r="B970" t="s">
        <v>1140</v>
      </c>
      <c r="C970" t="s">
        <v>1145</v>
      </c>
      <c r="E970" s="52">
        <f>22/SQRT(3)</f>
        <v>12.701705922171767</v>
      </c>
      <c r="F970" t="s">
        <v>20</v>
      </c>
    </row>
    <row r="971" spans="1:6" x14ac:dyDescent="0.25">
      <c r="A971" s="76"/>
      <c r="B971" s="74" t="s">
        <v>693</v>
      </c>
      <c r="C971" t="s">
        <v>1141</v>
      </c>
      <c r="E971">
        <v>10</v>
      </c>
      <c r="F971" t="s">
        <v>324</v>
      </c>
    </row>
    <row r="972" spans="1:6" x14ac:dyDescent="0.25">
      <c r="A972" s="76"/>
      <c r="C972" t="s">
        <v>1144</v>
      </c>
      <c r="E972">
        <v>2</v>
      </c>
    </row>
    <row r="973" spans="1:6" x14ac:dyDescent="0.25">
      <c r="A973" s="76"/>
      <c r="B973" t="s">
        <v>20</v>
      </c>
      <c r="C973" t="s">
        <v>1142</v>
      </c>
      <c r="E973">
        <f>POWER(E970/(E969*POWER(E971, 0.44)), (1/0.725))</f>
        <v>542.8119517712156</v>
      </c>
      <c r="F973" t="s">
        <v>1143</v>
      </c>
    </row>
    <row r="974" spans="1:6" x14ac:dyDescent="0.25">
      <c r="A974" s="76"/>
      <c r="C974" t="s">
        <v>1146</v>
      </c>
      <c r="E974">
        <f>E973/(E972*1.378*39.37)</f>
        <v>5.0027036102653044</v>
      </c>
      <c r="F974" t="s">
        <v>133</v>
      </c>
    </row>
  </sheetData>
  <mergeCells count="37">
    <mergeCell ref="A946:A958"/>
    <mergeCell ref="A960:A966"/>
    <mergeCell ref="A968:A974"/>
    <mergeCell ref="A892:A906"/>
    <mergeCell ref="A568:A580"/>
    <mergeCell ref="A581:A584"/>
    <mergeCell ref="A781:A793"/>
    <mergeCell ref="A695:A766"/>
    <mergeCell ref="A653:A692"/>
    <mergeCell ref="A799:A819"/>
    <mergeCell ref="A821:A841"/>
    <mergeCell ref="A910:A912"/>
    <mergeCell ref="A915:A917"/>
    <mergeCell ref="A920:A922"/>
    <mergeCell ref="A925:A930"/>
    <mergeCell ref="A932:A937"/>
    <mergeCell ref="A31:A59"/>
    <mergeCell ref="A858:A883"/>
    <mergeCell ref="A286:A337"/>
    <mergeCell ref="G19:J22"/>
    <mergeCell ref="G29:K34"/>
    <mergeCell ref="A585:A651"/>
    <mergeCell ref="A20:A29"/>
    <mergeCell ref="A61:A69"/>
    <mergeCell ref="A71:A95"/>
    <mergeCell ref="A339:A360"/>
    <mergeCell ref="A376:A412"/>
    <mergeCell ref="A229:A284"/>
    <mergeCell ref="A362:A374"/>
    <mergeCell ref="A844:A856"/>
    <mergeCell ref="A414:A454"/>
    <mergeCell ref="A456:A566"/>
    <mergeCell ref="G111:K111"/>
    <mergeCell ref="A99:A136"/>
    <mergeCell ref="A196:A220"/>
    <mergeCell ref="A167:A193"/>
    <mergeCell ref="A138:A164"/>
  </mergeCells>
  <conditionalFormatting sqref="D120">
    <cfRule type="cellIs" dxfId="11" priority="11" operator="notEqual">
      <formula>FALSE</formula>
    </cfRule>
    <cfRule type="cellIs" dxfId="10" priority="12" operator="equal">
      <formula>FALSE</formula>
    </cfRule>
  </conditionalFormatting>
  <conditionalFormatting sqref="E888">
    <cfRule type="cellIs" dxfId="9" priority="9" operator="notEqual">
      <formula>TRUE</formula>
    </cfRule>
    <cfRule type="cellIs" dxfId="8" priority="10" operator="equal">
      <formula>TRUE</formula>
    </cfRule>
  </conditionalFormatting>
  <conditionalFormatting sqref="D46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D15">
    <cfRule type="cellIs" dxfId="5" priority="5" operator="notEqual">
      <formula>TRUE</formula>
    </cfRule>
    <cfRule type="cellIs" dxfId="4" priority="6" operator="equal">
      <formula>TRUE</formula>
    </cfRule>
  </conditionalFormatting>
  <conditionalFormatting sqref="D69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156">
    <cfRule type="cellIs" dxfId="1" priority="1" operator="notEqual">
      <formula>FALSE</formula>
    </cfRule>
    <cfRule type="cellIs" dxfId="0" priority="2" operator="equal">
      <formula>FALSE</formula>
    </cfRule>
  </conditionalFormatting>
  <hyperlinks>
    <hyperlink ref="G82" r:id="rId1"/>
    <hyperlink ref="D597" r:id="rId2" display="https://www.mouser.co.uk/ProductDetail/Microchip-Technology/MCP6021-E-P?qs=W2ndVjZwIIKVhoK39SuWRw%3D%3D"/>
    <hyperlink ref="G257" r:id="rId3"/>
    <hyperlink ref="G261" r:id="rId4"/>
    <hyperlink ref="F311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79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124</v>
      </c>
      <c r="C2" t="s">
        <v>65</v>
      </c>
      <c r="D2" t="s">
        <v>19</v>
      </c>
    </row>
    <row r="3" spans="2:4" x14ac:dyDescent="0.25">
      <c r="B3" t="s">
        <v>130</v>
      </c>
      <c r="C3">
        <v>0.02</v>
      </c>
    </row>
    <row r="4" spans="2:4" x14ac:dyDescent="0.25">
      <c r="B4" t="s">
        <v>131</v>
      </c>
      <c r="C4">
        <v>25.4</v>
      </c>
    </row>
    <row r="5" spans="2:4" x14ac:dyDescent="0.25">
      <c r="B5" t="s">
        <v>132</v>
      </c>
      <c r="C5">
        <f>0.6*C4</f>
        <v>15.239999999999998</v>
      </c>
      <c r="D5" t="s">
        <v>133</v>
      </c>
    </row>
    <row r="6" spans="2:4" x14ac:dyDescent="0.25">
      <c r="B6" t="s">
        <v>134</v>
      </c>
      <c r="C6">
        <f>C5*(1+C3)</f>
        <v>15.544799999999999</v>
      </c>
      <c r="D6" t="s">
        <v>133</v>
      </c>
    </row>
    <row r="7" spans="2:4" x14ac:dyDescent="0.25">
      <c r="B7" t="s">
        <v>135</v>
      </c>
      <c r="C7">
        <f>0.032*C4</f>
        <v>0.81279999999999997</v>
      </c>
      <c r="D7" t="s">
        <v>133</v>
      </c>
    </row>
    <row r="8" spans="2:4" x14ac:dyDescent="0.25">
      <c r="B8" t="s">
        <v>136</v>
      </c>
      <c r="C8">
        <f>C7*(1+C3)</f>
        <v>0.82905600000000002</v>
      </c>
      <c r="D8" t="s">
        <v>133</v>
      </c>
    </row>
    <row r="9" spans="2:4" x14ac:dyDescent="0.25">
      <c r="B9" t="s">
        <v>137</v>
      </c>
      <c r="C9">
        <f>0.17*C4</f>
        <v>4.3180000000000005</v>
      </c>
      <c r="D9" t="s">
        <v>133</v>
      </c>
    </row>
    <row r="10" spans="2:4" x14ac:dyDescent="0.25">
      <c r="B10" s="16" t="s">
        <v>39</v>
      </c>
      <c r="C10" s="16">
        <f>C9*(1+C3)</f>
        <v>4.4043600000000005</v>
      </c>
      <c r="D10" s="16" t="s">
        <v>133</v>
      </c>
    </row>
    <row r="11" spans="2:4" x14ac:dyDescent="0.25">
      <c r="B11" s="14" t="s">
        <v>138</v>
      </c>
      <c r="C11" s="14">
        <v>5</v>
      </c>
      <c r="D11" s="14" t="s">
        <v>133</v>
      </c>
    </row>
    <row r="12" spans="2:4" x14ac:dyDescent="0.25">
      <c r="B12" t="s">
        <v>139</v>
      </c>
      <c r="C12">
        <v>5</v>
      </c>
      <c r="D12" t="s">
        <v>133</v>
      </c>
    </row>
    <row r="13" spans="2:4" x14ac:dyDescent="0.25">
      <c r="B13" s="15" t="s">
        <v>140</v>
      </c>
      <c r="C13" s="15">
        <f>C6+(2*C12)</f>
        <v>25.544799999999999</v>
      </c>
      <c r="D13" s="15" t="s">
        <v>133</v>
      </c>
    </row>
    <row r="14" spans="2:4" x14ac:dyDescent="0.25">
      <c r="B14" t="s">
        <v>141</v>
      </c>
      <c r="C14">
        <f>C7+0.2</f>
        <v>1.0127999999999999</v>
      </c>
      <c r="D14" t="s">
        <v>133</v>
      </c>
    </row>
    <row r="15" spans="2:4" x14ac:dyDescent="0.25">
      <c r="B15" t="s">
        <v>142</v>
      </c>
      <c r="C15">
        <f>C8+0.3</f>
        <v>1.1290560000000001</v>
      </c>
      <c r="D15" t="s">
        <v>133</v>
      </c>
    </row>
    <row r="16" spans="2:4" x14ac:dyDescent="0.25">
      <c r="B16" s="15" t="s">
        <v>146</v>
      </c>
      <c r="C16" s="15">
        <v>1.1000000000000001</v>
      </c>
      <c r="D16" s="15" t="s">
        <v>133</v>
      </c>
    </row>
    <row r="17" spans="2:4" x14ac:dyDescent="0.25">
      <c r="B17" t="s">
        <v>143</v>
      </c>
      <c r="C17">
        <f>C16+(2*0.3)</f>
        <v>1.7000000000000002</v>
      </c>
      <c r="D17" t="s">
        <v>133</v>
      </c>
    </row>
    <row r="18" spans="2:4" x14ac:dyDescent="0.25">
      <c r="B18" t="s">
        <v>144</v>
      </c>
      <c r="C18">
        <f>C16+(2*0.5)</f>
        <v>2.1</v>
      </c>
      <c r="D18" t="s">
        <v>133</v>
      </c>
    </row>
    <row r="19" spans="2:4" x14ac:dyDescent="0.25">
      <c r="B19" t="s">
        <v>145</v>
      </c>
      <c r="C19">
        <f>C16+(2*0.7)</f>
        <v>2.5</v>
      </c>
      <c r="D19" t="s">
        <v>133</v>
      </c>
    </row>
    <row r="20" spans="2:4" x14ac:dyDescent="0.25">
      <c r="B20" s="15" t="s">
        <v>147</v>
      </c>
      <c r="C20" s="15">
        <v>2.5</v>
      </c>
      <c r="D20" s="15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81" t="s">
        <v>149</v>
      </c>
      <c r="B1" s="81"/>
    </row>
    <row r="18" spans="3:5" x14ac:dyDescent="0.25">
      <c r="C18" s="82" t="s">
        <v>161</v>
      </c>
      <c r="D18" s="83"/>
      <c r="E18" s="84"/>
    </row>
    <row r="19" spans="3:5" x14ac:dyDescent="0.25">
      <c r="C19" s="17" t="s">
        <v>23</v>
      </c>
      <c r="D19" s="17">
        <v>12</v>
      </c>
      <c r="E19" s="17" t="s">
        <v>133</v>
      </c>
    </row>
    <row r="20" spans="3:5" x14ac:dyDescent="0.25">
      <c r="C20" s="17" t="s">
        <v>150</v>
      </c>
      <c r="D20" s="17">
        <f>D19+0.5</f>
        <v>12.5</v>
      </c>
      <c r="E20" s="17" t="s">
        <v>133</v>
      </c>
    </row>
    <row r="21" spans="3:5" x14ac:dyDescent="0.25">
      <c r="C21" s="17" t="s">
        <v>39</v>
      </c>
      <c r="D21" s="17">
        <v>19.399999999999999</v>
      </c>
      <c r="E21" s="17" t="s">
        <v>133</v>
      </c>
    </row>
    <row r="22" spans="3:5" x14ac:dyDescent="0.25">
      <c r="C22" s="17" t="s">
        <v>148</v>
      </c>
      <c r="D22" s="17">
        <v>7.9</v>
      </c>
      <c r="E22" s="17" t="s">
        <v>133</v>
      </c>
    </row>
    <row r="23" spans="3:5" x14ac:dyDescent="0.25">
      <c r="C23" s="17" t="s">
        <v>135</v>
      </c>
      <c r="D23" s="17">
        <v>0.8</v>
      </c>
      <c r="E23" s="17" t="s">
        <v>133</v>
      </c>
    </row>
    <row r="24" spans="3:5" x14ac:dyDescent="0.25">
      <c r="C24" s="17" t="s">
        <v>141</v>
      </c>
      <c r="D24" s="17">
        <f>D23+0.2</f>
        <v>1</v>
      </c>
      <c r="E24" s="17" t="s">
        <v>133</v>
      </c>
    </row>
    <row r="25" spans="3:5" x14ac:dyDescent="0.25">
      <c r="C25" s="17" t="s">
        <v>142</v>
      </c>
      <c r="D25" s="17">
        <f>D23+0.3</f>
        <v>1.1000000000000001</v>
      </c>
      <c r="E25" s="17" t="s">
        <v>133</v>
      </c>
    </row>
    <row r="26" spans="3:5" x14ac:dyDescent="0.25">
      <c r="C26" s="19" t="s">
        <v>146</v>
      </c>
      <c r="D26" s="19">
        <v>1.1000000000000001</v>
      </c>
      <c r="E26" s="19" t="s">
        <v>133</v>
      </c>
    </row>
    <row r="27" spans="3:5" x14ac:dyDescent="0.25">
      <c r="C27" s="17" t="s">
        <v>143</v>
      </c>
      <c r="D27" s="17">
        <f>D26+(2*0.3)</f>
        <v>1.7000000000000002</v>
      </c>
      <c r="E27" s="17" t="s">
        <v>133</v>
      </c>
    </row>
    <row r="28" spans="3:5" x14ac:dyDescent="0.25">
      <c r="C28" s="17" t="s">
        <v>144</v>
      </c>
      <c r="D28" s="17">
        <f>D26+(2*0.5)</f>
        <v>2.1</v>
      </c>
      <c r="E28" s="17" t="s">
        <v>133</v>
      </c>
    </row>
    <row r="29" spans="3:5" x14ac:dyDescent="0.25">
      <c r="C29" s="17" t="s">
        <v>145</v>
      </c>
      <c r="D29" s="17">
        <f>D26+(2*0.7)</f>
        <v>2.5</v>
      </c>
      <c r="E29" s="17" t="s">
        <v>133</v>
      </c>
    </row>
    <row r="30" spans="3:5" x14ac:dyDescent="0.25">
      <c r="C30" s="19" t="s">
        <v>147</v>
      </c>
      <c r="D30" s="19">
        <v>2.5</v>
      </c>
      <c r="E30" s="19" t="s">
        <v>133</v>
      </c>
    </row>
    <row r="31" spans="3:5" x14ac:dyDescent="0.25">
      <c r="C31" s="17" t="s">
        <v>151</v>
      </c>
      <c r="D31" s="17">
        <v>1</v>
      </c>
      <c r="E31" s="17" t="s">
        <v>133</v>
      </c>
    </row>
    <row r="32" spans="3:5" x14ac:dyDescent="0.25">
      <c r="C32" s="17" t="s">
        <v>152</v>
      </c>
      <c r="D32" s="17">
        <f>CEILING((2*D31)+D21, 1)</f>
        <v>22</v>
      </c>
      <c r="E32" s="17" t="s">
        <v>133</v>
      </c>
    </row>
    <row r="33" spans="3:5" x14ac:dyDescent="0.25">
      <c r="C33" s="17" t="s">
        <v>153</v>
      </c>
      <c r="D33" s="17">
        <f>CEILING((2*D31)+D22, 1)</f>
        <v>10</v>
      </c>
      <c r="E33" s="17" t="s">
        <v>133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81" t="s">
        <v>160</v>
      </c>
      <c r="B1" s="81"/>
    </row>
    <row r="17" spans="1:4" x14ac:dyDescent="0.25">
      <c r="B17" s="82" t="s">
        <v>161</v>
      </c>
      <c r="C17" s="83"/>
      <c r="D17" s="84"/>
    </row>
    <row r="18" spans="1:4" x14ac:dyDescent="0.25">
      <c r="B18" s="17" t="s">
        <v>156</v>
      </c>
      <c r="C18" s="17">
        <v>8</v>
      </c>
      <c r="D18" s="17" t="s">
        <v>133</v>
      </c>
    </row>
    <row r="19" spans="1:4" x14ac:dyDescent="0.25">
      <c r="B19" s="17" t="s">
        <v>157</v>
      </c>
      <c r="C19" s="17">
        <f>C18+0.5</f>
        <v>8.5</v>
      </c>
      <c r="D19" s="17" t="s">
        <v>133</v>
      </c>
    </row>
    <row r="20" spans="1:4" x14ac:dyDescent="0.25">
      <c r="B20" s="17" t="s">
        <v>132</v>
      </c>
      <c r="C20" s="17">
        <v>10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12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0.6</v>
      </c>
      <c r="D24" s="17" t="s">
        <v>133</v>
      </c>
    </row>
    <row r="25" spans="1:4" x14ac:dyDescent="0.25">
      <c r="B25" s="17" t="s">
        <v>136</v>
      </c>
      <c r="C25" s="17">
        <f>C24+0.2</f>
        <v>0.8</v>
      </c>
      <c r="D25" s="17" t="s">
        <v>133</v>
      </c>
    </row>
    <row r="26" spans="1:4" x14ac:dyDescent="0.25">
      <c r="B26" s="17" t="s">
        <v>141</v>
      </c>
      <c r="C26" s="17">
        <f>C25+0.2</f>
        <v>1</v>
      </c>
      <c r="D26" s="17" t="s">
        <v>133</v>
      </c>
    </row>
    <row r="27" spans="1:4" x14ac:dyDescent="0.25">
      <c r="B27" s="17" t="s">
        <v>142</v>
      </c>
      <c r="C27" s="17">
        <f>C25+0.3</f>
        <v>1.1000000000000001</v>
      </c>
      <c r="D27" s="17" t="s">
        <v>133</v>
      </c>
    </row>
    <row r="28" spans="1:4" x14ac:dyDescent="0.25">
      <c r="B28" s="19" t="s">
        <v>146</v>
      </c>
      <c r="C28" s="19">
        <v>1</v>
      </c>
      <c r="D28" s="19" t="s">
        <v>133</v>
      </c>
    </row>
    <row r="29" spans="1:4" x14ac:dyDescent="0.25">
      <c r="B29" s="17" t="s">
        <v>143</v>
      </c>
      <c r="C29" s="17">
        <f>C28+(2*0.3)</f>
        <v>1.6</v>
      </c>
      <c r="D29" s="17" t="s">
        <v>133</v>
      </c>
    </row>
    <row r="30" spans="1:4" x14ac:dyDescent="0.25">
      <c r="B30" s="17" t="s">
        <v>144</v>
      </c>
      <c r="C30" s="17">
        <f>C28+(2*0.5)</f>
        <v>2</v>
      </c>
      <c r="D30" s="17" t="s">
        <v>133</v>
      </c>
    </row>
    <row r="31" spans="1:4" x14ac:dyDescent="0.25">
      <c r="B31" s="17" t="s">
        <v>145</v>
      </c>
      <c r="C31" s="17">
        <f>C28+(2*0.7)</f>
        <v>2.4</v>
      </c>
      <c r="D31" s="17" t="s">
        <v>133</v>
      </c>
    </row>
    <row r="32" spans="1:4" x14ac:dyDescent="0.25">
      <c r="B32" s="19" t="s">
        <v>147</v>
      </c>
      <c r="C32" s="19">
        <v>2.4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14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8.5</v>
      </c>
      <c r="D36" s="20" t="s">
        <v>133</v>
      </c>
    </row>
    <row r="37" spans="2:4" x14ac:dyDescent="0.25">
      <c r="B37" s="21" t="s">
        <v>159</v>
      </c>
      <c r="C37" s="21">
        <f>C36-C32</f>
        <v>6.1</v>
      </c>
      <c r="D37" s="21" t="s">
        <v>133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81" t="s">
        <v>167</v>
      </c>
      <c r="B1" s="81"/>
    </row>
    <row r="17" spans="1:4" x14ac:dyDescent="0.25">
      <c r="B17" s="82" t="s">
        <v>161</v>
      </c>
      <c r="C17" s="83"/>
      <c r="D17" s="84"/>
    </row>
    <row r="18" spans="1:4" x14ac:dyDescent="0.25">
      <c r="B18" s="17" t="s">
        <v>156</v>
      </c>
      <c r="C18" s="17">
        <v>46</v>
      </c>
      <c r="D18" s="17" t="s">
        <v>133</v>
      </c>
    </row>
    <row r="19" spans="1:4" x14ac:dyDescent="0.25">
      <c r="B19" s="17" t="s">
        <v>157</v>
      </c>
      <c r="C19" s="17">
        <f>C18+0.5</f>
        <v>46.5</v>
      </c>
      <c r="D19" s="17" t="s">
        <v>133</v>
      </c>
    </row>
    <row r="20" spans="1:4" x14ac:dyDescent="0.25">
      <c r="B20" s="17" t="s">
        <v>132</v>
      </c>
      <c r="C20" s="17">
        <v>50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52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0.8</v>
      </c>
      <c r="D24" s="17" t="s">
        <v>133</v>
      </c>
    </row>
    <row r="25" spans="1:4" x14ac:dyDescent="0.25">
      <c r="B25" s="17" t="s">
        <v>136</v>
      </c>
      <c r="C25" s="17">
        <f>C24+0.2</f>
        <v>1</v>
      </c>
      <c r="D25" s="17" t="s">
        <v>133</v>
      </c>
    </row>
    <row r="26" spans="1:4" x14ac:dyDescent="0.25">
      <c r="B26" s="17" t="s">
        <v>141</v>
      </c>
      <c r="C26" s="17">
        <f>C25+0.2</f>
        <v>1.2</v>
      </c>
      <c r="D26" s="17" t="s">
        <v>133</v>
      </c>
    </row>
    <row r="27" spans="1:4" x14ac:dyDescent="0.25">
      <c r="B27" s="17" t="s">
        <v>142</v>
      </c>
      <c r="C27" s="17">
        <f>C25+0.3</f>
        <v>1.3</v>
      </c>
      <c r="D27" s="17" t="s">
        <v>133</v>
      </c>
    </row>
    <row r="28" spans="1:4" x14ac:dyDescent="0.25">
      <c r="B28" s="19" t="s">
        <v>146</v>
      </c>
      <c r="C28" s="19">
        <v>1.2</v>
      </c>
      <c r="D28" s="19" t="s">
        <v>133</v>
      </c>
    </row>
    <row r="29" spans="1:4" x14ac:dyDescent="0.25">
      <c r="B29" s="17" t="s">
        <v>143</v>
      </c>
      <c r="C29" s="17">
        <f>C28+(2*0.3)</f>
        <v>1.7999999999999998</v>
      </c>
      <c r="D29" s="17" t="s">
        <v>133</v>
      </c>
    </row>
    <row r="30" spans="1:4" x14ac:dyDescent="0.25">
      <c r="B30" s="17" t="s">
        <v>144</v>
      </c>
      <c r="C30" s="17">
        <f>C28+(2*0.5)</f>
        <v>2.2000000000000002</v>
      </c>
      <c r="D30" s="17" t="s">
        <v>133</v>
      </c>
    </row>
    <row r="31" spans="1:4" x14ac:dyDescent="0.25">
      <c r="B31" s="17" t="s">
        <v>145</v>
      </c>
      <c r="C31" s="17">
        <f>C28+(2*0.7)</f>
        <v>2.5999999999999996</v>
      </c>
      <c r="D31" s="17" t="s">
        <v>133</v>
      </c>
    </row>
    <row r="32" spans="1:4" x14ac:dyDescent="0.25">
      <c r="B32" s="19" t="s">
        <v>147</v>
      </c>
      <c r="C32" s="19">
        <v>2.6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54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46.5</v>
      </c>
      <c r="D36" s="20" t="s">
        <v>133</v>
      </c>
    </row>
    <row r="37" spans="2:4" x14ac:dyDescent="0.25">
      <c r="B37" s="21" t="s">
        <v>159</v>
      </c>
      <c r="C37" s="21">
        <f>C36-C32</f>
        <v>43.9</v>
      </c>
      <c r="D37" s="21" t="s">
        <v>133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518</v>
      </c>
      <c r="T2">
        <v>399</v>
      </c>
    </row>
    <row r="3" spans="19:20" x14ac:dyDescent="0.25">
      <c r="S3" t="s">
        <v>531</v>
      </c>
      <c r="T3">
        <v>14000</v>
      </c>
    </row>
    <row r="4" spans="19:20" x14ac:dyDescent="0.25">
      <c r="S4" t="s">
        <v>552</v>
      </c>
      <c r="T4" s="1">
        <v>5.4399999999999996E-6</v>
      </c>
    </row>
    <row r="5" spans="19:20" x14ac:dyDescent="0.25">
      <c r="S5" t="s">
        <v>520</v>
      </c>
      <c r="T5">
        <v>40</v>
      </c>
    </row>
    <row r="6" spans="19:20" x14ac:dyDescent="0.25">
      <c r="S6" t="s">
        <v>521</v>
      </c>
      <c r="T6">
        <v>20</v>
      </c>
    </row>
    <row r="7" spans="19:20" x14ac:dyDescent="0.25">
      <c r="S7" t="s">
        <v>523</v>
      </c>
      <c r="T7">
        <v>1E-4</v>
      </c>
    </row>
    <row r="8" spans="19:20" x14ac:dyDescent="0.25">
      <c r="S8" t="s">
        <v>525</v>
      </c>
      <c r="T8">
        <f>POWER(T4/T7, 0.5)</f>
        <v>0.23323807579381201</v>
      </c>
    </row>
    <row r="9" spans="19:20" x14ac:dyDescent="0.25">
      <c r="S9" t="s">
        <v>524</v>
      </c>
      <c r="T9">
        <v>0.1</v>
      </c>
    </row>
    <row r="10" spans="19:20" x14ac:dyDescent="0.25">
      <c r="S10" t="s">
        <v>554</v>
      </c>
      <c r="T10">
        <f>T9/T12</f>
        <v>2.2471910112359553E-3</v>
      </c>
    </row>
    <row r="11" spans="19:20" x14ac:dyDescent="0.25">
      <c r="S11" t="s">
        <v>519</v>
      </c>
      <c r="T11">
        <f>T9/T12</f>
        <v>2.2471910112359553E-3</v>
      </c>
    </row>
    <row r="12" spans="19:20" x14ac:dyDescent="0.25">
      <c r="S12" t="s">
        <v>522</v>
      </c>
      <c r="T12">
        <v>44.5</v>
      </c>
    </row>
    <row r="13" spans="19:20" x14ac:dyDescent="0.25">
      <c r="S13" t="s">
        <v>548</v>
      </c>
      <c r="T13">
        <f>T6-POWER(POWER((T9-(T11*T12))/T8, 2)+POWER(T6, 2), 0.5)</f>
        <v>0</v>
      </c>
    </row>
    <row r="14" spans="19:20" x14ac:dyDescent="0.25">
      <c r="S14" t="s">
        <v>549</v>
      </c>
      <c r="T14">
        <f>(1/T11)*(T13-T6)</f>
        <v>-8899.9999999999982</v>
      </c>
    </row>
    <row r="15" spans="19:20" x14ac:dyDescent="0.25">
      <c r="S15" t="s">
        <v>550</v>
      </c>
      <c r="T15">
        <f>T13-T14</f>
        <v>8899.9999999999982</v>
      </c>
    </row>
    <row r="16" spans="19:20" x14ac:dyDescent="0.25">
      <c r="S16" t="s">
        <v>551</v>
      </c>
      <c r="T16">
        <f>T5</f>
        <v>40</v>
      </c>
    </row>
    <row r="17" spans="19:21" x14ac:dyDescent="0.25">
      <c r="S17" t="s">
        <v>523</v>
      </c>
      <c r="T17">
        <f>T4*POWER(T5, 2)/POWER(T9-(T3/T2), 2)</f>
        <v>7.1102949277174389E-6</v>
      </c>
    </row>
    <row r="18" spans="19:21" x14ac:dyDescent="0.25">
      <c r="S18" t="s">
        <v>553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663</v>
      </c>
      <c r="B3" t="s">
        <v>662</v>
      </c>
      <c r="C3" t="s">
        <v>123</v>
      </c>
      <c r="D3" t="s">
        <v>664</v>
      </c>
    </row>
    <row r="4" spans="1:5" x14ac:dyDescent="0.25">
      <c r="A4" t="s">
        <v>661</v>
      </c>
      <c r="B4" t="s">
        <v>666</v>
      </c>
      <c r="D4">
        <v>12</v>
      </c>
      <c r="E4" t="s">
        <v>673</v>
      </c>
    </row>
    <row r="5" spans="1:5" x14ac:dyDescent="0.25">
      <c r="A5" t="s">
        <v>665</v>
      </c>
      <c r="B5" t="s">
        <v>670</v>
      </c>
      <c r="D5">
        <v>5</v>
      </c>
      <c r="E5" t="s">
        <v>672</v>
      </c>
    </row>
    <row r="6" spans="1:5" x14ac:dyDescent="0.25">
      <c r="A6" t="s">
        <v>667</v>
      </c>
      <c r="B6" t="s">
        <v>669</v>
      </c>
      <c r="D6">
        <v>8</v>
      </c>
      <c r="E6" t="s">
        <v>674</v>
      </c>
    </row>
    <row r="7" spans="1:5" x14ac:dyDescent="0.25">
      <c r="A7" t="s">
        <v>668</v>
      </c>
      <c r="B7" t="s">
        <v>666</v>
      </c>
      <c r="D7">
        <v>4</v>
      </c>
      <c r="E7" t="s">
        <v>671</v>
      </c>
    </row>
    <row r="8" spans="1:5" x14ac:dyDescent="0.25">
      <c r="A8" t="s">
        <v>661</v>
      </c>
      <c r="B8" t="s">
        <v>669</v>
      </c>
      <c r="D8">
        <v>4</v>
      </c>
      <c r="E8" t="s">
        <v>673</v>
      </c>
    </row>
    <row r="9" spans="1:5" x14ac:dyDescent="0.25">
      <c r="A9" t="s">
        <v>667</v>
      </c>
      <c r="B9" t="s">
        <v>676</v>
      </c>
      <c r="D9">
        <v>4</v>
      </c>
      <c r="E9" t="s">
        <v>675</v>
      </c>
    </row>
    <row r="10" spans="1:5" x14ac:dyDescent="0.25">
      <c r="A10" t="s">
        <v>678</v>
      </c>
      <c r="E10" t="s">
        <v>677</v>
      </c>
    </row>
    <row r="11" spans="1:5" x14ac:dyDescent="0.25">
      <c r="A11" t="s">
        <v>665</v>
      </c>
      <c r="B11" t="s">
        <v>679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2026-03-01T13:03:21Z</dcterms:modified>
</cp:coreProperties>
</file>