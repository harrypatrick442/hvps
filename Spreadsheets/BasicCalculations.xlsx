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360" yWindow="45" windowWidth="13395" windowHeight="3930" tabRatio="615"/>
  </bookViews>
  <sheets>
    <sheet name="Driver And Controller" sheetId="1" r:id="rId1"/>
    <sheet name="Villard Diode PCB Calcs" sheetId="2" r:id="rId2"/>
    <sheet name="Villard Capacitor PCB Calcs" sheetId="3" r:id="rId3"/>
    <sheet name="Villard Capacitor Bleeder Calcs" sheetId="4" r:id="rId4"/>
    <sheet name="Output Series Compsite Resistor" sheetId="5" r:id="rId5"/>
    <sheet name="Regenerative snubber design" sheetId="6" r:id="rId6"/>
    <sheet name="Active Cooling" sheetId="8" r:id="rId7"/>
    <sheet name="Sheet3" sheetId="9" r:id="rId8"/>
  </sheets>
  <calcPr calcId="144525"/>
</workbook>
</file>

<file path=xl/calcChain.xml><?xml version="1.0" encoding="utf-8"?>
<calcChain xmlns="http://schemas.openxmlformats.org/spreadsheetml/2006/main">
  <c r="D792" i="1" l="1"/>
  <c r="D814" i="1"/>
  <c r="D791" i="1"/>
  <c r="D800" i="1"/>
  <c r="D809" i="1"/>
  <c r="D813" i="1" s="1"/>
  <c r="D805" i="1"/>
  <c r="D804" i="1"/>
  <c r="D810" i="1"/>
  <c r="D783" i="1"/>
  <c r="D782" i="1"/>
  <c r="D778" i="1"/>
  <c r="D788" i="1" s="1"/>
  <c r="D806" i="1" l="1"/>
  <c r="D808" i="1"/>
  <c r="D815" i="1" s="1"/>
  <c r="D811" i="1"/>
  <c r="D812" i="1" s="1"/>
  <c r="D818" i="1" s="1"/>
  <c r="D786" i="1"/>
  <c r="D793" i="1" s="1"/>
  <c r="D784" i="1"/>
  <c r="D390" i="1"/>
  <c r="D391" i="1" s="1"/>
  <c r="D392" i="1" s="1"/>
  <c r="D403" i="1"/>
  <c r="D402" i="1"/>
  <c r="D404" i="1" s="1"/>
  <c r="D816" i="1" l="1"/>
  <c r="D817" i="1"/>
  <c r="D406" i="1"/>
  <c r="D408" i="1" s="1"/>
  <c r="D405" i="1"/>
  <c r="D407" i="1" s="1"/>
  <c r="D409" i="1" s="1"/>
  <c r="D410" i="1" s="1"/>
  <c r="D104" i="1" l="1"/>
  <c r="D144" i="1"/>
  <c r="D143" i="1"/>
  <c r="D142" i="1"/>
  <c r="D160" i="1" s="1"/>
  <c r="Z118" i="1" l="1"/>
  <c r="Y118" i="1"/>
  <c r="X118" i="1"/>
  <c r="W118" i="1"/>
  <c r="V118" i="1"/>
  <c r="U118" i="1"/>
  <c r="T118" i="1"/>
  <c r="S118" i="1"/>
  <c r="R118" i="1"/>
  <c r="Q118" i="1"/>
  <c r="P118" i="1"/>
  <c r="O118" i="1"/>
  <c r="N118" i="1"/>
  <c r="M118" i="1"/>
  <c r="J118" i="1"/>
  <c r="K118" i="1"/>
  <c r="D147" i="1" s="1"/>
  <c r="L118" i="1"/>
  <c r="I118" i="1"/>
  <c r="D141" i="1"/>
  <c r="D150" i="1" s="1"/>
  <c r="D200" i="1"/>
  <c r="D206" i="1" s="1"/>
  <c r="D101" i="1"/>
  <c r="D100" i="1"/>
  <c r="D99" i="1"/>
  <c r="D111" i="1" l="1"/>
  <c r="D105" i="1"/>
  <c r="D122" i="1"/>
  <c r="D108" i="1"/>
  <c r="D151" i="1"/>
  <c r="D152" i="1" s="1"/>
  <c r="D161" i="1"/>
  <c r="D491" i="1"/>
  <c r="D498" i="1"/>
  <c r="D479" i="1"/>
  <c r="D480" i="1" s="1"/>
  <c r="D478" i="1"/>
  <c r="D458" i="1"/>
  <c r="D522" i="1" s="1"/>
  <c r="D457" i="1"/>
  <c r="D475" i="1" s="1"/>
  <c r="D456" i="1"/>
  <c r="D507" i="1" s="1"/>
  <c r="D414" i="1"/>
  <c r="D415" i="1"/>
  <c r="D416" i="1"/>
  <c r="D157" i="1" l="1"/>
  <c r="D154" i="1"/>
  <c r="D155" i="1" s="1"/>
  <c r="D156" i="1" s="1"/>
  <c r="D482" i="1"/>
  <c r="D483" i="1" s="1"/>
  <c r="D509" i="1"/>
  <c r="D512" i="1" s="1"/>
  <c r="D520" i="1" s="1"/>
  <c r="D486" i="1"/>
  <c r="D502" i="1" s="1"/>
  <c r="D503" i="1" s="1"/>
  <c r="D504" i="1" s="1"/>
  <c r="D493" i="1"/>
  <c r="D494" i="1"/>
  <c r="D481" i="1"/>
  <c r="D541" i="1"/>
  <c r="D542" i="1" s="1"/>
  <c r="D543" i="1" s="1"/>
  <c r="D469" i="1"/>
  <c r="D471" i="1" s="1"/>
  <c r="D485" i="1"/>
  <c r="D530" i="1" s="1"/>
  <c r="E911" i="1"/>
  <c r="E912" i="1" s="1"/>
  <c r="E914" i="1" s="1"/>
  <c r="E898" i="1"/>
  <c r="E899" i="1" s="1"/>
  <c r="E900" i="1" s="1"/>
  <c r="E904" i="1"/>
  <c r="E905" i="1" s="1"/>
  <c r="E907" i="1" s="1"/>
  <c r="E893" i="1"/>
  <c r="E894" i="1" s="1"/>
  <c r="E895" i="1" s="1"/>
  <c r="E888" i="1"/>
  <c r="E889" i="1" s="1"/>
  <c r="E890" i="1" s="1"/>
  <c r="C668" i="1"/>
  <c r="D164" i="1" l="1"/>
  <c r="D158" i="1"/>
  <c r="D162" i="1"/>
  <c r="D163" i="1" s="1"/>
  <c r="D153" i="1"/>
  <c r="D499" i="1"/>
  <c r="D500" i="1" s="1"/>
  <c r="D501" i="1" s="1"/>
  <c r="D513" i="1"/>
  <c r="D505" i="1"/>
  <c r="D508" i="1" s="1"/>
  <c r="D537" i="1"/>
  <c r="D539" i="1" s="1"/>
  <c r="D496" i="1"/>
  <c r="D535" i="1"/>
  <c r="E906" i="1"/>
  <c r="E913" i="1"/>
  <c r="D672" i="1"/>
  <c r="D632" i="1" l="1"/>
  <c r="D634" i="1"/>
  <c r="D659" i="1" s="1"/>
  <c r="D661" i="1" s="1"/>
  <c r="D637" i="1" l="1"/>
  <c r="D655" i="1" s="1"/>
  <c r="D662" i="1"/>
  <c r="C662" i="1"/>
  <c r="C664" i="1" s="1"/>
  <c r="C665" i="1" s="1"/>
  <c r="D633" i="1"/>
  <c r="D573" i="1"/>
  <c r="E877" i="1"/>
  <c r="E879" i="1" s="1"/>
  <c r="E875" i="1"/>
  <c r="E870" i="1"/>
  <c r="H884" i="1" s="1"/>
  <c r="I884" i="1" s="1"/>
  <c r="J884" i="1" s="1"/>
  <c r="E662" i="1" l="1"/>
  <c r="D664" i="1"/>
  <c r="D665" i="1" s="1"/>
  <c r="D642" i="1"/>
  <c r="D643" i="1" s="1"/>
  <c r="D653" i="1" s="1"/>
  <c r="D650" i="1"/>
  <c r="D646" i="1"/>
  <c r="E876" i="1"/>
  <c r="E881" i="1"/>
  <c r="E882" i="1" s="1"/>
  <c r="H877" i="1"/>
  <c r="I877" i="1" s="1"/>
  <c r="J877" i="1" s="1"/>
  <c r="H878" i="1"/>
  <c r="I878" i="1" s="1"/>
  <c r="J878" i="1" s="1"/>
  <c r="H879" i="1"/>
  <c r="I879" i="1" s="1"/>
  <c r="J879" i="1" s="1"/>
  <c r="H885" i="1"/>
  <c r="I885" i="1" s="1"/>
  <c r="J885" i="1" s="1"/>
  <c r="H886" i="1"/>
  <c r="I886" i="1" s="1"/>
  <c r="J886" i="1" s="1"/>
  <c r="H887" i="1"/>
  <c r="I887" i="1" s="1"/>
  <c r="J887" i="1" s="1"/>
  <c r="H888" i="1"/>
  <c r="I888" i="1" s="1"/>
  <c r="J888" i="1" s="1"/>
  <c r="H889" i="1"/>
  <c r="I889" i="1" s="1"/>
  <c r="J889" i="1" s="1"/>
  <c r="H891" i="1"/>
  <c r="I891" i="1" s="1"/>
  <c r="J891" i="1" s="1"/>
  <c r="H882" i="1"/>
  <c r="I882" i="1" s="1"/>
  <c r="J882" i="1" s="1"/>
  <c r="H880" i="1"/>
  <c r="I880" i="1" s="1"/>
  <c r="J880" i="1" s="1"/>
  <c r="E872" i="1"/>
  <c r="H881" i="1"/>
  <c r="I881" i="1" s="1"/>
  <c r="J881" i="1" s="1"/>
  <c r="H883" i="1"/>
  <c r="I883" i="1" s="1"/>
  <c r="J883" i="1" s="1"/>
  <c r="D52" i="1"/>
  <c r="D54" i="1" s="1"/>
  <c r="D57" i="1" s="1"/>
  <c r="D58" i="1"/>
  <c r="D49" i="1"/>
  <c r="C666" i="1" l="1"/>
  <c r="D666" i="1"/>
  <c r="F662" i="1"/>
  <c r="E664" i="1"/>
  <c r="E665" i="1" s="1"/>
  <c r="E666" i="1" s="1"/>
  <c r="D59" i="1"/>
  <c r="D53" i="1"/>
  <c r="D47" i="1"/>
  <c r="G662" i="1" l="1"/>
  <c r="F664" i="1"/>
  <c r="F665" i="1" s="1"/>
  <c r="F666" i="1" s="1"/>
  <c r="E843" i="1"/>
  <c r="E848" i="1" s="1"/>
  <c r="E849" i="1" s="1"/>
  <c r="E860" i="1"/>
  <c r="E861" i="1"/>
  <c r="E862" i="1" s="1"/>
  <c r="H662" i="1" l="1"/>
  <c r="G664" i="1"/>
  <c r="G665" i="1" s="1"/>
  <c r="G666" i="1" s="1"/>
  <c r="E864" i="1"/>
  <c r="E865" i="1" s="1"/>
  <c r="D751" i="1"/>
  <c r="D750" i="1"/>
  <c r="D744" i="1"/>
  <c r="D749" i="1" s="1"/>
  <c r="H664" i="1" l="1"/>
  <c r="H665" i="1" s="1"/>
  <c r="H666" i="1" s="1"/>
  <c r="I662" i="1"/>
  <c r="D754" i="1"/>
  <c r="D753" i="1"/>
  <c r="D822" i="1"/>
  <c r="D823" i="1" s="1"/>
  <c r="D824" i="1" s="1"/>
  <c r="D787" i="1"/>
  <c r="D550" i="1"/>
  <c r="D549" i="1"/>
  <c r="I664" i="1" l="1"/>
  <c r="I665" i="1" s="1"/>
  <c r="I666" i="1" s="1"/>
  <c r="J662" i="1"/>
  <c r="D789" i="1"/>
  <c r="D790" i="1" s="1"/>
  <c r="D796" i="1" s="1"/>
  <c r="D552" i="1"/>
  <c r="D795" i="1" l="1"/>
  <c r="D794" i="1"/>
  <c r="K662" i="1"/>
  <c r="J664" i="1"/>
  <c r="J665" i="1" s="1"/>
  <c r="J666" i="1" s="1"/>
  <c r="F764" i="1"/>
  <c r="G764" i="1"/>
  <c r="H764" i="1"/>
  <c r="F765" i="1"/>
  <c r="G765" i="1"/>
  <c r="H765" i="1"/>
  <c r="E767" i="1"/>
  <c r="F767" i="1"/>
  <c r="F769" i="1" s="1"/>
  <c r="G767" i="1"/>
  <c r="G769" i="1" s="1"/>
  <c r="H767" i="1"/>
  <c r="H768" i="1" s="1"/>
  <c r="D767" i="1"/>
  <c r="E758" i="1"/>
  <c r="E761" i="1" s="1"/>
  <c r="J761" i="1"/>
  <c r="F762" i="1"/>
  <c r="G762" i="1"/>
  <c r="H762" i="1"/>
  <c r="I762" i="1"/>
  <c r="H761" i="1"/>
  <c r="I761" i="1"/>
  <c r="F761" i="1"/>
  <c r="G761" i="1"/>
  <c r="F768" i="1" l="1"/>
  <c r="L662" i="1"/>
  <c r="K664" i="1"/>
  <c r="K665" i="1" s="1"/>
  <c r="K666" i="1" s="1"/>
  <c r="G768" i="1"/>
  <c r="E765" i="1"/>
  <c r="E768" i="1"/>
  <c r="E762" i="1"/>
  <c r="H769" i="1"/>
  <c r="E764" i="1"/>
  <c r="E769" i="1"/>
  <c r="M662" i="1" l="1"/>
  <c r="L664" i="1"/>
  <c r="L665" i="1" s="1"/>
  <c r="L666" i="1" s="1"/>
  <c r="D324" i="1"/>
  <c r="N662" i="1" l="1"/>
  <c r="M664" i="1"/>
  <c r="M665" i="1" s="1"/>
  <c r="M666" i="1" s="1"/>
  <c r="D365" i="1"/>
  <c r="O662" i="1" l="1"/>
  <c r="N664" i="1"/>
  <c r="N665" i="1" s="1"/>
  <c r="N666" i="1" s="1"/>
  <c r="D372" i="1"/>
  <c r="E305" i="1"/>
  <c r="F305" i="1" s="1"/>
  <c r="G305" i="1" s="1"/>
  <c r="P662" i="1" l="1"/>
  <c r="O664" i="1"/>
  <c r="O665" i="1" s="1"/>
  <c r="O666" i="1" s="1"/>
  <c r="D302" i="1"/>
  <c r="E302" i="1" s="1"/>
  <c r="G302" i="1" s="1"/>
  <c r="I302" i="1" s="1"/>
  <c r="K302" i="1" s="1"/>
  <c r="J311" i="1"/>
  <c r="M311" i="1"/>
  <c r="L311" i="1"/>
  <c r="H305" i="1"/>
  <c r="I305" i="1" s="1"/>
  <c r="J305" i="1" s="1"/>
  <c r="K305" i="1" s="1"/>
  <c r="H300" i="1"/>
  <c r="I300" i="1" s="1"/>
  <c r="J300" i="1" s="1"/>
  <c r="K300" i="1" s="1"/>
  <c r="K295" i="1"/>
  <c r="J295" i="1"/>
  <c r="I295" i="1"/>
  <c r="D293" i="1"/>
  <c r="D442" i="1" s="1"/>
  <c r="Q662" i="1" l="1"/>
  <c r="P664" i="1"/>
  <c r="P665" i="1" s="1"/>
  <c r="P666" i="1" s="1"/>
  <c r="F302" i="1"/>
  <c r="H302" i="1" s="1"/>
  <c r="J302" i="1" s="1"/>
  <c r="Q664" i="1" l="1"/>
  <c r="Q665" i="1" s="1"/>
  <c r="Q666" i="1" s="1"/>
  <c r="R662" i="1"/>
  <c r="T11" i="6"/>
  <c r="U18" i="6" s="1"/>
  <c r="T10" i="6"/>
  <c r="T8" i="6"/>
  <c r="T16" i="6"/>
  <c r="E293" i="1"/>
  <c r="F293" i="1" s="1"/>
  <c r="G293" i="1" s="1"/>
  <c r="H293" i="1" s="1"/>
  <c r="I293" i="1" s="1"/>
  <c r="J293" i="1" s="1"/>
  <c r="K293" i="1" s="1"/>
  <c r="D294" i="1"/>
  <c r="D297" i="1"/>
  <c r="E297" i="1" s="1"/>
  <c r="F297" i="1" s="1"/>
  <c r="G297" i="1" s="1"/>
  <c r="H297" i="1" s="1"/>
  <c r="D298" i="1"/>
  <c r="E298" i="1" s="1"/>
  <c r="F298" i="1" s="1"/>
  <c r="G298" i="1" s="1"/>
  <c r="H298" i="1" s="1"/>
  <c r="I298" i="1" s="1"/>
  <c r="D229" i="1"/>
  <c r="D239" i="1"/>
  <c r="S662" i="1" l="1"/>
  <c r="R664" i="1"/>
  <c r="R665" i="1" s="1"/>
  <c r="R666" i="1" s="1"/>
  <c r="J298" i="1"/>
  <c r="H303" i="1"/>
  <c r="I297" i="1"/>
  <c r="J297" i="1" s="1"/>
  <c r="K297" i="1" s="1"/>
  <c r="T18" i="6"/>
  <c r="E294" i="1"/>
  <c r="D255" i="1"/>
  <c r="K263" i="1"/>
  <c r="N263" i="1"/>
  <c r="M260" i="1"/>
  <c r="D254" i="1"/>
  <c r="N258" i="1"/>
  <c r="N259" i="1"/>
  <c r="N260" i="1"/>
  <c r="N261" i="1"/>
  <c r="N262" i="1"/>
  <c r="N257" i="1"/>
  <c r="M259" i="1"/>
  <c r="K259" i="1"/>
  <c r="K258" i="1"/>
  <c r="M258" i="1"/>
  <c r="K260" i="1"/>
  <c r="K261" i="1"/>
  <c r="K262" i="1"/>
  <c r="M257" i="1"/>
  <c r="K257" i="1"/>
  <c r="D730" i="1"/>
  <c r="D729" i="1"/>
  <c r="D724" i="1"/>
  <c r="D723" i="1"/>
  <c r="D718" i="1"/>
  <c r="D6" i="1"/>
  <c r="E869" i="1" s="1"/>
  <c r="E874" i="1" s="1"/>
  <c r="D5" i="1"/>
  <c r="D722" i="1"/>
  <c r="D719" i="1"/>
  <c r="D103" i="1" l="1"/>
  <c r="D378" i="1"/>
  <c r="D112" i="1"/>
  <c r="D123" i="1"/>
  <c r="T662" i="1"/>
  <c r="S664" i="1"/>
  <c r="S665" i="1" s="1"/>
  <c r="S666" i="1" s="1"/>
  <c r="D758" i="1"/>
  <c r="D762" i="1" s="1"/>
  <c r="E868" i="1"/>
  <c r="D769" i="1"/>
  <c r="D761" i="1"/>
  <c r="D765" i="1"/>
  <c r="D764" i="1"/>
  <c r="D768" i="1"/>
  <c r="D731" i="1"/>
  <c r="D737" i="1" s="1"/>
  <c r="D741" i="1"/>
  <c r="D740" i="1"/>
  <c r="D739" i="1" s="1"/>
  <c r="H294" i="1"/>
  <c r="I303" i="1"/>
  <c r="K298" i="1"/>
  <c r="K303" i="1" s="1"/>
  <c r="J303" i="1"/>
  <c r="D696" i="1"/>
  <c r="D697" i="1" s="1"/>
  <c r="F294" i="1"/>
  <c r="D303" i="1"/>
  <c r="D733" i="1"/>
  <c r="D736" i="1" s="1"/>
  <c r="D732" i="1"/>
  <c r="D738" i="1" s="1"/>
  <c r="D725" i="1"/>
  <c r="D726" i="1"/>
  <c r="D113" i="1" l="1"/>
  <c r="D118" i="1" s="1"/>
  <c r="D463" i="1"/>
  <c r="D421" i="1"/>
  <c r="U662" i="1"/>
  <c r="T664" i="1"/>
  <c r="T665" i="1" s="1"/>
  <c r="T666" i="1" s="1"/>
  <c r="D114" i="1"/>
  <c r="L891" i="1"/>
  <c r="M891" i="1" s="1"/>
  <c r="K888" i="1"/>
  <c r="L888" i="1"/>
  <c r="M888" i="1" s="1"/>
  <c r="E873" i="1"/>
  <c r="L887" i="1"/>
  <c r="M887" i="1" s="1"/>
  <c r="K885" i="1"/>
  <c r="L886" i="1"/>
  <c r="M886" i="1" s="1"/>
  <c r="K884" i="1"/>
  <c r="K883" i="1"/>
  <c r="L884" i="1"/>
  <c r="M884" i="1" s="1"/>
  <c r="K882" i="1"/>
  <c r="K879" i="1"/>
  <c r="L879" i="1"/>
  <c r="M879" i="1" s="1"/>
  <c r="L878" i="1"/>
  <c r="M878" i="1" s="1"/>
  <c r="L877" i="1"/>
  <c r="M877" i="1" s="1"/>
  <c r="K891" i="1"/>
  <c r="K889" i="1"/>
  <c r="L889" i="1"/>
  <c r="M889" i="1" s="1"/>
  <c r="K887" i="1"/>
  <c r="K886" i="1"/>
  <c r="L885" i="1"/>
  <c r="M885" i="1" s="1"/>
  <c r="L883" i="1"/>
  <c r="M883" i="1" s="1"/>
  <c r="K881" i="1"/>
  <c r="L882" i="1"/>
  <c r="M882" i="1" s="1"/>
  <c r="K880" i="1"/>
  <c r="L881" i="1"/>
  <c r="M881" i="1" s="1"/>
  <c r="L880" i="1"/>
  <c r="M880" i="1" s="1"/>
  <c r="K877" i="1"/>
  <c r="K878" i="1"/>
  <c r="I294" i="1"/>
  <c r="G294" i="1"/>
  <c r="D734" i="1"/>
  <c r="D684" i="1"/>
  <c r="D686" i="1"/>
  <c r="D685" i="1"/>
  <c r="D711" i="1"/>
  <c r="D119" i="1" l="1"/>
  <c r="D120" i="1" s="1"/>
  <c r="D199" i="1"/>
  <c r="D203" i="1" s="1"/>
  <c r="D115" i="1"/>
  <c r="D116" i="1" s="1"/>
  <c r="D201" i="1"/>
  <c r="V662" i="1"/>
  <c r="U664" i="1"/>
  <c r="U665" i="1" s="1"/>
  <c r="U666" i="1" s="1"/>
  <c r="D630" i="1"/>
  <c r="D743" i="1"/>
  <c r="D747" i="1" s="1"/>
  <c r="D755" i="1" s="1"/>
  <c r="D756" i="1" s="1"/>
  <c r="D742" i="1"/>
  <c r="J294" i="1"/>
  <c r="D687" i="1"/>
  <c r="D710" i="1"/>
  <c r="D714" i="1" s="1"/>
  <c r="D712" i="1"/>
  <c r="D705" i="1"/>
  <c r="D704" i="1"/>
  <c r="D702" i="1"/>
  <c r="D680" i="1" s="1"/>
  <c r="D700" i="1"/>
  <c r="D698" i="1"/>
  <c r="D674" i="1"/>
  <c r="D591" i="1"/>
  <c r="D590" i="1"/>
  <c r="D592" i="1"/>
  <c r="D589" i="1"/>
  <c r="D610" i="1"/>
  <c r="D611" i="1"/>
  <c r="D563" i="1"/>
  <c r="D600" i="1"/>
  <c r="D579" i="1"/>
  <c r="D562" i="1"/>
  <c r="D454" i="1"/>
  <c r="D449" i="1"/>
  <c r="D439" i="1"/>
  <c r="D437" i="1"/>
  <c r="D434" i="1"/>
  <c r="D435" i="1" s="1"/>
  <c r="D270" i="1"/>
  <c r="D441" i="1" l="1"/>
  <c r="D431" i="1"/>
  <c r="W662" i="1"/>
  <c r="V664" i="1"/>
  <c r="V665" i="1" s="1"/>
  <c r="V666" i="1" s="1"/>
  <c r="D636" i="1"/>
  <c r="D654" i="1" s="1"/>
  <c r="D631" i="1"/>
  <c r="D638" i="1" s="1"/>
  <c r="D649" i="1" s="1"/>
  <c r="D651" i="1"/>
  <c r="D648" i="1"/>
  <c r="D639" i="1"/>
  <c r="D647" i="1" s="1"/>
  <c r="D594" i="1"/>
  <c r="K294" i="1"/>
  <c r="D593" i="1"/>
  <c r="D614" i="1"/>
  <c r="D699" i="1"/>
  <c r="D713" i="1"/>
  <c r="D715" i="1"/>
  <c r="D706" i="1"/>
  <c r="D707" i="1" s="1"/>
  <c r="D708" i="1" s="1"/>
  <c r="D709" i="1" s="1"/>
  <c r="D607" i="1"/>
  <c r="D608" i="1" s="1"/>
  <c r="D587" i="1"/>
  <c r="D436" i="1"/>
  <c r="D440" i="1"/>
  <c r="D377" i="1"/>
  <c r="D380" i="1" s="1"/>
  <c r="D381" i="1" s="1"/>
  <c r="D385" i="1" s="1"/>
  <c r="D353" i="1"/>
  <c r="D356" i="1"/>
  <c r="D358" i="1" s="1"/>
  <c r="D359" i="1" s="1"/>
  <c r="D351" i="1"/>
  <c r="D349" i="1"/>
  <c r="D348" i="1"/>
  <c r="D343" i="1"/>
  <c r="D282" i="1"/>
  <c r="D283" i="1" s="1"/>
  <c r="D281" i="1"/>
  <c r="D276" i="1"/>
  <c r="D277" i="1" s="1"/>
  <c r="D279" i="1" s="1"/>
  <c r="D274" i="1"/>
  <c r="D231" i="1"/>
  <c r="D177" i="1"/>
  <c r="D190" i="1" s="1"/>
  <c r="D387" i="1" l="1"/>
  <c r="D386" i="1"/>
  <c r="D388" i="1" s="1"/>
  <c r="X662" i="1"/>
  <c r="W664" i="1"/>
  <c r="W665" i="1" s="1"/>
  <c r="W666" i="1" s="1"/>
  <c r="D340" i="1"/>
  <c r="D339" i="1"/>
  <c r="D352" i="1"/>
  <c r="D617" i="1"/>
  <c r="D615" i="1"/>
  <c r="D616" i="1" s="1"/>
  <c r="D595" i="1"/>
  <c r="D596" i="1" s="1"/>
  <c r="D609" i="1"/>
  <c r="D604" i="1"/>
  <c r="D603" i="1"/>
  <c r="D605" i="1" s="1"/>
  <c r="D597" i="1"/>
  <c r="D599" i="1" s="1"/>
  <c r="D344" i="1"/>
  <c r="D345" i="1" s="1"/>
  <c r="D284" i="1"/>
  <c r="D341" i="1"/>
  <c r="D278" i="1"/>
  <c r="D280" i="1" s="1"/>
  <c r="D202" i="1"/>
  <c r="D207" i="1"/>
  <c r="D204" i="1"/>
  <c r="D186" i="1"/>
  <c r="D178" i="1"/>
  <c r="D179" i="1" s="1"/>
  <c r="C36" i="5"/>
  <c r="C37" i="5" s="1"/>
  <c r="C35" i="5"/>
  <c r="C31" i="5"/>
  <c r="C30" i="5"/>
  <c r="C29" i="5"/>
  <c r="C25" i="5"/>
  <c r="C27" i="5" s="1"/>
  <c r="C23" i="5"/>
  <c r="C21" i="5"/>
  <c r="C34" i="5" s="1"/>
  <c r="C19" i="5"/>
  <c r="D398" i="1" l="1"/>
  <c r="D395" i="1"/>
  <c r="D397" i="1"/>
  <c r="D394" i="1"/>
  <c r="Y662" i="1"/>
  <c r="X664" i="1"/>
  <c r="X665" i="1" s="1"/>
  <c r="X666" i="1" s="1"/>
  <c r="D644" i="1"/>
  <c r="D342" i="1"/>
  <c r="D622" i="1"/>
  <c r="D618" i="1"/>
  <c r="D346" i="1"/>
  <c r="D209" i="1"/>
  <c r="D174" i="1"/>
  <c r="D175" i="1" s="1"/>
  <c r="D181" i="1" s="1"/>
  <c r="D208" i="1"/>
  <c r="C26" i="5"/>
  <c r="D396" i="1" l="1"/>
  <c r="D399" i="1"/>
  <c r="D400" i="1" s="1"/>
  <c r="Z662" i="1"/>
  <c r="Y664" i="1"/>
  <c r="Y665" i="1" s="1"/>
  <c r="Y666" i="1" s="1"/>
  <c r="D619" i="1"/>
  <c r="D210" i="1"/>
  <c r="D215" i="1" s="1"/>
  <c r="D218" i="1" s="1"/>
  <c r="C37" i="4"/>
  <c r="C36" i="4"/>
  <c r="C25" i="4"/>
  <c r="C19" i="4"/>
  <c r="C23" i="4"/>
  <c r="C21" i="4"/>
  <c r="C34" i="4" s="1"/>
  <c r="C35" i="4"/>
  <c r="C31" i="4"/>
  <c r="C30" i="4"/>
  <c r="C29" i="4"/>
  <c r="C27" i="4"/>
  <c r="C26" i="4"/>
  <c r="D33" i="3"/>
  <c r="D32" i="3"/>
  <c r="D20" i="3"/>
  <c r="D25" i="3"/>
  <c r="D24" i="3"/>
  <c r="D29" i="3"/>
  <c r="D28" i="3"/>
  <c r="D27" i="3"/>
  <c r="C19" i="2"/>
  <c r="C18" i="2"/>
  <c r="C17" i="2"/>
  <c r="C9" i="2"/>
  <c r="C10" i="2" s="1"/>
  <c r="C7" i="2"/>
  <c r="C14" i="2" s="1"/>
  <c r="C5" i="2"/>
  <c r="C6" i="2" s="1"/>
  <c r="C13" i="2" s="1"/>
  <c r="D11" i="1"/>
  <c r="D73" i="1"/>
  <c r="D65" i="1"/>
  <c r="D72" i="1"/>
  <c r="R63" i="1"/>
  <c r="R62" i="1"/>
  <c r="R61" i="1"/>
  <c r="D10" i="1"/>
  <c r="D401" i="1" l="1"/>
  <c r="D411" i="1"/>
  <c r="AA662" i="1"/>
  <c r="Z664" i="1"/>
  <c r="Z665" i="1" s="1"/>
  <c r="Z666" i="1" s="1"/>
  <c r="D75" i="1"/>
  <c r="D76" i="1" s="1"/>
  <c r="C8" i="2"/>
  <c r="C15" i="2" s="1"/>
  <c r="R64" i="1"/>
  <c r="R66" i="1" s="1"/>
  <c r="R65" i="1"/>
  <c r="R67" i="1" s="1"/>
  <c r="AB662" i="1" l="1"/>
  <c r="AA664" i="1"/>
  <c r="AA665" i="1" s="1"/>
  <c r="AA666" i="1" s="1"/>
  <c r="D77" i="1"/>
  <c r="D78" i="1" s="1"/>
  <c r="D79" i="1" s="1"/>
  <c r="D91" i="1" s="1"/>
  <c r="AC662" i="1" l="1"/>
  <c r="AB664" i="1"/>
  <c r="AB665" i="1" s="1"/>
  <c r="AB666" i="1" s="1"/>
  <c r="D88" i="1"/>
  <c r="D89" i="1"/>
  <c r="D90" i="1"/>
  <c r="AD662" i="1" l="1"/>
  <c r="AC664" i="1"/>
  <c r="AC665" i="1" s="1"/>
  <c r="AC666" i="1" s="1"/>
  <c r="D23" i="1"/>
  <c r="D13" i="1"/>
  <c r="AE662" i="1" l="1"/>
  <c r="AD664" i="1"/>
  <c r="AD665" i="1" s="1"/>
  <c r="AD666" i="1" s="1"/>
  <c r="D32" i="1"/>
  <c r="D35" i="1" s="1"/>
  <c r="D38" i="1" s="1"/>
  <c r="D39" i="1" s="1"/>
  <c r="D139" i="1" s="1"/>
  <c r="D102" i="1"/>
  <c r="D234" i="1"/>
  <c r="D673" i="1"/>
  <c r="D232" i="1"/>
  <c r="D295" i="1" s="1"/>
  <c r="H295" i="1" s="1"/>
  <c r="D133" i="1" l="1"/>
  <c r="D121" i="1"/>
  <c r="D124" i="1" s="1"/>
  <c r="D459" i="1"/>
  <c r="D417" i="1"/>
  <c r="D450" i="1" s="1"/>
  <c r="AF662" i="1"/>
  <c r="AE664" i="1"/>
  <c r="AE665" i="1" s="1"/>
  <c r="AE666" i="1" s="1"/>
  <c r="D37" i="1"/>
  <c r="D40" i="1" s="1"/>
  <c r="D41" i="1" s="1"/>
  <c r="D46" i="1" s="1"/>
  <c r="D564" i="1"/>
  <c r="D620" i="1" s="1"/>
  <c r="D623" i="1" s="1"/>
  <c r="D626" i="1" s="1"/>
  <c r="D292" i="1"/>
  <c r="D309" i="1" s="1"/>
  <c r="D132" i="1"/>
  <c r="D264" i="1"/>
  <c r="D212" i="1"/>
  <c r="D675" i="1"/>
  <c r="D689" i="1" s="1"/>
  <c r="D688" i="1"/>
  <c r="D691" i="1" s="1"/>
  <c r="D692" i="1" s="1"/>
  <c r="D257" i="1"/>
  <c r="D259" i="1" s="1"/>
  <c r="D260" i="1" s="1"/>
  <c r="D42" i="1"/>
  <c r="D127" i="1" l="1"/>
  <c r="D128" i="1"/>
  <c r="D125" i="1"/>
  <c r="D126" i="1"/>
  <c r="D136" i="1"/>
  <c r="D168" i="1" s="1"/>
  <c r="D117" i="1"/>
  <c r="D167" i="1" s="1"/>
  <c r="D134" i="1"/>
  <c r="D135" i="1" s="1"/>
  <c r="D230" i="1"/>
  <c r="D296" i="1" s="1"/>
  <c r="E296" i="1" s="1"/>
  <c r="F296" i="1" s="1"/>
  <c r="G296" i="1" s="1"/>
  <c r="H296" i="1" s="1"/>
  <c r="I296" i="1" s="1"/>
  <c r="J296" i="1" s="1"/>
  <c r="K296" i="1" s="1"/>
  <c r="D424" i="1"/>
  <c r="D624" i="1"/>
  <c r="D627" i="1" s="1"/>
  <c r="D523" i="1"/>
  <c r="D466" i="1"/>
  <c r="D468" i="1" s="1"/>
  <c r="D465" i="1"/>
  <c r="D531" i="1"/>
  <c r="D43" i="1"/>
  <c r="AG662" i="1"/>
  <c r="AF664" i="1"/>
  <c r="AF665" i="1" s="1"/>
  <c r="AF666" i="1" s="1"/>
  <c r="D568" i="1"/>
  <c r="D569" i="1"/>
  <c r="D566" i="1"/>
  <c r="D621" i="1" s="1"/>
  <c r="D625" i="1" s="1"/>
  <c r="D628" i="1" s="1"/>
  <c r="D571" i="1"/>
  <c r="D205" i="1"/>
  <c r="D180" i="1"/>
  <c r="D182" i="1" s="1"/>
  <c r="D183" i="1" s="1"/>
  <c r="D184" i="1" s="1"/>
  <c r="D185" i="1" s="1"/>
  <c r="D192" i="1" s="1"/>
  <c r="D193" i="1" s="1"/>
  <c r="D213" i="1"/>
  <c r="D601" i="1"/>
  <c r="D602" i="1" s="1"/>
  <c r="D214" i="1"/>
  <c r="D453" i="1"/>
  <c r="D443" i="1"/>
  <c r="D444" i="1" s="1"/>
  <c r="D423" i="1"/>
  <c r="D677" i="1"/>
  <c r="D679" i="1" s="1"/>
  <c r="D694" i="1" s="1"/>
  <c r="E292" i="1"/>
  <c r="F292" i="1" s="1"/>
  <c r="G292" i="1" s="1"/>
  <c r="H292" i="1" s="1"/>
  <c r="I292" i="1" s="1"/>
  <c r="J292" i="1" s="1"/>
  <c r="K292" i="1" s="1"/>
  <c r="D690" i="1"/>
  <c r="G10" i="1"/>
  <c r="D21" i="1"/>
  <c r="D26" i="1"/>
  <c r="D236" i="1" l="1"/>
  <c r="D238" i="1" s="1"/>
  <c r="D129" i="1"/>
  <c r="D130" i="1" s="1"/>
  <c r="D226" i="1"/>
  <c r="D227" i="1" s="1"/>
  <c r="D291" i="1" s="1"/>
  <c r="D224" i="1"/>
  <c r="D216" i="1"/>
  <c r="D217" i="1"/>
  <c r="E836" i="1" s="1"/>
  <c r="D534" i="1"/>
  <c r="D533" i="1"/>
  <c r="D524" i="1"/>
  <c r="D525" i="1" s="1"/>
  <c r="D526" i="1" s="1"/>
  <c r="AH662" i="1"/>
  <c r="AG664" i="1"/>
  <c r="AG665" i="1" s="1"/>
  <c r="AG666" i="1" s="1"/>
  <c r="D445" i="1"/>
  <c r="D545" i="1" s="1"/>
  <c r="D553" i="1" s="1"/>
  <c r="D555" i="1" s="1"/>
  <c r="D557" i="1" s="1"/>
  <c r="D170" i="1"/>
  <c r="D570" i="1"/>
  <c r="D572" i="1"/>
  <c r="D581" i="1" s="1"/>
  <c r="D598" i="1" s="1"/>
  <c r="D452" i="1"/>
  <c r="D187" i="1"/>
  <c r="D189" i="1" s="1"/>
  <c r="D15" i="1"/>
  <c r="D74" i="1"/>
  <c r="D44" i="1" s="1"/>
  <c r="D95" i="1"/>
  <c r="D94" i="1"/>
  <c r="D93" i="1"/>
  <c r="D92" i="1"/>
  <c r="D66" i="1"/>
  <c r="D67" i="1" s="1"/>
  <c r="E834" i="1" s="1"/>
  <c r="D27" i="1"/>
  <c r="E835" i="1" s="1"/>
  <c r="D63" i="1"/>
  <c r="D64" i="1" s="1"/>
  <c r="D235" i="1" l="1"/>
  <c r="D240" i="1" s="1"/>
  <c r="D267" i="1" s="1"/>
  <c r="D290" i="1"/>
  <c r="D308" i="1" s="1"/>
  <c r="D314" i="1" s="1"/>
  <c r="D418" i="1" s="1"/>
  <c r="D425" i="1" s="1"/>
  <c r="D219" i="1"/>
  <c r="AI662" i="1"/>
  <c r="AH664" i="1"/>
  <c r="AH665" i="1" s="1"/>
  <c r="AH666" i="1" s="1"/>
  <c r="D220" i="1"/>
  <c r="D582" i="1"/>
  <c r="D585" i="1" s="1"/>
  <c r="E837" i="1"/>
  <c r="E844" i="1" s="1"/>
  <c r="E850" i="1" s="1"/>
  <c r="E851" i="1" s="1"/>
  <c r="E852" i="1" s="1"/>
  <c r="E853" i="1" s="1"/>
  <c r="E291" i="1"/>
  <c r="F291" i="1" s="1"/>
  <c r="G291" i="1" s="1"/>
  <c r="H291" i="1" s="1"/>
  <c r="D304" i="1"/>
  <c r="D306" i="1" s="1"/>
  <c r="D29" i="1"/>
  <c r="D68" i="1"/>
  <c r="D69" i="1" s="1"/>
  <c r="D97" i="1"/>
  <c r="D243" i="1" l="1"/>
  <c r="D244" i="1" s="1"/>
  <c r="D246" i="1" s="1"/>
  <c r="D265" i="1"/>
  <c r="D241" i="1"/>
  <c r="D242" i="1" s="1"/>
  <c r="D301" i="1"/>
  <c r="E290" i="1"/>
  <c r="F290" i="1" s="1"/>
  <c r="D310" i="1"/>
  <c r="D311" i="1" s="1"/>
  <c r="AJ662" i="1"/>
  <c r="AI664" i="1"/>
  <c r="AI665" i="1" s="1"/>
  <c r="AI666" i="1" s="1"/>
  <c r="D583" i="1"/>
  <c r="E855" i="1"/>
  <c r="E856" i="1" s="1"/>
  <c r="E857" i="1" s="1"/>
  <c r="E858" i="1" s="1"/>
  <c r="D322" i="1"/>
  <c r="D362" i="1"/>
  <c r="D328" i="1"/>
  <c r="D325" i="1"/>
  <c r="D326" i="1" s="1"/>
  <c r="D312" i="1"/>
  <c r="D313" i="1" s="1"/>
  <c r="D317" i="1" s="1"/>
  <c r="D316" i="1"/>
  <c r="D321" i="1" s="1"/>
  <c r="D315" i="1"/>
  <c r="D320" i="1" s="1"/>
  <c r="I291" i="1"/>
  <c r="D248" i="1" l="1"/>
  <c r="AK662" i="1"/>
  <c r="AJ664" i="1"/>
  <c r="AJ665" i="1" s="1"/>
  <c r="AJ666" i="1" s="1"/>
  <c r="D319" i="1"/>
  <c r="D318" i="1"/>
  <c r="D371" i="1"/>
  <c r="D373" i="1" s="1"/>
  <c r="D366" i="1"/>
  <c r="J291" i="1"/>
  <c r="E303" i="1"/>
  <c r="E304" i="1"/>
  <c r="G290" i="1"/>
  <c r="H290" i="1" s="1"/>
  <c r="D427" i="1"/>
  <c r="D247" i="1"/>
  <c r="D250" i="1"/>
  <c r="D256" i="1"/>
  <c r="E306" i="1" l="1"/>
  <c r="AL662" i="1"/>
  <c r="AK664" i="1"/>
  <c r="AK665" i="1" s="1"/>
  <c r="AK666" i="1" s="1"/>
  <c r="D368" i="1"/>
  <c r="D367" i="1"/>
  <c r="I290" i="1"/>
  <c r="H304" i="1"/>
  <c r="H306" i="1" s="1"/>
  <c r="K291" i="1"/>
  <c r="F303" i="1"/>
  <c r="F304" i="1"/>
  <c r="G303" i="1"/>
  <c r="G304" i="1"/>
  <c r="D261" i="1"/>
  <c r="D262" i="1" s="1"/>
  <c r="D263" i="1" s="1"/>
  <c r="D258" i="1"/>
  <c r="T17" i="6"/>
  <c r="D369" i="1" l="1"/>
  <c r="AM662" i="1"/>
  <c r="AL664" i="1"/>
  <c r="AL665" i="1" s="1"/>
  <c r="AL666" i="1" s="1"/>
  <c r="F306" i="1"/>
  <c r="J290" i="1"/>
  <c r="I304" i="1"/>
  <c r="I306" i="1" s="1"/>
  <c r="G306" i="1"/>
  <c r="T13" i="6"/>
  <c r="AN662" i="1" l="1"/>
  <c r="AM664" i="1"/>
  <c r="AM665" i="1" s="1"/>
  <c r="AM666" i="1" s="1"/>
  <c r="K290" i="1"/>
  <c r="K304" i="1" s="1"/>
  <c r="K306" i="1" s="1"/>
  <c r="J304" i="1"/>
  <c r="J306" i="1" s="1"/>
  <c r="T14" i="6"/>
  <c r="T15" i="6" s="1"/>
  <c r="AO662" i="1" l="1"/>
  <c r="AN664" i="1"/>
  <c r="AN665" i="1" s="1"/>
  <c r="AN666" i="1" s="1"/>
  <c r="AP662" i="1" l="1"/>
  <c r="AO664" i="1"/>
  <c r="AO665" i="1" s="1"/>
  <c r="AO666" i="1" s="1"/>
  <c r="AQ662" i="1" l="1"/>
  <c r="AP664" i="1"/>
  <c r="AP665" i="1" s="1"/>
  <c r="AP666" i="1" s="1"/>
  <c r="AR662" i="1" l="1"/>
  <c r="AQ664" i="1"/>
  <c r="AQ665" i="1" s="1"/>
  <c r="AQ666" i="1" s="1"/>
  <c r="AS662" i="1" l="1"/>
  <c r="AR664" i="1"/>
  <c r="AR665" i="1" s="1"/>
  <c r="AR666" i="1" s="1"/>
  <c r="AT662" i="1" l="1"/>
  <c r="AS664" i="1"/>
  <c r="AS665" i="1" s="1"/>
  <c r="AS666" i="1" s="1"/>
  <c r="AU662" i="1" l="1"/>
  <c r="AT664" i="1"/>
  <c r="AT665" i="1" s="1"/>
  <c r="AT666" i="1" s="1"/>
  <c r="AV662" i="1" l="1"/>
  <c r="AU664" i="1"/>
  <c r="AU665" i="1" s="1"/>
  <c r="AU666" i="1" s="1"/>
  <c r="AW662" i="1" l="1"/>
  <c r="AV664" i="1"/>
  <c r="AV665" i="1" s="1"/>
  <c r="AV666" i="1" s="1"/>
  <c r="AX662" i="1" l="1"/>
  <c r="AW664" i="1"/>
  <c r="AW665" i="1" s="1"/>
  <c r="AW666" i="1" s="1"/>
  <c r="AY662" i="1" l="1"/>
  <c r="AX664" i="1"/>
  <c r="AX665" i="1" s="1"/>
  <c r="AX666" i="1" s="1"/>
  <c r="AZ662" i="1" l="1"/>
  <c r="AY664" i="1"/>
  <c r="AY665" i="1" s="1"/>
  <c r="AY666" i="1" s="1"/>
  <c r="BA662" i="1" l="1"/>
  <c r="AZ664" i="1"/>
  <c r="AZ665" i="1" s="1"/>
  <c r="AZ666" i="1" s="1"/>
  <c r="BB662" i="1" l="1"/>
  <c r="BA664" i="1"/>
  <c r="BA665" i="1" s="1"/>
  <c r="BA666" i="1" s="1"/>
  <c r="BC662" i="1" l="1"/>
  <c r="BB664" i="1"/>
  <c r="BB665" i="1" s="1"/>
  <c r="BB666" i="1" s="1"/>
  <c r="BD662" i="1" l="1"/>
  <c r="BC664" i="1"/>
  <c r="BC665" i="1" s="1"/>
  <c r="BC666" i="1" s="1"/>
  <c r="BE662" i="1" l="1"/>
  <c r="BD664" i="1"/>
  <c r="BD665" i="1" s="1"/>
  <c r="BD666" i="1" s="1"/>
  <c r="BF662" i="1" l="1"/>
  <c r="BE664" i="1"/>
  <c r="BE665" i="1" s="1"/>
  <c r="BE666" i="1" s="1"/>
  <c r="BG662" i="1" l="1"/>
  <c r="BF664" i="1"/>
  <c r="BF665" i="1" s="1"/>
  <c r="BF666" i="1" s="1"/>
  <c r="BH662" i="1" l="1"/>
  <c r="BG664" i="1"/>
  <c r="BG665" i="1" s="1"/>
  <c r="BG666" i="1" s="1"/>
  <c r="BI662" i="1" l="1"/>
  <c r="BH664" i="1"/>
  <c r="BH665" i="1" s="1"/>
  <c r="BH666" i="1" s="1"/>
  <c r="BJ662" i="1" l="1"/>
  <c r="BI664" i="1"/>
  <c r="BI665" i="1" s="1"/>
  <c r="BI666" i="1" s="1"/>
  <c r="BK662" i="1" l="1"/>
  <c r="BJ664" i="1"/>
  <c r="BJ665" i="1" s="1"/>
  <c r="BJ666" i="1" s="1"/>
  <c r="BL662" i="1" l="1"/>
  <c r="BK664" i="1"/>
  <c r="BK665" i="1" s="1"/>
  <c r="BK666" i="1" s="1"/>
  <c r="BM662" i="1" l="1"/>
  <c r="BL664" i="1"/>
  <c r="BL665" i="1" s="1"/>
  <c r="BL666" i="1" s="1"/>
  <c r="BN662" i="1" l="1"/>
  <c r="BM664" i="1"/>
  <c r="BM665" i="1" s="1"/>
  <c r="BM666" i="1" s="1"/>
  <c r="BO662" i="1" l="1"/>
  <c r="BN664" i="1"/>
  <c r="BN665" i="1" s="1"/>
  <c r="BN666" i="1" s="1"/>
  <c r="BP662" i="1" l="1"/>
  <c r="BO664" i="1"/>
  <c r="BO665" i="1" s="1"/>
  <c r="BO666" i="1" s="1"/>
  <c r="BQ662" i="1" l="1"/>
  <c r="BP664" i="1"/>
  <c r="BP665" i="1" s="1"/>
  <c r="BP666" i="1" s="1"/>
  <c r="BR662" i="1" l="1"/>
  <c r="BQ664" i="1"/>
  <c r="BQ665" i="1" s="1"/>
  <c r="BQ666" i="1" s="1"/>
  <c r="BS662" i="1" l="1"/>
  <c r="BR664" i="1"/>
  <c r="BR665" i="1" s="1"/>
  <c r="BR666" i="1" s="1"/>
  <c r="BT662" i="1" l="1"/>
  <c r="BS664" i="1"/>
  <c r="BS665" i="1" s="1"/>
  <c r="BS666" i="1" s="1"/>
  <c r="BU662" i="1" l="1"/>
  <c r="BT664" i="1"/>
  <c r="BT665" i="1" s="1"/>
  <c r="BT666" i="1" s="1"/>
  <c r="BV662" i="1" l="1"/>
  <c r="BU664" i="1"/>
  <c r="BU665" i="1" s="1"/>
  <c r="BU666" i="1" s="1"/>
  <c r="BW662" i="1" l="1"/>
  <c r="BV664" i="1"/>
  <c r="BV665" i="1" s="1"/>
  <c r="BV666" i="1" s="1"/>
  <c r="BX662" i="1" l="1"/>
  <c r="BW664" i="1"/>
  <c r="BW665" i="1" s="1"/>
  <c r="BW666" i="1" s="1"/>
  <c r="BY662" i="1" l="1"/>
  <c r="BX664" i="1"/>
  <c r="BX665" i="1" s="1"/>
  <c r="BX666" i="1" s="1"/>
  <c r="BZ662" i="1" l="1"/>
  <c r="BY664" i="1"/>
  <c r="BY665" i="1" s="1"/>
  <c r="BY666" i="1" s="1"/>
  <c r="CA662" i="1" l="1"/>
  <c r="BZ664" i="1"/>
  <c r="BZ665" i="1" s="1"/>
  <c r="BZ666" i="1" s="1"/>
  <c r="CB662" i="1" l="1"/>
  <c r="CA664" i="1"/>
  <c r="CA665" i="1" s="1"/>
  <c r="CA666" i="1" s="1"/>
  <c r="CC662" i="1" l="1"/>
  <c r="CB664" i="1"/>
  <c r="CB665" i="1" s="1"/>
  <c r="CB666" i="1" s="1"/>
  <c r="CD662" i="1" l="1"/>
  <c r="CC664" i="1"/>
  <c r="CC665" i="1" s="1"/>
  <c r="CC666" i="1" s="1"/>
  <c r="CE662" i="1" l="1"/>
  <c r="CD664" i="1"/>
  <c r="CD665" i="1" s="1"/>
  <c r="CD666" i="1" s="1"/>
  <c r="CF662" i="1" l="1"/>
  <c r="CE664" i="1"/>
  <c r="CE665" i="1" s="1"/>
  <c r="CE666" i="1" s="1"/>
  <c r="CG662" i="1" l="1"/>
  <c r="CF664" i="1"/>
  <c r="CF665" i="1" s="1"/>
  <c r="CF666" i="1" s="1"/>
  <c r="CH662" i="1" l="1"/>
  <c r="CG664" i="1"/>
  <c r="CG665" i="1" s="1"/>
  <c r="CG666" i="1" s="1"/>
  <c r="CI662" i="1" l="1"/>
  <c r="CH664" i="1"/>
  <c r="CH665" i="1" s="1"/>
  <c r="CH666" i="1" s="1"/>
  <c r="CJ662" i="1" l="1"/>
  <c r="CI664" i="1"/>
  <c r="CI665" i="1" s="1"/>
  <c r="CI666" i="1" s="1"/>
  <c r="CK662" i="1" l="1"/>
  <c r="CJ664" i="1"/>
  <c r="CJ665" i="1" s="1"/>
  <c r="CJ666" i="1" s="1"/>
  <c r="CL662" i="1" l="1"/>
  <c r="CK664" i="1"/>
  <c r="CK665" i="1" s="1"/>
  <c r="CK666" i="1" s="1"/>
  <c r="CM662" i="1" l="1"/>
  <c r="CL664" i="1"/>
  <c r="CL665" i="1" s="1"/>
  <c r="CL666" i="1" s="1"/>
  <c r="CN662" i="1" l="1"/>
  <c r="CM664" i="1"/>
  <c r="CM665" i="1" s="1"/>
  <c r="CM666" i="1" s="1"/>
  <c r="CO662" i="1" l="1"/>
  <c r="CN664" i="1"/>
  <c r="CN665" i="1" s="1"/>
  <c r="CN666" i="1" s="1"/>
  <c r="CP662" i="1" l="1"/>
  <c r="CO664" i="1"/>
  <c r="CO665" i="1" s="1"/>
  <c r="CO666" i="1" s="1"/>
  <c r="CQ662" i="1" l="1"/>
  <c r="CP664" i="1"/>
  <c r="CP665" i="1" s="1"/>
  <c r="CP666" i="1" s="1"/>
  <c r="CR662" i="1" l="1"/>
  <c r="CQ664" i="1"/>
  <c r="CQ665" i="1" s="1"/>
  <c r="CQ666" i="1" s="1"/>
  <c r="CS662" i="1" l="1"/>
  <c r="CR664" i="1"/>
  <c r="CR665" i="1" s="1"/>
  <c r="CR666" i="1" s="1"/>
  <c r="CT662" i="1" l="1"/>
  <c r="CS664" i="1"/>
  <c r="CS665" i="1" s="1"/>
  <c r="CS666" i="1" s="1"/>
  <c r="CU662" i="1" l="1"/>
  <c r="CT664" i="1"/>
  <c r="CT665" i="1" s="1"/>
  <c r="CT666" i="1" s="1"/>
  <c r="CV662" i="1" l="1"/>
  <c r="CU664" i="1"/>
  <c r="CU665" i="1" s="1"/>
  <c r="CU666" i="1" s="1"/>
  <c r="CW662" i="1" l="1"/>
  <c r="CV664" i="1"/>
  <c r="CV665" i="1" s="1"/>
  <c r="CV666" i="1" s="1"/>
  <c r="CX662" i="1" l="1"/>
  <c r="CX664" i="1" s="1"/>
  <c r="CX665" i="1" s="1"/>
  <c r="CX666" i="1" s="1"/>
  <c r="CW664" i="1"/>
  <c r="CW665" i="1" s="1"/>
  <c r="CW666" i="1" s="1"/>
  <c r="C667" i="1" l="1"/>
  <c r="D669" i="1" s="1"/>
  <c r="D517" i="1"/>
  <c r="D521" i="1" s="1"/>
</calcChain>
</file>

<file path=xl/sharedStrings.xml><?xml version="1.0" encoding="utf-8"?>
<sst xmlns="http://schemas.openxmlformats.org/spreadsheetml/2006/main" count="1706" uniqueCount="1082">
  <si>
    <t>N stages required</t>
  </si>
  <si>
    <t>Maximum steady state output current</t>
  </si>
  <si>
    <t>Maximum diode current pulse</t>
  </si>
  <si>
    <t>Maximum diode current pulse with safety factor</t>
  </si>
  <si>
    <t>Safety factor</t>
  </si>
  <si>
    <t>Capacitance per stage</t>
  </si>
  <si>
    <t>Energy stored in single fully charged capacitor</t>
  </si>
  <si>
    <t>Diode steady state forward voltage</t>
  </si>
  <si>
    <t>Approximate forward voltage drop during sudden discharge (overestimate)</t>
  </si>
  <si>
    <t>Maximum sudden short circuit current through each side</t>
  </si>
  <si>
    <t>Energy into diode during sudden discharge (gross overestimate assuming all energy from capacitors)</t>
  </si>
  <si>
    <t>Maximum total diode steady state power loss</t>
  </si>
  <si>
    <t>Maximum diode steady state power loss (assuming conducting all the time)</t>
  </si>
  <si>
    <t>Maximum discharged capacitor voltage</t>
  </si>
  <si>
    <t>Maximum resistance required for desired discharge time or less</t>
  </si>
  <si>
    <t>Total power loss through discharge resistors</t>
  </si>
  <si>
    <t>Actual distcharge resistance</t>
  </si>
  <si>
    <t>Maximum voltage per stage</t>
  </si>
  <si>
    <t>Total steady state power losses</t>
  </si>
  <si>
    <t>Units</t>
  </si>
  <si>
    <t>A</t>
  </si>
  <si>
    <t>V</t>
  </si>
  <si>
    <t>W</t>
  </si>
  <si>
    <t>F</t>
  </si>
  <si>
    <t>Ω</t>
  </si>
  <si>
    <t>J</t>
  </si>
  <si>
    <t>Maximum full mltiplier voltage after discharge</t>
  </si>
  <si>
    <t>Maximum energy into each resistor from sudden short circuit (ignoring diode voltage drop)</t>
  </si>
  <si>
    <t>Diode power losses</t>
  </si>
  <si>
    <t>Maximum allowed capacitor discharge time</t>
  </si>
  <si>
    <t>Capacitor discharge resistor</t>
  </si>
  <si>
    <t>Possible component</t>
  </si>
  <si>
    <t>Actual discharge time</t>
  </si>
  <si>
    <t>https://www.mouser.co.uk/datasheet/2/281/MHR0422SA_series_data_sheet-1594297.pdf</t>
  </si>
  <si>
    <t>This certainly seems to be the best part. Use two in series</t>
  </si>
  <si>
    <t>Peak current DCM</t>
  </si>
  <si>
    <t>Efficiency</t>
  </si>
  <si>
    <t>V_in_min</t>
  </si>
  <si>
    <t>V_in_max</t>
  </si>
  <si>
    <t>D_max</t>
  </si>
  <si>
    <t>I_p_peak</t>
  </si>
  <si>
    <t>Maximum duty cycle</t>
  </si>
  <si>
    <t>Maximum voltage to drive primary of transformer</t>
  </si>
  <si>
    <t>Minimum voltage to drive primary of transformer</t>
  </si>
  <si>
    <t>L_p</t>
  </si>
  <si>
    <t>Primary inductance required</t>
  </si>
  <si>
    <t>Switching frequency</t>
  </si>
  <si>
    <t>f_sw</t>
  </si>
  <si>
    <t>n</t>
  </si>
  <si>
    <t>A_l</t>
  </si>
  <si>
    <t>nano henries per turn squared</t>
  </si>
  <si>
    <t>N_p</t>
  </si>
  <si>
    <t>Number of primary turns required</t>
  </si>
  <si>
    <t>B_max</t>
  </si>
  <si>
    <t>Maximum flux density</t>
  </si>
  <si>
    <t>A_e</t>
  </si>
  <si>
    <t>B_sat</t>
  </si>
  <si>
    <t>Saturation flux density</t>
  </si>
  <si>
    <t>Will saturate</t>
  </si>
  <si>
    <t>V_out_min</t>
  </si>
  <si>
    <t>V_out_d_max</t>
  </si>
  <si>
    <t>Output voltage desired at maximum duty cycle</t>
  </si>
  <si>
    <t>I_s_peak</t>
  </si>
  <si>
    <t>Peak secondary current safe for diodes</t>
  </si>
  <si>
    <t>I_o</t>
  </si>
  <si>
    <t>Value</t>
  </si>
  <si>
    <t>Enough stages</t>
  </si>
  <si>
    <t>Diode output current with safety factor</t>
  </si>
  <si>
    <t>Hz</t>
  </si>
  <si>
    <t>Minimum desired output voltage at full power</t>
  </si>
  <si>
    <t>Maximum desired output voltage at full power</t>
  </si>
  <si>
    <t>V_out_max</t>
  </si>
  <si>
    <t>Maximum power output desired</t>
  </si>
  <si>
    <t>Iopmax</t>
  </si>
  <si>
    <t>maximum output current</t>
  </si>
  <si>
    <t>Rout</t>
  </si>
  <si>
    <t xml:space="preserve">output resistance required </t>
  </si>
  <si>
    <t>I_vomaxpmax</t>
  </si>
  <si>
    <t>continuous output current for desired output power at maximum voltage</t>
  </si>
  <si>
    <t>I_vominpmax</t>
  </si>
  <si>
    <t>continuous output current for desired output power at minimum voltage</t>
  </si>
  <si>
    <t>voltage drop at max output voltage</t>
  </si>
  <si>
    <t>voltage drop at minimum output voltage</t>
  </si>
  <si>
    <t>resistor power at max output voltage</t>
  </si>
  <si>
    <t>resistor power at minimum output voltage</t>
  </si>
  <si>
    <t>capacitor energy change per cycle</t>
  </si>
  <si>
    <t>capacitor discharge to per cycle</t>
  </si>
  <si>
    <t>lower voltage per cycle</t>
  </si>
  <si>
    <t>Voltage ripple</t>
  </si>
  <si>
    <t>Y5T tanδ best case</t>
  </si>
  <si>
    <t>Y5T tanδ worst case</t>
  </si>
  <si>
    <t>N4700 best case</t>
  </si>
  <si>
    <t>N4700 worst case</t>
  </si>
  <si>
    <t>Y6P best case</t>
  </si>
  <si>
    <t>Y6P worst case</t>
  </si>
  <si>
    <t>Y5P best case</t>
  </si>
  <si>
    <t>I_FSM</t>
  </si>
  <si>
    <t>Diode Average output current</t>
  </si>
  <si>
    <t>Villard Diode</t>
  </si>
  <si>
    <t>N Stages Actual</t>
  </si>
  <si>
    <t>N_v</t>
  </si>
  <si>
    <t>N_v_r</t>
  </si>
  <si>
    <t>Power wasted per stage while running from discharge resistor</t>
  </si>
  <si>
    <t>Discharges quickly enough</t>
  </si>
  <si>
    <t>Villard capacitor</t>
  </si>
  <si>
    <t>Y5T worst case power loss per capacitor</t>
  </si>
  <si>
    <t>N4700 worst case loss per capacitor</t>
  </si>
  <si>
    <t>Y6P worst case power loss per capacitor</t>
  </si>
  <si>
    <t>Y5P worst case</t>
  </si>
  <si>
    <t>Y5P worst case power loss per capacitor</t>
  </si>
  <si>
    <t>Y5T worst case power loss total</t>
  </si>
  <si>
    <t>N4700 worst case loss total</t>
  </si>
  <si>
    <t>Y6P worst case power loss total</t>
  </si>
  <si>
    <t>Y5P worst case power loss total</t>
  </si>
  <si>
    <t>V_c_rms</t>
  </si>
  <si>
    <t>Capacitor RMS voltage ripple</t>
  </si>
  <si>
    <t>Capacitor reactive power</t>
  </si>
  <si>
    <t xml:space="preserve">P_c_rms </t>
  </si>
  <si>
    <t>dV_c</t>
  </si>
  <si>
    <t>E_c_max</t>
  </si>
  <si>
    <t>Minimum total series resistance required</t>
  </si>
  <si>
    <t>Actual individual series resistor value</t>
  </si>
  <si>
    <t>N series resistors</t>
  </si>
  <si>
    <t>Description</t>
  </si>
  <si>
    <t>Variable</t>
  </si>
  <si>
    <t>Subsystem/Component</t>
  </si>
  <si>
    <t>Output current limiting composite series resistor</t>
  </si>
  <si>
    <t>Actual series resistance</t>
  </si>
  <si>
    <t>Minimum steady state output current at maximum voltage</t>
  </si>
  <si>
    <t>Total energy stored in all fully charged capacitors at maximum voltage</t>
  </si>
  <si>
    <t>Tolerance</t>
  </si>
  <si>
    <t>Inches to mm</t>
  </si>
  <si>
    <t>L</t>
  </si>
  <si>
    <t>mm</t>
  </si>
  <si>
    <t>L_max</t>
  </si>
  <si>
    <t>d</t>
  </si>
  <si>
    <t>d_max</t>
  </si>
  <si>
    <t>D</t>
  </si>
  <si>
    <t>Space between case and pcb</t>
  </si>
  <si>
    <t>Bend radius</t>
  </si>
  <si>
    <t>Pad spacing distance</t>
  </si>
  <si>
    <t>Minimum hole size</t>
  </si>
  <si>
    <t>Maximum hole size</t>
  </si>
  <si>
    <t>Pad Size Smallest Pad (Standard)</t>
  </si>
  <si>
    <t>More Reliable Pad (Recommended)</t>
  </si>
  <si>
    <t>Extra Strong (Power Applications)</t>
  </si>
  <si>
    <t>Actual hole size using</t>
  </si>
  <si>
    <t>Actual pad size using</t>
  </si>
  <si>
    <t>T_max</t>
  </si>
  <si>
    <t>AXCT81D20KV102K</t>
  </si>
  <si>
    <t>F_max</t>
  </si>
  <si>
    <t>Silkscreen clearance</t>
  </si>
  <si>
    <t>Silkscreen ractangle Width</t>
  </si>
  <si>
    <t>Siklscreen rectangle Height</t>
  </si>
  <si>
    <t>H</t>
  </si>
  <si>
    <t>H_max</t>
  </si>
  <si>
    <t>P</t>
  </si>
  <si>
    <t>P_max</t>
  </si>
  <si>
    <t>Pad spacing</t>
  </si>
  <si>
    <t>Space between pads</t>
  </si>
  <si>
    <t>HVR82MZ1005</t>
  </si>
  <si>
    <t>PCB Footprint Calculations</t>
  </si>
  <si>
    <t>%</t>
  </si>
  <si>
    <t>Maximum series resistance</t>
  </si>
  <si>
    <t>Minimum series resistance</t>
  </si>
  <si>
    <t>Power per resistor at lowest rated output voltage</t>
  </si>
  <si>
    <t>Maximum possible power loss with maximum flyback secondary current (limited to protect diodes)</t>
  </si>
  <si>
    <t>HVR82MY5010</t>
  </si>
  <si>
    <t>N_s</t>
  </si>
  <si>
    <t>Number of secondary turns required</t>
  </si>
  <si>
    <t>N bobbin segments</t>
  </si>
  <si>
    <t>Turns per bobbin segment</t>
  </si>
  <si>
    <t>Actual length for windings</t>
  </si>
  <si>
    <t>Segment length</t>
  </si>
  <si>
    <t>Wire thickness</t>
  </si>
  <si>
    <t>Winding space tolerance</t>
  </si>
  <si>
    <t>Winding thickness with tolerance</t>
  </si>
  <si>
    <t>N turns along segment length</t>
  </si>
  <si>
    <t>N 2mm dividers required not counting air gap one</t>
  </si>
  <si>
    <t>Bobin length for windings not counting air gap</t>
  </si>
  <si>
    <t>Average turn radius</t>
  </si>
  <si>
    <t>inner bobbin diameter</t>
  </si>
  <si>
    <t>Wire length meters</t>
  </si>
  <si>
    <t>Wire radius meters</t>
  </si>
  <si>
    <t>Wire volume</t>
  </si>
  <si>
    <t>Density of wire</t>
  </si>
  <si>
    <t>kg/m^3</t>
  </si>
  <si>
    <t>Mass of wire required</t>
  </si>
  <si>
    <t>Winding height</t>
  </si>
  <si>
    <t>N windings high</t>
  </si>
  <si>
    <t>132.2 longest dimension both cores</t>
  </si>
  <si>
    <t>~ 84.1 internal both sides together longest dimension for bobin lengths</t>
  </si>
  <si>
    <t>Average turn radius primary</t>
  </si>
  <si>
    <t>Wire conductive core thickness</t>
  </si>
  <si>
    <t>Resistance</t>
  </si>
  <si>
    <t>Resistivity</t>
  </si>
  <si>
    <t>Power loss</t>
  </si>
  <si>
    <t>Primary wire connections total length</t>
  </si>
  <si>
    <t>Primary winding wire length meters</t>
  </si>
  <si>
    <t>mm (included skin effect from 2mm, take this out put in proper equations)</t>
  </si>
  <si>
    <t>skin depth</t>
  </si>
  <si>
    <t>skin depth mm</t>
  </si>
  <si>
    <t>wire cross sectional area</t>
  </si>
  <si>
    <t>Wire conductive radius</t>
  </si>
  <si>
    <t>non conducting area due to skin effect</t>
  </si>
  <si>
    <t>conducting cross sectional area</t>
  </si>
  <si>
    <t>m</t>
  </si>
  <si>
    <t>m^2</t>
  </si>
  <si>
    <t>Total length</t>
  </si>
  <si>
    <t>Total surface area windng excluding ends</t>
  </si>
  <si>
    <t>Resistance winding</t>
  </si>
  <si>
    <t>Resistance connection wire length</t>
  </si>
  <si>
    <t>Total resistance</t>
  </si>
  <si>
    <t>Power loss connecton wire</t>
  </si>
  <si>
    <t>Total Power loss</t>
  </si>
  <si>
    <t>Heat flux winding</t>
  </si>
  <si>
    <t>Wire cross sectonal area</t>
  </si>
  <si>
    <t>watts</t>
  </si>
  <si>
    <t xml:space="preserve">Turns per segment. </t>
  </si>
  <si>
    <t>Vsn</t>
  </si>
  <si>
    <t>t_s</t>
  </si>
  <si>
    <t>t_s valid</t>
  </si>
  <si>
    <t>Leakage inductance seen from primary</t>
  </si>
  <si>
    <t>desired_dV_sn</t>
  </si>
  <si>
    <t>R_sn_actual</t>
  </si>
  <si>
    <t>C_sn_desired</t>
  </si>
  <si>
    <t>R_sn_desired</t>
  </si>
  <si>
    <t>C_sn_actual</t>
  </si>
  <si>
    <t>Clamp voltage</t>
  </si>
  <si>
    <t>V_reflected</t>
  </si>
  <si>
    <t>n_p/n_s turns ratio</t>
  </si>
  <si>
    <t>I_peak</t>
  </si>
  <si>
    <t>L_lk1</t>
  </si>
  <si>
    <t>P_sn_nominal</t>
  </si>
  <si>
    <t>P_sn_rated</t>
  </si>
  <si>
    <t>Power resistor must be rated for</t>
  </si>
  <si>
    <t>Acceptable voltage ripple across C in volts</t>
  </si>
  <si>
    <t>Actual voltage ripple</t>
  </si>
  <si>
    <t>Maximum feedback voltage</t>
  </si>
  <si>
    <t>Safe maximum voltage from MOSFET</t>
  </si>
  <si>
    <t>Snubber voltage feedback divider ratio</t>
  </si>
  <si>
    <t>Clamp zener diode leakage current</t>
  </si>
  <si>
    <t>Total power at maximum voltage</t>
  </si>
  <si>
    <t>R_snfb_H</t>
  </si>
  <si>
    <t>R_snfb_L</t>
  </si>
  <si>
    <t>R_snfb_total</t>
  </si>
  <si>
    <t>I_snfb_ max</t>
  </si>
  <si>
    <t>P_snfb_H</t>
  </si>
  <si>
    <t>P_snfb_L</t>
  </si>
  <si>
    <t>P_snfb_total</t>
  </si>
  <si>
    <t>V_snfb_min</t>
  </si>
  <si>
    <t>Esp32 adc n values</t>
  </si>
  <si>
    <t>Input voltage resolution</t>
  </si>
  <si>
    <t>Snubber feedback resolution</t>
  </si>
  <si>
    <t>Current at lowest feedback voltage</t>
  </si>
  <si>
    <t>V_tap at lowest input voltage</t>
  </si>
  <si>
    <t>V_tap at lowest input voltage with no zener diode</t>
  </si>
  <si>
    <t>proportion drift at lowest input voltage</t>
  </si>
  <si>
    <t>V_tap at minimum drive voltage</t>
  </si>
  <si>
    <t>V_tap at minimum drive voltage no tap</t>
  </si>
  <si>
    <t>proportion drift at minimum drive voltage</t>
  </si>
  <si>
    <t>as proportion of adc step</t>
  </si>
  <si>
    <t>Chosen zener diode</t>
  </si>
  <si>
    <t>1N4619</t>
  </si>
  <si>
    <t>Req</t>
  </si>
  <si>
    <t>Maximum capacitance adc pin</t>
  </si>
  <si>
    <t>Rzen_max</t>
  </si>
  <si>
    <t>R_snfb_L_suggested</t>
  </si>
  <si>
    <t>Bulk Capacitor (Electrolytic): Low-Frequency Energy Storage minimum capacitance</t>
  </si>
  <si>
    <t>Acceptible input voltage ripple</t>
  </si>
  <si>
    <t>∆V_in</t>
  </si>
  <si>
    <t>I_in</t>
  </si>
  <si>
    <t>Bulk Capacitor energy at Vin_max</t>
  </si>
  <si>
    <t>R_sfb_i</t>
  </si>
  <si>
    <t>R_sfb_i_required</t>
  </si>
  <si>
    <t>Multiple V_in_max should tollerate</t>
  </si>
  <si>
    <t>Maximum input voltage for range</t>
  </si>
  <si>
    <t>C_sn_n</t>
  </si>
  <si>
    <t>N paralle capacitors</t>
  </si>
  <si>
    <t>Proportion inductance is leakage</t>
  </si>
  <si>
    <t>I_sn_leak</t>
  </si>
  <si>
    <t>I_sn_rated_min</t>
  </si>
  <si>
    <t>I_sn_individual_rated_min</t>
  </si>
  <si>
    <t>I_sn_fsm_requried</t>
  </si>
  <si>
    <t>E_leak</t>
  </si>
  <si>
    <t>Q</t>
  </si>
  <si>
    <t>I_f(av)</t>
  </si>
  <si>
    <t>P_on</t>
  </si>
  <si>
    <t>R_DS(on)</t>
  </si>
  <si>
    <t>Continuous Drain Current</t>
  </si>
  <si>
    <t>I_d_required</t>
  </si>
  <si>
    <t>V_ds_required</t>
  </si>
  <si>
    <t>Q_gs</t>
  </si>
  <si>
    <t>Q_gd</t>
  </si>
  <si>
    <t>Q_g</t>
  </si>
  <si>
    <t>Total gate charge</t>
  </si>
  <si>
    <t>I_g</t>
  </si>
  <si>
    <t>switching time</t>
  </si>
  <si>
    <t>V_drive</t>
  </si>
  <si>
    <t>R_drive</t>
  </si>
  <si>
    <t>Maximum drive current</t>
  </si>
  <si>
    <t>Maximum drive current allowed</t>
  </si>
  <si>
    <t>Maximum drive current rating of gate driver</t>
  </si>
  <si>
    <t>Maximum drive current can safely use</t>
  </si>
  <si>
    <t>t_s_on</t>
  </si>
  <si>
    <t>t_s_off</t>
  </si>
  <si>
    <t>Time to switch off</t>
  </si>
  <si>
    <t>Tiome to switch on</t>
  </si>
  <si>
    <t>V_ds_actual</t>
  </si>
  <si>
    <t>V_DS</t>
  </si>
  <si>
    <t>Vgs which Q_g is for</t>
  </si>
  <si>
    <t>R_pulldown</t>
  </si>
  <si>
    <t>t_off_pulldown</t>
  </si>
  <si>
    <t>Passive off time without gate driver from pulldown resistor. For example on loss of power</t>
  </si>
  <si>
    <t>V_gs(th)</t>
  </si>
  <si>
    <t>I_DM</t>
  </si>
  <si>
    <t>Maximum pulsed drain current</t>
  </si>
  <si>
    <t>I_D25</t>
  </si>
  <si>
    <t>Pulldown great (less or equal to I_D25)</t>
  </si>
  <si>
    <t>Pulldown acceptible (less or equal to I_DM)</t>
  </si>
  <si>
    <t>P_Rpd</t>
  </si>
  <si>
    <t>Pulldown resistor power</t>
  </si>
  <si>
    <t>P_TOTAL</t>
  </si>
  <si>
    <t>s</t>
  </si>
  <si>
    <t>C</t>
  </si>
  <si>
    <t>V_ds high enough</t>
  </si>
  <si>
    <t>Max current reached in passive gate-off scenario (at peak current)</t>
  </si>
  <si>
    <t>P_gate</t>
  </si>
  <si>
    <t>Power for switching (power required to drive gate on and off)</t>
  </si>
  <si>
    <t>τ_sfb_cadc</t>
  </si>
  <si>
    <t>Primary Current Feedback</t>
  </si>
  <si>
    <t>R_pcfb_sense</t>
  </si>
  <si>
    <t>Sense resistance</t>
  </si>
  <si>
    <t>V_pcfb_sense</t>
  </si>
  <si>
    <t>Multiple of peak current desired for top of range</t>
  </si>
  <si>
    <t>Voltage across sense resistor at peak primary current</t>
  </si>
  <si>
    <t>Peak current should be designed  for</t>
  </si>
  <si>
    <t>Resistor power at maximum current rated for</t>
  </si>
  <si>
    <t>P_pcfb_sense_max</t>
  </si>
  <si>
    <t>V_R_pcfb_sense_peak</t>
  </si>
  <si>
    <t>V_R_pcfb_sense_max</t>
  </si>
  <si>
    <t>Voltage across sense resistor at peak max current</t>
  </si>
  <si>
    <t>ADC input voltage desired at maximum current</t>
  </si>
  <si>
    <t>R_pcfb_f</t>
  </si>
  <si>
    <t>R_pcfb_i</t>
  </si>
  <si>
    <t>R_pcfb_i_required</t>
  </si>
  <si>
    <t>Operational amplifier Input offset voltage</t>
  </si>
  <si>
    <t>V_os</t>
  </si>
  <si>
    <t>I_b</t>
  </si>
  <si>
    <t>Operational amplifier input bias current</t>
  </si>
  <si>
    <t>Gain Bandwidth Product (GBWP)</t>
  </si>
  <si>
    <t>GBWP</t>
  </si>
  <si>
    <t>SR</t>
  </si>
  <si>
    <t>Slew Rate</t>
  </si>
  <si>
    <t>SR_normalized</t>
  </si>
  <si>
    <t>Slew Rate Normalized</t>
  </si>
  <si>
    <t>V/s</t>
  </si>
  <si>
    <t>mV/us</t>
  </si>
  <si>
    <t>CMRR</t>
  </si>
  <si>
    <t>Common Mode Input Range</t>
  </si>
  <si>
    <t>dB</t>
  </si>
  <si>
    <t>Gain required</t>
  </si>
  <si>
    <t>Actual value</t>
  </si>
  <si>
    <t>Actual gain</t>
  </si>
  <si>
    <t>R_pcfb_f/R_pcfb_i required</t>
  </si>
  <si>
    <t>Minimum measureable current from input offset voltage</t>
  </si>
  <si>
    <t>I_pcfb_sense_min</t>
  </si>
  <si>
    <t>BW</t>
  </si>
  <si>
    <t>Gain acceptible</t>
  </si>
  <si>
    <t>GBWP Acceptible (BW&gt;=f_sw)</t>
  </si>
  <si>
    <t>Minimum slew rate required</t>
  </si>
  <si>
    <t>Slew rate high enough</t>
  </si>
  <si>
    <t>Minimum GBWP required</t>
  </si>
  <si>
    <t>Operational amplifier</t>
  </si>
  <si>
    <t>Operational amplifier part</t>
  </si>
  <si>
    <t>MCP6021-E/P</t>
  </si>
  <si>
    <t>A_v_required</t>
  </si>
  <si>
    <t>Gain_db_required</t>
  </si>
  <si>
    <t>A_v</t>
  </si>
  <si>
    <t>Gain_db</t>
  </si>
  <si>
    <t>CMRR acceptible (larger than Gain_db)</t>
  </si>
  <si>
    <t>Minimum measurable current required</t>
  </si>
  <si>
    <t>Input offset voltage acceptible</t>
  </si>
  <si>
    <t>P_pcfb_sense_peak</t>
  </si>
  <si>
    <t>Resistor power under normal conditions reaching peak primary current</t>
  </si>
  <si>
    <t>R_eq-</t>
  </si>
  <si>
    <t>R_eq+</t>
  </si>
  <si>
    <r>
      <t>Differential input-referred voltage offset</t>
    </r>
    <r>
      <rPr>
        <sz val="11"/>
        <color theme="1"/>
        <rFont val="Calibri"/>
        <family val="2"/>
        <scheme val="minor"/>
      </rPr>
      <t xml:space="preserve"> due to bias currents.</t>
    </r>
  </si>
  <si>
    <t>V_os_input</t>
  </si>
  <si>
    <t>V_os_amp</t>
  </si>
  <si>
    <t>Input Offset Voltage</t>
  </si>
  <si>
    <t>V_os_total</t>
  </si>
  <si>
    <t>A_v_max</t>
  </si>
  <si>
    <t>Maximum gain for resistor tollerances</t>
  </si>
  <si>
    <t>R_pcfb_f and R_pcfb_i tolerance</t>
  </si>
  <si>
    <t>R_pcfb_f_max</t>
  </si>
  <si>
    <t>R_pcfb_f_min</t>
  </si>
  <si>
    <t>R_pcfb_i_max</t>
  </si>
  <si>
    <t>R_pcfb_i_min</t>
  </si>
  <si>
    <t>A_v_min</t>
  </si>
  <si>
    <t>Maximum proportion variation in A_v</t>
  </si>
  <si>
    <t>Maximum % variation in A_v</t>
  </si>
  <si>
    <t>V_nominal</t>
  </si>
  <si>
    <t>Voltage on ADC input for 1A input</t>
  </si>
  <si>
    <t>V_gain_error</t>
  </si>
  <si>
    <t>V_error_total_1A</t>
  </si>
  <si>
    <t>V_error_total_I_peak</t>
  </si>
  <si>
    <t>V_error_total_I_max</t>
  </si>
  <si>
    <t>V_adc to current multiplier</t>
  </si>
  <si>
    <t>I_error_total_1A</t>
  </si>
  <si>
    <t>I_error_total_I_peak</t>
  </si>
  <si>
    <t>I_error_total_I_max</t>
  </si>
  <si>
    <t>Q_c</t>
  </si>
  <si>
    <t>Charge per cycle</t>
  </si>
  <si>
    <t>Peak primary current at end of t_on</t>
  </si>
  <si>
    <t>Duty cycle at peak primary current</t>
  </si>
  <si>
    <t>ΔV_max</t>
  </si>
  <si>
    <t>Scaling factor for burst handling and ripple smoothing</t>
  </si>
  <si>
    <t>f_c</t>
  </si>
  <si>
    <t>cutoff frequency for good attenuation</t>
  </si>
  <si>
    <t>L_lp</t>
  </si>
  <si>
    <t>C_lp_tank_desired</t>
  </si>
  <si>
    <t>C_lp_tank_min</t>
  </si>
  <si>
    <t>L_lp_min</t>
  </si>
  <si>
    <t>Minimum desired low-pass filter inductance</t>
  </si>
  <si>
    <t>f_c_desired</t>
  </si>
  <si>
    <t>Actual cutoff frequency</t>
  </si>
  <si>
    <t>C_lp</t>
  </si>
  <si>
    <t>Actual tank capacitance</t>
  </si>
  <si>
    <t>Attenuation(dB)</t>
  </si>
  <si>
    <t>E_C_lp_max</t>
  </si>
  <si>
    <t>Power Conditioning</t>
  </si>
  <si>
    <t>R_ir</t>
  </si>
  <si>
    <t>Inrush current limiting resistance</t>
  </si>
  <si>
    <t>Minimum power rating for inrush current limiting resistor</t>
  </si>
  <si>
    <t>s1</t>
  </si>
  <si>
    <t>s2</t>
  </si>
  <si>
    <t>t_peak</t>
  </si>
  <si>
    <t>P_R_ir_max</t>
  </si>
  <si>
    <t>Circuit is underdamped</t>
  </si>
  <si>
    <t>Underdamped</t>
  </si>
  <si>
    <t>α</t>
  </si>
  <si>
    <t>ω0</t>
  </si>
  <si>
    <t>ωd​</t>
  </si>
  <si>
    <t>Percent overshoot</t>
  </si>
  <si>
    <t>t_99%</t>
  </si>
  <si>
    <t>V_c_rating_min</t>
  </si>
  <si>
    <t>Minimum voltage rating of capacitor(s)</t>
  </si>
  <si>
    <t>C_lp_individual</t>
  </si>
  <si>
    <t>N_C_lp</t>
  </si>
  <si>
    <t>C_lp tolerance</t>
  </si>
  <si>
    <t>C_lp_min</t>
  </si>
  <si>
    <t>ESR_C_lp_individual</t>
  </si>
  <si>
    <t>ESR of individual capacitor</t>
  </si>
  <si>
    <t>ESR_C_lp_total</t>
  </si>
  <si>
    <t>P_C_lp_loss</t>
  </si>
  <si>
    <t>P_C_lp_loss_individual</t>
  </si>
  <si>
    <t>Actual low-pass filter  inductance</t>
  </si>
  <si>
    <t>I_avg_max</t>
  </si>
  <si>
    <t>I_L_lp_min</t>
  </si>
  <si>
    <t>Relay coil resistance</t>
  </si>
  <si>
    <t>Relay coil resistance tolerance</t>
  </si>
  <si>
    <t>R_re_coil_min</t>
  </si>
  <si>
    <t>R_re_coil</t>
  </si>
  <si>
    <t>R_re_coil_max</t>
  </si>
  <si>
    <t>V_re_nom</t>
  </si>
  <si>
    <t>I_re_nom</t>
  </si>
  <si>
    <t>Relay R,V and I nominal match up</t>
  </si>
  <si>
    <t>V_re_max</t>
  </si>
  <si>
    <t>Maximum relay voltage</t>
  </si>
  <si>
    <t>V_re_min</t>
  </si>
  <si>
    <t>Minimum relay voltage</t>
  </si>
  <si>
    <t>I_re_min_required</t>
  </si>
  <si>
    <t>I_re_max_required</t>
  </si>
  <si>
    <t>V_in_nom</t>
  </si>
  <si>
    <t>Nominal input voltage</t>
  </si>
  <si>
    <t>Typical current using suggested resistor value with nominal input voltage</t>
  </si>
  <si>
    <t>Minimum current (with minimum input voltage and  R_re_coil_max)</t>
  </si>
  <si>
    <t>Maximum current (with maximum input voltage and  R_re_coil_min)</t>
  </si>
  <si>
    <t>R_re_ext</t>
  </si>
  <si>
    <t>Suitable R_ext value</t>
  </si>
  <si>
    <t>P_R_re_ext_max</t>
  </si>
  <si>
    <t>P_R_re_ext_min</t>
  </si>
  <si>
    <t>R_re_ext tolerance</t>
  </si>
  <si>
    <t>R_re_ext_min</t>
  </si>
  <si>
    <t>R_re_ext_max</t>
  </si>
  <si>
    <t>P_R_re_EXT_nom</t>
  </si>
  <si>
    <t>ΔV_ESR</t>
  </si>
  <si>
    <t>ΔV_C</t>
  </si>
  <si>
    <t>ΔV_total</t>
  </si>
  <si>
    <t>R_ESR_individual</t>
  </si>
  <si>
    <t>R_ESR_actual</t>
  </si>
  <si>
    <t>P_C_sn_total</t>
  </si>
  <si>
    <t>P_C_sn_individual</t>
  </si>
  <si>
    <t>ΔV_sn_actual_total</t>
  </si>
  <si>
    <t>ΔV_sn_C</t>
  </si>
  <si>
    <t>ΔV_sn_ESR</t>
  </si>
  <si>
    <t>https://www.mouser.co.uk/ProductDetail/KEMET/R75IW5270AA40J?qs=aP1CjGhiNiEaI%2F7WsvzojQ%3D%3D</t>
  </si>
  <si>
    <t>N in parallel</t>
  </si>
  <si>
    <t>https://www.mouser.co.uk/ProductDetail/EPCOS-TDK/B32678G3476K?qs=IQR8xM2KsGh1aOrglafROA%3D%3D</t>
  </si>
  <si>
    <t>https://www.mouser.co.uk/ProductDetail/EPCOS-TDK/B32674D3805K000?qs=mz7Iz7JhaAV5lafkGXiYeg%3D%3D</t>
  </si>
  <si>
    <t>https://www.mouser.co.uk/ProductDetail/EPCOS-TDK/B32676G6126K000?qs=mz7Iz7JhaAVrrHmvpKbQ8A%3D%3D</t>
  </si>
  <si>
    <t>https://www.mouser.co.uk/ProductDetail/EPCOS-TDK/B32674D4605K000?qs=mz7Iz7JhaAUE8TovPOC19w%3D%3D</t>
  </si>
  <si>
    <t>https://www.mouser.co.uk/ProductDetail/EPCOS-TDK/B32674D4565K000?qs=mz7Iz7JhaAVSf1KPVrH8mQ%3D%3D</t>
  </si>
  <si>
    <t>Total ESR</t>
  </si>
  <si>
    <t>Price</t>
  </si>
  <si>
    <t>ESR</t>
  </si>
  <si>
    <t>Total Price</t>
  </si>
  <si>
    <t>Total Capacitance</t>
  </si>
  <si>
    <t>Capacitance</t>
  </si>
  <si>
    <t xml:space="preserve"> </t>
  </si>
  <si>
    <t>k</t>
  </si>
  <si>
    <t>safety factor</t>
  </si>
  <si>
    <t>V_sn_actual</t>
  </si>
  <si>
    <t>C_sn_actual_individual</t>
  </si>
  <si>
    <t>k_actual</t>
  </si>
  <si>
    <t>V_reflected_max</t>
  </si>
  <si>
    <t>RCD Snubber</t>
  </si>
  <si>
    <t>n_s</t>
  </si>
  <si>
    <t>n_r</t>
  </si>
  <si>
    <t>I_max</t>
  </si>
  <si>
    <t>I_min</t>
  </si>
  <si>
    <t>V_g</t>
  </si>
  <si>
    <t>C_2</t>
  </si>
  <si>
    <t>V_max</t>
  </si>
  <si>
    <t>Z_os</t>
  </si>
  <si>
    <t>C_s</t>
  </si>
  <si>
    <t>L_k</t>
  </si>
  <si>
    <t>I_pp</t>
  </si>
  <si>
    <t>V_i</t>
  </si>
  <si>
    <t>Input voltage</t>
  </si>
  <si>
    <t>V_o</t>
  </si>
  <si>
    <t>Output voltage</t>
  </si>
  <si>
    <t>Np/Ns</t>
  </si>
  <si>
    <t>L_s_max</t>
  </si>
  <si>
    <t>Maximum upper limit of L_s</t>
  </si>
  <si>
    <t>L_s_min</t>
  </si>
  <si>
    <t>Minimum L_s</t>
  </si>
  <si>
    <t>I_sw</t>
  </si>
  <si>
    <t>Maximum peak current allowed by the switch</t>
  </si>
  <si>
    <t>L_s</t>
  </si>
  <si>
    <t>L_m</t>
  </si>
  <si>
    <t>Desired max switch drain-source voltage</t>
  </si>
  <si>
    <t>L_s_valid</t>
  </si>
  <si>
    <t>L_s valid</t>
  </si>
  <si>
    <t>Actual chosen L_s</t>
  </si>
  <si>
    <t>Calculated C_s</t>
  </si>
  <si>
    <t>C_s_suggested</t>
  </si>
  <si>
    <t>I_lk_min</t>
  </si>
  <si>
    <t>I_c2_pkR</t>
  </si>
  <si>
    <t>Ids_pk</t>
  </si>
  <si>
    <t>I_c2_pkS</t>
  </si>
  <si>
    <t>L_lk</t>
  </si>
  <si>
    <t>Change Vmax</t>
  </si>
  <si>
    <t>v_ max/V_g</t>
  </si>
  <si>
    <t>Actual C_s</t>
  </si>
  <si>
    <t>Design based on</t>
  </si>
  <si>
    <t>C:\repos\snippets\CircuitAnalysis\VoltageMultiplier\Sources\Snubber\07948040.pdf</t>
  </si>
  <si>
    <t>E_pulse_max_desired</t>
  </si>
  <si>
    <t>Desired energy into flyback on each cycle with D=D_max</t>
  </si>
  <si>
    <t>n_s_over_p</t>
  </si>
  <si>
    <t>n_p_over_s</t>
  </si>
  <si>
    <t>n_p/n_s</t>
  </si>
  <si>
    <t>n_s/n_p</t>
  </si>
  <si>
    <t>Power Supply Voltage Feedback</t>
  </si>
  <si>
    <t>P_ESR</t>
  </si>
  <si>
    <t>R_C_ESR</t>
  </si>
  <si>
    <t>Conservative estimate</t>
  </si>
  <si>
    <t>https://www.mouser.co.uk/ProductDetail/KEMET/R75RR322050L4J?qs=zW32dvEIR3sfSLCevL5nlQ%3D%3D</t>
  </si>
  <si>
    <t>So only way to get more power out is to increase input voltage or increase peak current, but this is limited by the villard diodes.</t>
  </si>
  <si>
    <t>So what this means is the natural frequency the system operates at with limited peak primary current and discharging to 0 before next cycle. Is that the frequency increases in proportion to the drive voltage being placed across the flyback transformer.</t>
  </si>
  <si>
    <t>ω_r</t>
  </si>
  <si>
    <t>L_eq</t>
  </si>
  <si>
    <t>V_C,max</t>
  </si>
  <si>
    <t>I_D_s1,max</t>
  </si>
  <si>
    <t>I_D_s2,max</t>
  </si>
  <si>
    <t>V_D_s1,max</t>
  </si>
  <si>
    <t>V_D_s2,max</t>
  </si>
  <si>
    <t>I_Ds1,rating_min</t>
  </si>
  <si>
    <t>V_C,rating_min</t>
  </si>
  <si>
    <t>I_Ls,rating_min</t>
  </si>
  <si>
    <t>V_Ds2,rating_min</t>
  </si>
  <si>
    <t>V_Ds1,rating_min</t>
  </si>
  <si>
    <t>ΔV</t>
  </si>
  <si>
    <t>Maximum ripple across polypropylene capacitor allowed</t>
  </si>
  <si>
    <t>C_snp_required</t>
  </si>
  <si>
    <t>Snubber polypropylene capacitance required</t>
  </si>
  <si>
    <t>Regenerative Snubber Voltage Feedback</t>
  </si>
  <si>
    <t>RCD Snubber Voltage Feedback</t>
  </si>
  <si>
    <t>R_sfb_H</t>
  </si>
  <si>
    <t>R_sfb_L</t>
  </si>
  <si>
    <t>R_sfb_total</t>
  </si>
  <si>
    <t>V_drive_max</t>
  </si>
  <si>
    <t>P_R_sfb_H,max</t>
  </si>
  <si>
    <t>P_R_sfb_L,max</t>
  </si>
  <si>
    <t>I_sfb_max</t>
  </si>
  <si>
    <t>P_sfb</t>
  </si>
  <si>
    <t>Maximum divided voltage for maximum drive voltage</t>
  </si>
  <si>
    <t>Divide ratio required</t>
  </si>
  <si>
    <t>Actual divide ratio</t>
  </si>
  <si>
    <t>Divide ratio valid</t>
  </si>
  <si>
    <t>P_Ds1</t>
  </si>
  <si>
    <t>P_Ds2</t>
  </si>
  <si>
    <t>V_d_s1,forward</t>
  </si>
  <si>
    <t>V_d_s2,forward</t>
  </si>
  <si>
    <t>OVER ESTIMATE</t>
  </si>
  <si>
    <t>Inductor energy</t>
  </si>
  <si>
    <t>I_in_typical</t>
  </si>
  <si>
    <t>V_in_typical</t>
  </si>
  <si>
    <t>Capacitor voltage change from nominal for inductor energy</t>
  </si>
  <si>
    <t>PCB Track Thickness  IPC-2221</t>
  </si>
  <si>
    <t>Current (I)</t>
  </si>
  <si>
    <t>Thickness oz/ft</t>
  </si>
  <si>
    <t>T_rise</t>
  </si>
  <si>
    <t>Track</t>
  </si>
  <si>
    <t>Inputs from batteries</t>
  </si>
  <si>
    <t>Connection to both external 3A max PSU's</t>
  </si>
  <si>
    <t>To fiber optics</t>
  </si>
  <si>
    <t>22 amp peak circuit</t>
  </si>
  <si>
    <t>Length of track</t>
  </si>
  <si>
    <t>Actual Width Chosen</t>
  </si>
  <si>
    <t>External Layer Width Required (mm)</t>
  </si>
  <si>
    <t>Internal Layer Width Required (mm)</t>
  </si>
  <si>
    <t>Power</t>
  </si>
  <si>
    <t>Actual Expected Trise Internal</t>
  </si>
  <si>
    <t>Actual Expected Trise External</t>
  </si>
  <si>
    <t>Voltage Drop</t>
  </si>
  <si>
    <t>Mineral oil volume</t>
  </si>
  <si>
    <t>m^3</t>
  </si>
  <si>
    <t>Vessel ID</t>
  </si>
  <si>
    <t>Height</t>
  </si>
  <si>
    <t>Maximum heat power</t>
  </si>
  <si>
    <t>kJ/kg·K</t>
  </si>
  <si>
    <t>Allowed temperture rise above ambient</t>
  </si>
  <si>
    <t>K</t>
  </si>
  <si>
    <t>Mineral oil density</t>
  </si>
  <si>
    <t>Mineral oil Specific heat capacity oil</t>
  </si>
  <si>
    <t>kg/m³</t>
  </si>
  <si>
    <t>m³</t>
  </si>
  <si>
    <t>Total mass of mineral oil in vessel</t>
  </si>
  <si>
    <t>kg</t>
  </si>
  <si>
    <t>Total energy capacity for specified temperture rise</t>
  </si>
  <si>
    <t>KJ</t>
  </si>
  <si>
    <t>Maximum time for single turnover</t>
  </si>
  <si>
    <t>Desired maximum time for single turnover including safety factor</t>
  </si>
  <si>
    <t>Flow rate required</t>
  </si>
  <si>
    <t>m³/s</t>
  </si>
  <si>
    <t>ml/s</t>
  </si>
  <si>
    <t>Safe flow speed portal</t>
  </si>
  <si>
    <t>m/s</t>
  </si>
  <si>
    <t>Portal area required</t>
  </si>
  <si>
    <t>Portal sizing (diameter)</t>
  </si>
  <si>
    <t>Portal diameter minimum (mm)</t>
  </si>
  <si>
    <t>Minimum portal diameter</t>
  </si>
  <si>
    <t>Desired reynalds number</t>
  </si>
  <si>
    <t>Kinemetic viscosity</t>
  </si>
  <si>
    <t>Dyanmic viscosity</t>
  </si>
  <si>
    <t>Actual reynolds number</t>
  </si>
  <si>
    <t>Actual Portal diameter</t>
  </si>
  <si>
    <t>Actual portal diameter (m)</t>
  </si>
  <si>
    <t>Reynolds number acceptible</t>
  </si>
  <si>
    <t>M4</t>
  </si>
  <si>
    <t>Length</t>
  </si>
  <si>
    <t>Diameter</t>
  </si>
  <si>
    <t>Number</t>
  </si>
  <si>
    <t>M3</t>
  </si>
  <si>
    <t>30mm</t>
  </si>
  <si>
    <t>M2.5</t>
  </si>
  <si>
    <t>M8</t>
  </si>
  <si>
    <t>20mm</t>
  </si>
  <si>
    <t>30mm 40 more desirable</t>
  </si>
  <si>
    <t>https://www.aliexpress.com/item/1005005480826442.html?spm=a2g0o.cart.0.0.10e238dawUu18S&amp;mp=1&amp;pdp_npi=5%40dis%21GBP%21GBP%201.52%21GBP%201.26%21%21GBP%201.26%21%21%21%4021038da617489300338885085ef51d%2112000033254538100%21ct%21UK%214911257576%21%211%210</t>
  </si>
  <si>
    <t>https://www.aliexpress.com/item/1005005489704779.html?spm=a2g0o.cart.0.0.3af938daqF893N&amp;mp=1&amp;pdp_npi=5%40dis%21GBP%21GBP%202.11%21GBP%201.84%21%21GBP%201.84%21%21%21%4021038da617489300680525622ef51d%2112000033284825011%21ct%21UK%214911257576%21%211%210</t>
  </si>
  <si>
    <t>https://www.aliexpress.com/item/1005005480826442.html?spm=a2g0o.cart.0.0.560938daHEcyqE&amp;mp=1&amp;pdp_npi=5%40dis%21GBP%21GBP%200.82%21GBP%200.68%21%21GBP%200.68%21%21%21%4021038da617489300775685831ef51d%2112000033254379950%21ct%21UK%214911257576%21%211%210</t>
  </si>
  <si>
    <t>https://www.aliexpress.com/item/32979035684.html?spm=a2g0o.productlist.main.1.43315cf9lFXo4v&amp;algo_pvid=1ae9e8c1-7a0f-4aec-b376-9270d2db3078&amp;algo_exp_id=1ae9e8c1-7a0f-4aec-b376-9270d2db3078-0&amp;pdp_ext_f=%7B%22order%22%3A%2249%22%2C%22eval%22%3A%221%22%7D&amp;pdp_npi=4%40dis%21GBP%211.02%210.96%21%21%211.34%211.26%21%402103956b17489301282611606e8cf3%2112000037695417645%21sea%21UK%214911257576%21X&amp;curPageLogUid=ecdD7wgyjiJL&amp;utparam-url=scene%3Asearch%7Cquery_from%3A</t>
  </si>
  <si>
    <t>https://www.aliexpress.com/item/1005005489704779.html?spm=a2g0o.cart.0.0.184338dahPk8Kk&amp;mp=1&amp;pdp_npi=5%40dis%21GBP%21GBP%202.11%21GBP%201.84%21%21GBP%201.84%21%21%21%40211b807017489305761224505eeaf6%2112000033284825011%21ct%21UK%214911257576%21%211%210</t>
  </si>
  <si>
    <t>25mm (20mm just enough I think)</t>
  </si>
  <si>
    <t>https://www.aliexpress.com/item/1005005747262698.html?spm=a2g0o.cart.0.0.4cc038daQAAcCh&amp;mp=1&amp;pdp_npi=5%40dis%21GBP%21GBP%205.88%21GBP%202.94%21%21GBP%202.94%21%21%21%40211b807017489305983274816eeaf6%2112000034202358244%21ct%21UK%214911257576%21%211%210</t>
  </si>
  <si>
    <t xml:space="preserve">Washer kit varying sizes m2.5 + </t>
  </si>
  <si>
    <t xml:space="preserve">25mm </t>
  </si>
  <si>
    <t>Driver MOSFET Heat sinking</t>
  </si>
  <si>
    <t>Thermal conductivity of insulator layer</t>
  </si>
  <si>
    <t>W/m-K</t>
  </si>
  <si>
    <t>Thickness of insulator layer (mm)</t>
  </si>
  <si>
    <t>Contact Area</t>
  </si>
  <si>
    <t>Total thermal resistance</t>
  </si>
  <si>
    <t>RθCS</t>
  </si>
  <si>
    <t>Case-to-Sink Thermal resistance of insulator layer</t>
  </si>
  <si>
    <t>RθJC</t>
  </si>
  <si>
    <t>Junction-to-Case</t>
  </si>
  <si>
    <t>RθSA​</t>
  </si>
  <si>
    <t>Sink-to-Ambient Thermal resistance of heatsink max</t>
  </si>
  <si>
    <t>Delta T</t>
  </si>
  <si>
    <t>ΔT</t>
  </si>
  <si>
    <t>Maximum ambient temperature</t>
  </si>
  <si>
    <t>Maximum junction temperature</t>
  </si>
  <si>
    <t>Maximum allowed junction temperature</t>
  </si>
  <si>
    <t>Acceptible</t>
  </si>
  <si>
    <t>Dirver MOSFET Screw Washer choice</t>
  </si>
  <si>
    <t>High Voltage Output Feedback</t>
  </si>
  <si>
    <t>N individual resistors in composite high voltage resistor</t>
  </si>
  <si>
    <t>Ratio required</t>
  </si>
  <si>
    <t>Low leg resistance required</t>
  </si>
  <si>
    <t>Current at maximum output voltage</t>
  </si>
  <si>
    <t>Power per individual composite resistor</t>
  </si>
  <si>
    <t>Total power</t>
  </si>
  <si>
    <t>Power in lower leg resistor</t>
  </si>
  <si>
    <t>Cooling fan</t>
  </si>
  <si>
    <t>Number of heatsinks (identicle in this case)</t>
  </si>
  <si>
    <t>Desired flow rate for each heatsink</t>
  </si>
  <si>
    <t>cross sectional area</t>
  </si>
  <si>
    <t>LFM</t>
  </si>
  <si>
    <t>Cubic meters per minute per heatsink</t>
  </si>
  <si>
    <t>Cubic meters per hour</t>
  </si>
  <si>
    <t>Inrush resistor temperature change</t>
  </si>
  <si>
    <t>Total energy into inrush current limiting resistor</t>
  </si>
  <si>
    <t>E_R_ir</t>
  </si>
  <si>
    <t>V_R_ir</t>
  </si>
  <si>
    <t>Volume of inrush resistor metal</t>
  </si>
  <si>
    <t>c_p</t>
  </si>
  <si>
    <t>Inrush resistor metal specific heat capacity (probably aluminium alloy)</t>
  </si>
  <si>
    <t>ρ</t>
  </si>
  <si>
    <t>Inrush resistor metal density</t>
  </si>
  <si>
    <t>kPETG</t>
  </si>
  <si>
    <t>heff​</t>
  </si>
  <si>
    <t>Effective thermal dissipation rate</t>
  </si>
  <si>
    <t>Thermal time constant</t>
  </si>
  <si>
    <t>Thermal capacitance</t>
  </si>
  <si>
    <t>Cth​</t>
  </si>
  <si>
    <t>t99%​</t>
  </si>
  <si>
    <t>Thermal conductivity petg</t>
  </si>
  <si>
    <t>RPETG​</t>
  </si>
  <si>
    <t>Thermal resistance PETG</t>
  </si>
  <si>
    <t>Area PETG insulator</t>
  </si>
  <si>
    <t>A_insulator</t>
  </si>
  <si>
    <t>L_insulator</t>
  </si>
  <si>
    <t>Length insulator</t>
  </si>
  <si>
    <t>Q(t)</t>
  </si>
  <si>
    <t>ΔTfar side</t>
  </si>
  <si>
    <t>Actual low leg resistance</t>
  </si>
  <si>
    <t>Active cooling by oil circulation</t>
  </si>
  <si>
    <t>Power loss discharge resistors</t>
  </si>
  <si>
    <t>Steady state power loss diodes</t>
  </si>
  <si>
    <t>Flyback power loss</t>
  </si>
  <si>
    <t>Total power loss into mineral oil</t>
  </si>
  <si>
    <t>?? I think I used two approaches this needs to go above is correct</t>
  </si>
  <si>
    <t>Individual current limiting resistor power rating</t>
  </si>
  <si>
    <t>Minimum output voltage acceptible (doesn’t cause too high loss)</t>
  </si>
  <si>
    <t>Maximum steady state power loss at lowest rated output voltage</t>
  </si>
  <si>
    <t>Maximum steady state power loss at highest rated output voltage</t>
  </si>
  <si>
    <t>Maximum composite output current limiting resistor average power</t>
  </si>
  <si>
    <t>Regenerative Snubber</t>
  </si>
  <si>
    <t>Liquid resistor resistivity</t>
  </si>
  <si>
    <t>Area</t>
  </si>
  <si>
    <t>Thermal capacity</t>
  </si>
  <si>
    <t>Volume</t>
  </si>
  <si>
    <t>Specitic heat capacity</t>
  </si>
  <si>
    <t>J/kg°C </t>
  </si>
  <si>
    <t>Density</t>
  </si>
  <si>
    <t>Maximum allowed temperature rise</t>
  </si>
  <si>
    <t>Maximum energy capacity</t>
  </si>
  <si>
    <t>Dummy Loads For Testing Primary</t>
  </si>
  <si>
    <t>Minimum current required to test above lower bound of ADC</t>
  </si>
  <si>
    <t>Max resistance required</t>
  </si>
  <si>
    <t>Min resistance required</t>
  </si>
  <si>
    <t>Nominal resistance required</t>
  </si>
  <si>
    <t>Actual resistance for minimum current test</t>
  </si>
  <si>
    <t>Maximum output power</t>
  </si>
  <si>
    <t>Actual individual resistor value</t>
  </si>
  <si>
    <t>N in series</t>
  </si>
  <si>
    <t>Series resistance</t>
  </si>
  <si>
    <t>Minimum resistance for 200w test required</t>
  </si>
  <si>
    <t>Maximum current reached</t>
  </si>
  <si>
    <t>Maximum peak current</t>
  </si>
  <si>
    <t>Minimum peak current</t>
  </si>
  <si>
    <t>Maximum average power</t>
  </si>
  <si>
    <t>Maximum Peak power</t>
  </si>
  <si>
    <t>Minimum Peak Power</t>
  </si>
  <si>
    <t>Minimum average power</t>
  </si>
  <si>
    <t>1, 1, 1, 1, 1</t>
  </si>
  <si>
    <t>Resistor combination for maximum supply voltage</t>
  </si>
  <si>
    <t>1, 1, 1, 1, 1, 1</t>
  </si>
  <si>
    <t>1, 1, 1, 2, 2</t>
  </si>
  <si>
    <t>1, 1, 1, 1, 2, 2</t>
  </si>
  <si>
    <t>1, 1, 1, 1, 1, 2, 2</t>
  </si>
  <si>
    <t>1, 1, 1, 1, 1, 1, 2, 2</t>
  </si>
  <si>
    <t>1, 1, 1, 2, 2, 4</t>
  </si>
  <si>
    <t>1, 2, 2, 4, 4</t>
  </si>
  <si>
    <t>1, 1, 1, 1, 2, 2, 4 OR 2, 4, 4</t>
  </si>
  <si>
    <t>1, 1, 2, 2, 4, 4</t>
  </si>
  <si>
    <t>Secondary Leakage inductance</t>
  </si>
  <si>
    <t>L_s_actual</t>
  </si>
  <si>
    <t>Use this number to begin with</t>
  </si>
  <si>
    <t>f</t>
  </si>
  <si>
    <t>drive frequency (Hz) (16 kHz nominal)</t>
  </si>
  <si>
    <t>N</t>
  </si>
  <si>
    <t>CT turns ratio (e.g. 1000:1 ⇒ N=1000)</t>
  </si>
  <si>
    <t>Vadc_fs</t>
  </si>
  <si>
    <t>Vf</t>
  </si>
  <si>
    <t>forward drop of one rectifier diode at your CT secondary current (V)</t>
  </si>
  <si>
    <t>Burden resistor resistance = Vtarget_pk / Isec_pk</t>
  </si>
  <si>
    <t>Rb_suggested</t>
  </si>
  <si>
    <t>Rb_actual</t>
  </si>
  <si>
    <t>Actual value chosen</t>
  </si>
  <si>
    <t>Primary peak current (A) under typical operating conditions</t>
  </si>
  <si>
    <t>Maximum peak current to ever be potentially seen</t>
  </si>
  <si>
    <t>I_pri_pk_max</t>
  </si>
  <si>
    <t>Expected RMS at the maximum operating point</t>
  </si>
  <si>
    <t>I_pri_rms_max</t>
  </si>
  <si>
    <t>I_sec_pk_max</t>
  </si>
  <si>
    <t>I_sec_rms_max</t>
  </si>
  <si>
    <t>ADC full-scale you want to use at the maximum primary peak current</t>
  </si>
  <si>
    <t>Peak power in Rb at maximum primary current</t>
  </si>
  <si>
    <t>Peak power seen in a bridge rectifier diode at maximum primary current</t>
  </si>
  <si>
    <t>Actual peak voltage seen by ADC at maximum primary current</t>
  </si>
  <si>
    <t>Vadc_actual_pk_max</t>
  </si>
  <si>
    <t>P_D_peak_max</t>
  </si>
  <si>
    <t>P_Rb_peak_max</t>
  </si>
  <si>
    <t>Peak power in Rb at typical peak primary current</t>
  </si>
  <si>
    <t>P_Rb_peak_typ</t>
  </si>
  <si>
    <t>I_sec_pk_typ</t>
  </si>
  <si>
    <t>P_D_peak_typ</t>
  </si>
  <si>
    <t>Peak power seen in a bridge rectifier diode at typical peak primary current</t>
  </si>
  <si>
    <t>V_adc_peak_typ</t>
  </si>
  <si>
    <t>Typical Peak voltage seen by ADC</t>
  </si>
  <si>
    <t>P_Rb_average_max</t>
  </si>
  <si>
    <t>P_Rb_average_typ</t>
  </si>
  <si>
    <t>Average power in Rb at typical primary current</t>
  </si>
  <si>
    <t>Average power in Rb at maximum primary current</t>
  </si>
  <si>
    <t>I_sec_rms_typ</t>
  </si>
  <si>
    <t>I_pri_rms_typ</t>
  </si>
  <si>
    <t>I_pri_pk_typ</t>
  </si>
  <si>
    <t>Rb_peak_max</t>
  </si>
  <si>
    <t>Maximum peak burden seen by current transformer</t>
  </si>
  <si>
    <t>Id_pk</t>
  </si>
  <si>
    <t>Minimum diode current rating (comfortably rated for repetitive peak current)</t>
  </si>
  <si>
    <t>Id_actual</t>
  </si>
  <si>
    <t>Actual diode repetitive peak current rating</t>
  </si>
  <si>
    <t>V_zener_min_actual</t>
  </si>
  <si>
    <t>Minimum ADC input protection zener diode voltage</t>
  </si>
  <si>
    <t>R_series_min</t>
  </si>
  <si>
    <t>Minimum resistor value between Rb node and ADC input node</t>
  </si>
  <si>
    <t>t_half_cycle</t>
  </si>
  <si>
    <t>N_ts</t>
  </si>
  <si>
    <t>N time steps for integrating volt-time-product</t>
  </si>
  <si>
    <t>Time step</t>
  </si>
  <si>
    <t>Interval</t>
  </si>
  <si>
    <t>I_primary</t>
  </si>
  <si>
    <t>I_primary_pk</t>
  </si>
  <si>
    <t>I_secondary</t>
  </si>
  <si>
    <t>Vs_step</t>
  </si>
  <si>
    <t>Vs</t>
  </si>
  <si>
    <t>Vs_max_actual</t>
  </si>
  <si>
    <t>Vs acceptible</t>
  </si>
  <si>
    <t>Desired output voltage</t>
  </si>
  <si>
    <t>Vout</t>
  </si>
  <si>
    <t>R2</t>
  </si>
  <si>
    <t>R1</t>
  </si>
  <si>
    <t>Do not change</t>
  </si>
  <si>
    <t>Required R2 value</t>
  </si>
  <si>
    <t>Minimum desired output voltage</t>
  </si>
  <si>
    <t>Vout_min</t>
  </si>
  <si>
    <t>Vout_max</t>
  </si>
  <si>
    <t>Maximum desired output voltage</t>
  </si>
  <si>
    <t>Required R2 value for minimum output voltage</t>
  </si>
  <si>
    <t>Requried R2 value for maximum output voltage</t>
  </si>
  <si>
    <t>R2_max</t>
  </si>
  <si>
    <t>R2_min</t>
  </si>
  <si>
    <t>Cff</t>
  </si>
  <si>
    <t>LM2956HV-adj for 3.3v</t>
  </si>
  <si>
    <t>LM2956HV-adj for 5v</t>
  </si>
  <si>
    <t>LM2956HV-adj for 2-30v</t>
  </si>
  <si>
    <t>LM2956HV-adj for 9-15v</t>
  </si>
  <si>
    <t>LM2956HV-adj for 10v</t>
  </si>
  <si>
    <t>Feedforward capacitor given by equations on https://e2e.ti.com/support/power-management-group/power-management/f/power-management-forum/898296/lm2596-feedforward-capacitor-selection#:~:text=Andy%20Chen%20over%206%20years,performance%20in%20the%20actual%20application.</t>
  </si>
  <si>
    <t>V_SC,max</t>
  </si>
  <si>
    <t>Maximum snubber capacitor voltage</t>
  </si>
  <si>
    <t>V_supply_max</t>
  </si>
  <si>
    <t>Maximum supply voltage</t>
  </si>
  <si>
    <t>I_DS_pk</t>
  </si>
  <si>
    <t>V_DS_max</t>
  </si>
  <si>
    <t>Surely this should be 100? As we literally are using the maximum drain source voltage we set with the snubber but we are adding to this the supply voltage?</t>
  </si>
  <si>
    <t>P_sw_max</t>
  </si>
  <si>
    <t>Driver MOSFET single with regenerative snubber</t>
  </si>
  <si>
    <t>Time to switch on lower MOSFET's</t>
  </si>
  <si>
    <t>Time to switch off lower MOSFET's</t>
  </si>
  <si>
    <t>Maximum drive current lower MOSFET's</t>
  </si>
  <si>
    <t>V_drive_lower</t>
  </si>
  <si>
    <t>Voltage gate being driven to for upper MOSFET'S</t>
  </si>
  <si>
    <t>Voltage gate being driven to for lower MOSFETSS</t>
  </si>
  <si>
    <t>t_s_lower</t>
  </si>
  <si>
    <t>t_s_on_lower</t>
  </si>
  <si>
    <t>t_s_off_lower</t>
  </si>
  <si>
    <t>t_s_upper</t>
  </si>
  <si>
    <t>t_s_on_upper</t>
  </si>
  <si>
    <t>t_s_off_upper</t>
  </si>
  <si>
    <t>Switching time upper MOSFET's</t>
  </si>
  <si>
    <t>Switching time lower MOSFET's</t>
  </si>
  <si>
    <t>Time to switch on upper MOSFET's</t>
  </si>
  <si>
    <t>Time to switch off upper MOSFET's</t>
  </si>
  <si>
    <t>P_sw_max_single_mosfet</t>
  </si>
  <si>
    <t>P_gate_single_mosfet</t>
  </si>
  <si>
    <t>P_total_max_single_mosfet</t>
  </si>
  <si>
    <t>Maximum total power that can be dissipated as heat in a single MOSFET</t>
  </si>
  <si>
    <t>P_total_max_bridge</t>
  </si>
  <si>
    <t>Maximum total power that can be dissipated as heat in all four H Bridge MOSFET's combined</t>
  </si>
  <si>
    <t>Maximum pulsed drain current rating of MOSFET</t>
  </si>
  <si>
    <t>L_load</t>
  </si>
  <si>
    <t>Inductance of load</t>
  </si>
  <si>
    <t>Maximum desired voltage ripple on high side boot capacitance</t>
  </si>
  <si>
    <t>ΔV_desired_max</t>
  </si>
  <si>
    <t>C_boot_actual</t>
  </si>
  <si>
    <t>C_boot_required</t>
  </si>
  <si>
    <t>ΔV_actual_max</t>
  </si>
  <si>
    <t>Minimum high side boot capacitance required for high side</t>
  </si>
  <si>
    <t>Actual high side boot capacitance</t>
  </si>
  <si>
    <t>Actual voltage ripple on high side boot capacitance</t>
  </si>
  <si>
    <t>VBSUV</t>
  </si>
  <si>
    <t>I use VBSUV+, max because I am not someone who flirts with failure</t>
  </si>
  <si>
    <t xml:space="preserve"> =(VB−VS)min,actual​ − ("VBSUV−​" but I choose to use VBSUV+,max here)</t>
  </si>
  <si>
    <t>V_F_max_diode</t>
  </si>
  <si>
    <t>Maximum forward voltage drop of diode to high side from Vcc</t>
  </si>
  <si>
    <t>V_drive_upper_min</t>
  </si>
  <si>
    <t>V_cc</t>
  </si>
  <si>
    <t>V_cc to gate driver</t>
  </si>
  <si>
    <t>C_boot large enough</t>
  </si>
  <si>
    <t>UVLO_margin_desired</t>
  </si>
  <si>
    <t>Acceptable margin. DO NOT CHANGE</t>
  </si>
  <si>
    <t>VLS​</t>
  </si>
  <si>
    <t xml:space="preserve"> =VCC−COM</t>
  </si>
  <si>
    <t>VCCUV+,max</t>
  </si>
  <si>
    <t>UVLO_u_margin_actual</t>
  </si>
  <si>
    <t>UVLO_l_margin_actual</t>
  </si>
  <si>
    <t>Actual low side under voltage lock out margin</t>
  </si>
  <si>
    <t>UVLO_u_margin_actual big enough</t>
  </si>
  <si>
    <t>UVLO_l_margin_actual big enough</t>
  </si>
  <si>
    <t xml:space="preserve">Q_refill </t>
  </si>
  <si>
    <t>charge to refill boot capacitor on each cycle</t>
  </si>
  <si>
    <t>I_d_boot_avg</t>
  </si>
  <si>
    <t>Average current through boot diode</t>
  </si>
  <si>
    <t>Effective resistance for refilling boot capacitor</t>
  </si>
  <si>
    <t>R_trace_boot</t>
  </si>
  <si>
    <t>R_eff_boot</t>
  </si>
  <si>
    <t>R_diode_boot</t>
  </si>
  <si>
    <t>Peak current through boot diode on refill C_boot</t>
  </si>
  <si>
    <t>V_boot_initial</t>
  </si>
  <si>
    <t>The lowest voltage drive can happen theoretically =  VBSUV+,min</t>
  </si>
  <si>
    <t>Diode suitable to handle maximum peak current on boostrap</t>
  </si>
  <si>
    <t>I_boot_diode_peak_max</t>
  </si>
  <si>
    <t>I_boot_diode_peak_from_ΔV</t>
  </si>
  <si>
    <t>V_boot_diode_RRM</t>
  </si>
  <si>
    <t>I_FSM_boot_diode</t>
  </si>
  <si>
    <t>ESR_c_boot</t>
  </si>
  <si>
    <t>Boot diode V_RRM big enough</t>
  </si>
  <si>
    <t>Estimated current step for bootstrap diode</t>
  </si>
  <si>
    <t>Δi_boot_diode</t>
  </si>
  <si>
    <t>L_boot_loop</t>
  </si>
  <si>
    <t>Δt</t>
  </si>
  <si>
    <t xml:space="preserve">Estimated: Δt is the time over which the current in that specific loop changes, not the total MOSFET gate charge time </t>
  </si>
  <si>
    <t>Estimated loop inductance. Being over conservative and using a bad design value</t>
  </si>
  <si>
    <t>Estimated Inductive spike caused by the forward current step when the bootstrap diode turns ON</t>
  </si>
  <si>
    <t>Irr</t>
  </si>
  <si>
    <t>trr​</t>
  </si>
  <si>
    <t>Reverse recovery time</t>
  </si>
  <si>
    <t>Voltage spike when the gate driver turns off the MOSFET. Qrr matters when the diode turns OFF, not when it turns on.</t>
  </si>
  <si>
    <t>V_spike_Qrr_desired</t>
  </si>
  <si>
    <t>V_spike_Qrr_acceptable</t>
  </si>
  <si>
    <t>V_spike_Qrr</t>
  </si>
  <si>
    <t>Maximum voltage spike desired when boostrap diode turns on</t>
  </si>
  <si>
    <t>Maximum voltage spike due to Qrr of boostrap diode when it turns off</t>
  </si>
  <si>
    <t>V_spike_boot_on</t>
  </si>
  <si>
    <t>V_spike_boot_on_desired</t>
  </si>
  <si>
    <t>V_spike_boot_on_acceptable</t>
  </si>
  <si>
    <t>I_d_actual</t>
  </si>
  <si>
    <t>I_d high enough</t>
  </si>
  <si>
    <t>For Part</t>
  </si>
  <si>
    <t>Driver MOSFET H-Bridge</t>
  </si>
  <si>
    <t>0.5 xIrrxtrr is a good approximation. The reverse current because the diode stores charge</t>
  </si>
  <si>
    <t>MUR420</t>
  </si>
  <si>
    <t>Kee boot loop tight</t>
  </si>
  <si>
    <t>Had to approximate this. Over estimated</t>
  </si>
  <si>
    <t>FG26X7R2A105KNT06</t>
  </si>
  <si>
    <t>Had to approximate this but can update later</t>
  </si>
  <si>
    <t>Worst case from data sheet graph.</t>
  </si>
  <si>
    <t>Actual continuous drain current of MOSFET</t>
  </si>
  <si>
    <t>Continuous Drain Current required for MOSFET</t>
  </si>
  <si>
    <t>T</t>
  </si>
  <si>
    <t>nH/turn</t>
  </si>
  <si>
    <t>I_s_peak_max</t>
  </si>
  <si>
    <t>Max peak secondary current safe for diodes</t>
  </si>
  <si>
    <t>L_s_min_for_Pout</t>
  </si>
  <si>
    <t>L_s_for_turns_ratio</t>
  </si>
  <si>
    <t>Secondary inductance given for desired turns ratio</t>
  </si>
  <si>
    <t>Actual secondary inductance selected</t>
  </si>
  <si>
    <t>Minimum secondary inductance required to deliver the desired output power at minimum input voltage, maximum duty cycle, and switching frequency, assuming DCM operation as a standard flyback.</t>
  </si>
  <si>
    <t>V_stage_max</t>
  </si>
  <si>
    <t>P_out_max_desired</t>
  </si>
  <si>
    <t>Ω⋅m</t>
  </si>
  <si>
    <t>Actual primary inductance measured</t>
  </si>
  <si>
    <t>W/m^2</t>
  </si>
  <si>
    <t>N turns</t>
  </si>
  <si>
    <t>N_p_actual</t>
  </si>
  <si>
    <t>Power loss winding (triangle wave)</t>
  </si>
  <si>
    <t>N_bob_seg</t>
  </si>
  <si>
    <t>N_per_seg</t>
  </si>
  <si>
    <t>P_secondary</t>
  </si>
  <si>
    <t>Transformer primary design (thick turns no bobin)</t>
  </si>
  <si>
    <t>Transformer secondary design (fine wire many turns on bobin)</t>
  </si>
  <si>
    <r>
      <t xml:space="preserve">Times reflected voltage 2-2.5 is typical. Too low (&lt; 1.5×) - Snubber absorbs too much energy unnecessarily. | Too high (&gt; 3×) | - Voltage spike may exceed MOSFET drain rating - Core reset might be incomplete - Clamping may not happen at all. | Just right (2.0–2.5×) | - Leaves room for normal operation + leakage spike - Allows full transfer to secondary - Captures only the excess energy </t>
    </r>
    <r>
      <rPr>
        <b/>
        <sz val="11"/>
        <color theme="0" tint="-0.499984740745262"/>
        <rFont val="Calibri"/>
        <family val="2"/>
        <scheme val="minor"/>
      </rPr>
      <t>- Keeps losses manageable</t>
    </r>
  </si>
  <si>
    <t>Primary Current Feedback V2 (Current transformer with rectifier bridge and burden resistor and ADC)</t>
  </si>
  <si>
    <t>SF</t>
  </si>
  <si>
    <t>N Turns</t>
  </si>
  <si>
    <t>Air gap length</t>
  </si>
  <si>
    <t>Inductance</t>
  </si>
  <si>
    <t>A_L</t>
  </si>
  <si>
    <t>UY30 PC40</t>
  </si>
  <si>
    <t>Transformer (driving villard cascading voltage multiplier) with primary current feedback (use minimum input voltage to determine inductance required)</t>
  </si>
  <si>
    <t>Transformer (debugging with low voltage villard using BYC8-600P) without primary current feedback (use maximum input voltage to determine inductance required)</t>
  </si>
  <si>
    <t>V_out_desired</t>
  </si>
  <si>
    <t>Output voltage desired at FIXED DUTY CYCLE</t>
  </si>
  <si>
    <t>0.5 (FIXED because no primary current feedback)</t>
  </si>
  <si>
    <t>Primary inductance</t>
  </si>
  <si>
    <t>Good starting point</t>
  </si>
  <si>
    <t>n_s_over_p_required_min</t>
  </si>
  <si>
    <t>Minimum n_s/n_p required to keep peak secondary current safe for diode</t>
  </si>
  <si>
    <t>n_s_over_p_for_voltage_ratio</t>
  </si>
  <si>
    <t>ns_over_np_v_in_max</t>
  </si>
  <si>
    <t>n_s/n_ For voltage ratio at maximum input voltage</t>
  </si>
  <si>
    <t>n_s/n_ For voltage ratio at minimum input voltage</t>
  </si>
  <si>
    <t>n_s_over_p_actual</t>
  </si>
  <si>
    <t>Actual chosen ns/np</t>
  </si>
  <si>
    <t>L_p_for_desired_power</t>
  </si>
  <si>
    <t>L_p_actual</t>
  </si>
  <si>
    <t>n_s/n_p high enough to give safe secondary peak current for diodes</t>
  </si>
  <si>
    <t>Chosen inductor energy at peak primary current</t>
  </si>
  <si>
    <t>Chosen inductor energy at peak primary current large enough to deliver desired power</t>
  </si>
  <si>
    <t>Flyback Mismatch Ratio at minimum input voltage</t>
  </si>
  <si>
    <t>Flyback Mismatch Ratio at maximum input voltage</t>
  </si>
  <si>
    <t>Flyback Mismatch Ratio too low</t>
  </si>
  <si>
    <t>n_p_over_s_actual</t>
  </si>
  <si>
    <t>I_zener_leak_max</t>
  </si>
  <si>
    <t>Divider multiple desired</t>
  </si>
  <si>
    <t>R_L</t>
  </si>
  <si>
    <t>R_H_required</t>
  </si>
  <si>
    <t>R_H_actual</t>
  </si>
  <si>
    <t>R_eq</t>
  </si>
  <si>
    <t>V_tap at maximum input voltage with zener</t>
  </si>
  <si>
    <t>V_tap at maximum input voltage without zener</t>
  </si>
  <si>
    <t>V_tap at minimum input voltage with zener</t>
  </si>
  <si>
    <t>V_tap votlage error at maximum input voltage</t>
  </si>
  <si>
    <t>Error</t>
  </si>
  <si>
    <t>P_H</t>
  </si>
  <si>
    <t>P_L</t>
  </si>
  <si>
    <t>Tolerance on resistors</t>
  </si>
  <si>
    <t>Maximum voltage error reflected to input due to zener</t>
  </si>
  <si>
    <t>Maximum divider ratio possible with tolerances</t>
  </si>
  <si>
    <t>Nominal divider ratio</t>
  </si>
  <si>
    <t>Minimum divider ratio possible with tolerances</t>
  </si>
  <si>
    <t>Positive error</t>
  </si>
  <si>
    <t>Negative error</t>
  </si>
  <si>
    <t>Positive error percent</t>
  </si>
  <si>
    <t>Negative error percent</t>
  </si>
  <si>
    <t>Maximum percent error</t>
  </si>
  <si>
    <t>Maximum Total Error</t>
  </si>
  <si>
    <t>τ</t>
  </si>
  <si>
    <t>Time constant for charging capacitor</t>
  </si>
  <si>
    <t>τ_99</t>
  </si>
  <si>
    <t>Resistors tolerance as proportion</t>
  </si>
  <si>
    <t>ΔV_tap at minimum input voltage without zener</t>
  </si>
  <si>
    <t>ΔV_tap</t>
  </si>
  <si>
    <t>ΔV_tap voltage error at minimum input voltage</t>
  </si>
  <si>
    <t>Maximum ADC voltage</t>
  </si>
  <si>
    <t>Maximum voltage corresponding to ADC voltage</t>
  </si>
  <si>
    <t>Individual composite resistor resistance</t>
  </si>
  <si>
    <t>Individual composite resistor voltage rating</t>
  </si>
  <si>
    <t>Minimum number of resistors required for safe voltage on each</t>
  </si>
  <si>
    <t>Individual composite resistor power rating</t>
  </si>
  <si>
    <t>Individual composite resistor safe power</t>
  </si>
  <si>
    <t>Individual composite resistor safe voltage</t>
  </si>
  <si>
    <t>Individual composite resistor power safe</t>
  </si>
  <si>
    <t>Individual composite resistor voltage safe</t>
  </si>
  <si>
    <t>Individual composite resistor voltage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</si>
</sst>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6" formatCode="&quot;£&quot;#,##0;[Red]\-&quot;£&quot;#,##0"/>
    <numFmt numFmtId="8" formatCode="&quot;£&quot;#,##0.00;[Red]\-&quot;£&quot;#,##0.00"/>
  </numFmts>
  <fonts count="2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Arial"/>
      <family val="2"/>
    </font>
    <font>
      <u/>
      <sz val="11"/>
      <color theme="10"/>
      <name val="Calibri"/>
      <family val="2"/>
      <scheme val="minor"/>
    </font>
    <font>
      <sz val="11"/>
      <color theme="0" tint="-0.249977111117893"/>
      <name val="Calibri"/>
      <family val="2"/>
      <scheme val="minor"/>
    </font>
    <font>
      <sz val="10"/>
      <color rgb="FF333333"/>
      <name val="Arial"/>
      <family val="2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color rgb="FF333333"/>
      <name val="Arial"/>
      <family val="2"/>
    </font>
    <font>
      <sz val="11"/>
      <color rgb="FF333333"/>
      <name val="Arial"/>
      <family val="2"/>
    </font>
    <font>
      <sz val="10"/>
      <color theme="1"/>
      <name val="Arial Unicode MS"/>
      <family val="2"/>
    </font>
    <font>
      <i/>
      <sz val="11"/>
      <color theme="1"/>
      <name val="Calibri"/>
      <family val="2"/>
      <scheme val="minor"/>
    </font>
    <font>
      <sz val="11"/>
      <color theme="0" tint="-0.14999847407452621"/>
      <name val="Calibri"/>
      <family val="2"/>
      <scheme val="minor"/>
    </font>
    <font>
      <b/>
      <sz val="11"/>
      <color theme="0" tint="-0.14999847407452621"/>
      <name val="Calibri"/>
      <family val="2"/>
      <scheme val="minor"/>
    </font>
    <font>
      <b/>
      <sz val="12"/>
      <color rgb="FFEEF0FF"/>
      <name val="Arial"/>
      <family val="2"/>
    </font>
    <font>
      <sz val="11"/>
      <color theme="0" tint="-0.499984740745262"/>
      <name val="Calibri"/>
      <family val="2"/>
      <scheme val="minor"/>
    </font>
    <font>
      <b/>
      <sz val="11"/>
      <color theme="0" tint="-0.499984740745262"/>
      <name val="Calibri"/>
      <family val="2"/>
      <scheme val="minor"/>
    </font>
    <font>
      <u/>
      <sz val="11"/>
      <color theme="0" tint="-0.499984740745262"/>
      <name val="Calibri"/>
      <family val="2"/>
      <scheme val="minor"/>
    </font>
    <font>
      <sz val="10"/>
      <color theme="0" tint="-0.499984740745262"/>
      <name val="Arial"/>
      <family val="2"/>
    </font>
    <font>
      <b/>
      <sz val="11"/>
      <color theme="0" tint="-0.249977111117893"/>
      <name val="Calibri"/>
      <family val="2"/>
      <scheme val="minor"/>
    </font>
    <font>
      <i/>
      <sz val="11"/>
      <color theme="0" tint="-0.249977111117893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3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FF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rgb="FFD9D9D9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84">
    <xf numFmtId="0" fontId="0" fillId="0" borderId="0" xfId="0"/>
    <xf numFmtId="11" fontId="0" fillId="0" borderId="0" xfId="0" applyNumberFormat="1"/>
    <xf numFmtId="0" fontId="0" fillId="2" borderId="0" xfId="0" applyFill="1"/>
    <xf numFmtId="11" fontId="0" fillId="2" borderId="0" xfId="0" applyNumberFormat="1" applyFill="1"/>
    <xf numFmtId="0" fontId="3" fillId="0" borderId="0" xfId="1"/>
    <xf numFmtId="0" fontId="0" fillId="3" borderId="0" xfId="0" applyFill="1"/>
    <xf numFmtId="0" fontId="2" fillId="3" borderId="0" xfId="0" applyFont="1" applyFill="1"/>
    <xf numFmtId="0" fontId="0" fillId="0" borderId="0" xfId="0" applyFill="1"/>
    <xf numFmtId="0" fontId="2" fillId="0" borderId="0" xfId="0" applyFont="1" applyFill="1"/>
    <xf numFmtId="0" fontId="1" fillId="0" borderId="0" xfId="0" applyFont="1" applyFill="1"/>
    <xf numFmtId="11" fontId="0" fillId="3" borderId="0" xfId="0" applyNumberFormat="1" applyFill="1"/>
    <xf numFmtId="0" fontId="1" fillId="3" borderId="0" xfId="0" applyFont="1" applyFill="1"/>
    <xf numFmtId="11" fontId="0" fillId="0" borderId="0" xfId="0" applyNumberFormat="1" applyFill="1"/>
    <xf numFmtId="0" fontId="0" fillId="0" borderId="0" xfId="0" applyAlignment="1">
      <alignment horizontal="center" vertical="center" wrapText="1"/>
    </xf>
    <xf numFmtId="0" fontId="0" fillId="4" borderId="0" xfId="0" applyFill="1"/>
    <xf numFmtId="0" fontId="0" fillId="4" borderId="0" xfId="0" applyFill="1" applyAlignment="1">
      <alignment vertical="center"/>
    </xf>
    <xf numFmtId="0" fontId="0" fillId="0" borderId="0" xfId="0" applyFill="1" applyAlignment="1">
      <alignment vertical="center"/>
    </xf>
    <xf numFmtId="0" fontId="0" fillId="0" borderId="1" xfId="0" applyBorder="1"/>
    <xf numFmtId="0" fontId="0" fillId="0" borderId="2" xfId="0" applyBorder="1"/>
    <xf numFmtId="0" fontId="0" fillId="4" borderId="1" xfId="0" applyFill="1" applyBorder="1" applyAlignment="1">
      <alignment vertical="center"/>
    </xf>
    <xf numFmtId="0" fontId="0" fillId="4" borderId="1" xfId="0" applyFill="1" applyBorder="1"/>
    <xf numFmtId="0" fontId="0" fillId="0" borderId="1" xfId="0" applyFill="1" applyBorder="1"/>
    <xf numFmtId="0" fontId="0" fillId="0" borderId="0" xfId="0" applyNumberFormat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right"/>
    </xf>
    <xf numFmtId="11" fontId="4" fillId="0" borderId="0" xfId="0" applyNumberFormat="1" applyFont="1"/>
    <xf numFmtId="0" fontId="5" fillId="0" borderId="0" xfId="0" applyFont="1"/>
    <xf numFmtId="0" fontId="1" fillId="0" borderId="0" xfId="0" applyFont="1"/>
    <xf numFmtId="0" fontId="0" fillId="0" borderId="0" xfId="0" applyAlignment="1">
      <alignment horizontal="center" vertical="center"/>
    </xf>
    <xf numFmtId="11" fontId="5" fillId="0" borderId="0" xfId="0" applyNumberFormat="1" applyFont="1"/>
    <xf numFmtId="8" fontId="5" fillId="0" borderId="0" xfId="0" applyNumberFormat="1" applyFont="1"/>
    <xf numFmtId="0" fontId="0" fillId="0" borderId="0" xfId="0" applyAlignment="1">
      <alignment vertical="center" wrapText="1"/>
    </xf>
    <xf numFmtId="0" fontId="7" fillId="0" borderId="0" xfId="0" applyFont="1"/>
    <xf numFmtId="0" fontId="0" fillId="0" borderId="0" xfId="0" applyAlignment="1">
      <alignment horizontal="center" vertical="center"/>
    </xf>
    <xf numFmtId="0" fontId="8" fillId="0" borderId="0" xfId="0" applyFont="1"/>
    <xf numFmtId="0" fontId="0" fillId="0" borderId="0" xfId="0" applyFont="1"/>
    <xf numFmtId="0" fontId="9" fillId="0" borderId="0" xfId="0" applyFont="1"/>
    <xf numFmtId="0" fontId="0" fillId="0" borderId="0" xfId="0" applyAlignment="1">
      <alignment vertical="center"/>
    </xf>
    <xf numFmtId="0" fontId="6" fillId="0" borderId="0" xfId="0" applyFont="1"/>
    <xf numFmtId="0" fontId="0" fillId="3" borderId="0" xfId="0" applyFont="1" applyFill="1"/>
    <xf numFmtId="11" fontId="0" fillId="3" borderId="0" xfId="0" applyNumberFormat="1" applyFont="1" applyFill="1"/>
    <xf numFmtId="0" fontId="7" fillId="3" borderId="0" xfId="1" applyFont="1" applyFill="1"/>
    <xf numFmtId="0" fontId="0" fillId="0" borderId="0" xfId="0" applyAlignment="1">
      <alignment textRotation="45"/>
    </xf>
    <xf numFmtId="0" fontId="0" fillId="0" borderId="1" xfId="0" applyBorder="1" applyAlignment="1">
      <alignment textRotation="45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10" fillId="0" borderId="0" xfId="0" applyFon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11" fontId="1" fillId="0" borderId="0" xfId="0" applyNumberFormat="1" applyFont="1"/>
    <xf numFmtId="0" fontId="11" fillId="0" borderId="0" xfId="0" applyFont="1"/>
    <xf numFmtId="11" fontId="0" fillId="0" borderId="0" xfId="0" applyNumberFormat="1" applyFont="1"/>
    <xf numFmtId="11" fontId="11" fillId="0" borderId="0" xfId="0" applyNumberFormat="1" applyFont="1"/>
    <xf numFmtId="0" fontId="1" fillId="0" borderId="0" xfId="0" applyNumberFormat="1" applyFont="1"/>
    <xf numFmtId="0" fontId="11" fillId="0" borderId="0" xfId="0" applyNumberFormat="1" applyFont="1"/>
    <xf numFmtId="0" fontId="0" fillId="0" borderId="0" xfId="0" applyFill="1" applyBorder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11" fontId="15" fillId="0" borderId="0" xfId="0" applyNumberFormat="1" applyFont="1"/>
    <xf numFmtId="0" fontId="17" fillId="0" borderId="0" xfId="1" applyFont="1"/>
    <xf numFmtId="8" fontId="18" fillId="0" borderId="0" xfId="0" applyNumberFormat="1" applyFont="1"/>
    <xf numFmtId="8" fontId="18" fillId="5" borderId="5" xfId="0" applyNumberFormat="1" applyFont="1" applyFill="1" applyBorder="1" applyAlignment="1">
      <alignment horizontal="right" vertical="top" wrapText="1" indent="1"/>
    </xf>
    <xf numFmtId="6" fontId="15" fillId="0" borderId="0" xfId="0" applyNumberFormat="1" applyFont="1"/>
    <xf numFmtId="0" fontId="11" fillId="0" borderId="0" xfId="0" applyFont="1" applyFill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 wrapText="1"/>
    </xf>
    <xf numFmtId="0" fontId="4" fillId="0" borderId="0" xfId="0" applyFont="1"/>
    <xf numFmtId="0" fontId="19" fillId="0" borderId="0" xfId="0" applyFont="1"/>
    <xf numFmtId="0" fontId="20" fillId="0" borderId="0" xfId="0" applyFon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6" fillId="0" borderId="0" xfId="0" applyFont="1" applyAlignment="1">
      <alignment horizontal="left" vertical="top" wrapText="1"/>
    </xf>
    <xf numFmtId="0" fontId="0" fillId="0" borderId="0" xfId="0" applyAlignment="1">
      <alignment horizontal="left" vertical="top" wrapText="1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21" fillId="0" borderId="0" xfId="0" applyFont="1"/>
  </cellXfs>
  <cellStyles count="2">
    <cellStyle name="Hyperlink" xfId="1" builtinId="8"/>
    <cellStyle name="Normal" xfId="0" builtinId="0"/>
  </cellStyles>
  <dxfs count="12"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5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6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7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8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20.png"/><Relationship Id="rId1" Type="http://schemas.openxmlformats.org/officeDocument/2006/relationships/image" Target="../media/image19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3.png"/><Relationship Id="rId2" Type="http://schemas.openxmlformats.org/officeDocument/2006/relationships/image" Target="../media/image22.png"/><Relationship Id="rId1" Type="http://schemas.openxmlformats.org/officeDocument/2006/relationships/image" Target="../media/image2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28575</xdr:colOff>
      <xdr:row>175</xdr:row>
      <xdr:rowOff>47625</xdr:rowOff>
    </xdr:from>
    <xdr:to>
      <xdr:col>16</xdr:col>
      <xdr:colOff>3648942</xdr:colOff>
      <xdr:row>184</xdr:row>
      <xdr:rowOff>105022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57375" y="11287125"/>
          <a:ext cx="6211167" cy="1771897"/>
        </a:xfrm>
        <a:prstGeom prst="rect">
          <a:avLst/>
        </a:prstGeom>
      </xdr:spPr>
    </xdr:pic>
    <xdr:clientData/>
  </xdr:twoCellAnchor>
  <xdr:twoCellAnchor editAs="oneCell">
    <xdr:from>
      <xdr:col>4</xdr:col>
      <xdr:colOff>789215</xdr:colOff>
      <xdr:row>282</xdr:row>
      <xdr:rowOff>13607</xdr:rowOff>
    </xdr:from>
    <xdr:to>
      <xdr:col>6</xdr:col>
      <xdr:colOff>709268</xdr:colOff>
      <xdr:row>285</xdr:row>
      <xdr:rowOff>23213</xdr:rowOff>
    </xdr:to>
    <xdr:pic>
      <xdr:nvPicPr>
        <xdr:cNvPr id="4" name="Picture 3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402536" y="36018107"/>
          <a:ext cx="2410161" cy="581106"/>
        </a:xfrm>
        <a:prstGeom prst="rect">
          <a:avLst/>
        </a:prstGeom>
      </xdr:spPr>
    </xdr:pic>
    <xdr:clientData/>
  </xdr:twoCellAnchor>
  <xdr:twoCellAnchor editAs="oneCell">
    <xdr:from>
      <xdr:col>7</xdr:col>
      <xdr:colOff>997321</xdr:colOff>
      <xdr:row>369</xdr:row>
      <xdr:rowOff>134471</xdr:rowOff>
    </xdr:from>
    <xdr:to>
      <xdr:col>16</xdr:col>
      <xdr:colOff>512266</xdr:colOff>
      <xdr:row>376</xdr:row>
      <xdr:rowOff>46128</xdr:rowOff>
    </xdr:to>
    <xdr:pic>
      <xdr:nvPicPr>
        <xdr:cNvPr id="8" name="Picture 7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250678" y="70456185"/>
          <a:ext cx="7271017" cy="1245157"/>
        </a:xfrm>
        <a:prstGeom prst="rect">
          <a:avLst/>
        </a:prstGeom>
      </xdr:spPr>
    </xdr:pic>
    <xdr:clientData/>
  </xdr:twoCellAnchor>
  <xdr:twoCellAnchor editAs="oneCell">
    <xdr:from>
      <xdr:col>6</xdr:col>
      <xdr:colOff>13609</xdr:colOff>
      <xdr:row>2</xdr:row>
      <xdr:rowOff>83786</xdr:rowOff>
    </xdr:from>
    <xdr:to>
      <xdr:col>10</xdr:col>
      <xdr:colOff>322861</xdr:colOff>
      <xdr:row>17</xdr:row>
      <xdr:rowOff>121227</xdr:rowOff>
    </xdr:to>
    <xdr:pic>
      <xdr:nvPicPr>
        <xdr:cNvPr id="13" name="Picture 12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1478245" y="464786"/>
          <a:ext cx="5181846" cy="2894941"/>
        </a:xfrm>
        <a:prstGeom prst="rect">
          <a:avLst/>
        </a:prstGeom>
      </xdr:spPr>
    </xdr:pic>
    <xdr:clientData/>
  </xdr:twoCellAnchor>
  <xdr:twoCellAnchor editAs="oneCell">
    <xdr:from>
      <xdr:col>5</xdr:col>
      <xdr:colOff>883228</xdr:colOff>
      <xdr:row>21</xdr:row>
      <xdr:rowOff>69273</xdr:rowOff>
    </xdr:from>
    <xdr:to>
      <xdr:col>10</xdr:col>
      <xdr:colOff>415638</xdr:colOff>
      <xdr:row>27</xdr:row>
      <xdr:rowOff>177458</xdr:rowOff>
    </xdr:to>
    <xdr:pic>
      <xdr:nvPicPr>
        <xdr:cNvPr id="14" name="Picture 13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1412683" y="4069773"/>
          <a:ext cx="5334000" cy="1251185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312</xdr:row>
      <xdr:rowOff>0</xdr:rowOff>
    </xdr:from>
    <xdr:to>
      <xdr:col>1</xdr:col>
      <xdr:colOff>304800</xdr:colOff>
      <xdr:row>313</xdr:row>
      <xdr:rowOff>114300</xdr:rowOff>
    </xdr:to>
    <xdr:sp macro="" textlink="">
      <xdr:nvSpPr>
        <xdr:cNvPr id="1066" name="AutoShape 42" descr="Topology of the Flyback converter with energy regenerative snubber. "/>
        <xdr:cNvSpPr>
          <a:spLocks noChangeAspect="1" noChangeArrowheads="1"/>
        </xdr:cNvSpPr>
      </xdr:nvSpPr>
      <xdr:spPr bwMode="auto">
        <a:xfrm>
          <a:off x="1781175" y="4515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307</xdr:row>
      <xdr:rowOff>0</xdr:rowOff>
    </xdr:from>
    <xdr:to>
      <xdr:col>4</xdr:col>
      <xdr:colOff>304800</xdr:colOff>
      <xdr:row>308</xdr:row>
      <xdr:rowOff>114300</xdr:rowOff>
    </xdr:to>
    <xdr:sp macro="" textlink="">
      <xdr:nvSpPr>
        <xdr:cNvPr id="1067" name="AutoShape 43" descr="Topology of the Flyback converter with energy regenerative snubber. "/>
        <xdr:cNvSpPr>
          <a:spLocks noChangeAspect="1" noChangeArrowheads="1"/>
        </xdr:cNvSpPr>
      </xdr:nvSpPr>
      <xdr:spPr bwMode="auto">
        <a:xfrm>
          <a:off x="8972550" y="44777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311</xdr:row>
      <xdr:rowOff>0</xdr:rowOff>
    </xdr:from>
    <xdr:to>
      <xdr:col>1</xdr:col>
      <xdr:colOff>304800</xdr:colOff>
      <xdr:row>312</xdr:row>
      <xdr:rowOff>114300</xdr:rowOff>
    </xdr:to>
    <xdr:sp macro="" textlink="">
      <xdr:nvSpPr>
        <xdr:cNvPr id="18" name="AutoShape 42" descr="Topology of the Flyback converter with energy regenerative snubber. "/>
        <xdr:cNvSpPr>
          <a:spLocks noChangeAspect="1" noChangeArrowheads="1"/>
        </xdr:cNvSpPr>
      </xdr:nvSpPr>
      <xdr:spPr bwMode="auto">
        <a:xfrm>
          <a:off x="1781175" y="457295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40821</xdr:colOff>
      <xdr:row>306</xdr:row>
      <xdr:rowOff>122464</xdr:rowOff>
    </xdr:from>
    <xdr:to>
      <xdr:col>5</xdr:col>
      <xdr:colOff>13820</xdr:colOff>
      <xdr:row>322</xdr:row>
      <xdr:rowOff>65731</xdr:rowOff>
    </xdr:to>
    <xdr:pic>
      <xdr:nvPicPr>
        <xdr:cNvPr id="15" name="Picture 14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9021535" y="44713071"/>
          <a:ext cx="1524213" cy="2991267"/>
        </a:xfrm>
        <a:prstGeom prst="rect">
          <a:avLst/>
        </a:prstGeom>
      </xdr:spPr>
    </xdr:pic>
    <xdr:clientData/>
  </xdr:twoCellAnchor>
  <xdr:twoCellAnchor editAs="oneCell">
    <xdr:from>
      <xdr:col>5</xdr:col>
      <xdr:colOff>394607</xdr:colOff>
      <xdr:row>786</xdr:row>
      <xdr:rowOff>81643</xdr:rowOff>
    </xdr:from>
    <xdr:to>
      <xdr:col>7</xdr:col>
      <xdr:colOff>1282200</xdr:colOff>
      <xdr:row>808</xdr:row>
      <xdr:rowOff>101281</xdr:rowOff>
    </xdr:to>
    <xdr:pic>
      <xdr:nvPicPr>
        <xdr:cNvPr id="6" name="Picture 5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0858500" y="97821750"/>
          <a:ext cx="2915057" cy="4210638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416</xdr:row>
      <xdr:rowOff>0</xdr:rowOff>
    </xdr:from>
    <xdr:to>
      <xdr:col>1</xdr:col>
      <xdr:colOff>304800</xdr:colOff>
      <xdr:row>417</xdr:row>
      <xdr:rowOff>114300</xdr:rowOff>
    </xdr:to>
    <xdr:sp macro="" textlink="">
      <xdr:nvSpPr>
        <xdr:cNvPr id="12" name="AutoShape 42" descr="Topology of the Flyback converter with energy regenerative snubber. "/>
        <xdr:cNvSpPr>
          <a:spLocks noChangeAspect="1" noChangeArrowheads="1"/>
        </xdr:cNvSpPr>
      </xdr:nvSpPr>
      <xdr:spPr bwMode="auto">
        <a:xfrm>
          <a:off x="2027464" y="48400607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458</xdr:row>
      <xdr:rowOff>0</xdr:rowOff>
    </xdr:from>
    <xdr:to>
      <xdr:col>1</xdr:col>
      <xdr:colOff>304800</xdr:colOff>
      <xdr:row>459</xdr:row>
      <xdr:rowOff>114300</xdr:rowOff>
    </xdr:to>
    <xdr:sp macro="" textlink="">
      <xdr:nvSpPr>
        <xdr:cNvPr id="19" name="AutoShape 42" descr="Topology of the Flyback converter with energy regenerative snubber. "/>
        <xdr:cNvSpPr>
          <a:spLocks noChangeAspect="1" noChangeArrowheads="1"/>
        </xdr:cNvSpPr>
      </xdr:nvSpPr>
      <xdr:spPr bwMode="auto">
        <a:xfrm>
          <a:off x="2027464" y="62688107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108859</xdr:colOff>
      <xdr:row>535</xdr:row>
      <xdr:rowOff>27214</xdr:rowOff>
    </xdr:from>
    <xdr:to>
      <xdr:col>7</xdr:col>
      <xdr:colOff>293081</xdr:colOff>
      <xdr:row>536</xdr:row>
      <xdr:rowOff>112978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9593038" y="80241321"/>
          <a:ext cx="3762900" cy="276264"/>
        </a:xfrm>
        <a:prstGeom prst="rect">
          <a:avLst/>
        </a:prstGeom>
      </xdr:spPr>
    </xdr:pic>
    <xdr:clientData/>
  </xdr:twoCellAnchor>
  <xdr:twoCellAnchor editAs="oneCell">
    <xdr:from>
      <xdr:col>4</xdr:col>
      <xdr:colOff>108859</xdr:colOff>
      <xdr:row>536</xdr:row>
      <xdr:rowOff>176892</xdr:rowOff>
    </xdr:from>
    <xdr:to>
      <xdr:col>6</xdr:col>
      <xdr:colOff>228966</xdr:colOff>
      <xdr:row>540</xdr:row>
      <xdr:rowOff>72209</xdr:rowOff>
    </xdr:to>
    <xdr:pic>
      <xdr:nvPicPr>
        <xdr:cNvPr id="5" name="Picture 4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9593038" y="80581499"/>
          <a:ext cx="2610214" cy="657317"/>
        </a:xfrm>
        <a:prstGeom prst="rect">
          <a:avLst/>
        </a:prstGeom>
      </xdr:spPr>
    </xdr:pic>
    <xdr:clientData/>
  </xdr:twoCellAnchor>
  <xdr:twoCellAnchor editAs="oneCell">
    <xdr:from>
      <xdr:col>6</xdr:col>
      <xdr:colOff>122462</xdr:colOff>
      <xdr:row>504</xdr:row>
      <xdr:rowOff>176891</xdr:rowOff>
    </xdr:from>
    <xdr:to>
      <xdr:col>10</xdr:col>
      <xdr:colOff>286453</xdr:colOff>
      <xdr:row>511</xdr:row>
      <xdr:rowOff>53235</xdr:rowOff>
    </xdr:to>
    <xdr:pic>
      <xdr:nvPicPr>
        <xdr:cNvPr id="7" name="Picture 6"/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2287248" y="79628998"/>
          <a:ext cx="5048955" cy="1209844"/>
        </a:xfrm>
        <a:prstGeom prst="rect">
          <a:avLst/>
        </a:prstGeom>
      </xdr:spPr>
    </xdr:pic>
    <xdr:clientData/>
  </xdr:twoCellAnchor>
  <xdr:twoCellAnchor editAs="oneCell">
    <xdr:from>
      <xdr:col>6</xdr:col>
      <xdr:colOff>122463</xdr:colOff>
      <xdr:row>511</xdr:row>
      <xdr:rowOff>81643</xdr:rowOff>
    </xdr:from>
    <xdr:to>
      <xdr:col>8</xdr:col>
      <xdr:colOff>458947</xdr:colOff>
      <xdr:row>519</xdr:row>
      <xdr:rowOff>15171</xdr:rowOff>
    </xdr:to>
    <xdr:pic>
      <xdr:nvPicPr>
        <xdr:cNvPr id="9" name="Picture 8"/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12287249" y="80867250"/>
          <a:ext cx="2772162" cy="1457528"/>
        </a:xfrm>
        <a:prstGeom prst="rect">
          <a:avLst/>
        </a:prstGeom>
      </xdr:spPr>
    </xdr:pic>
    <xdr:clientData/>
  </xdr:twoCellAnchor>
  <xdr:twoCellAnchor editAs="oneCell">
    <xdr:from>
      <xdr:col>6</xdr:col>
      <xdr:colOff>108856</xdr:colOff>
      <xdr:row>521</xdr:row>
      <xdr:rowOff>27214</xdr:rowOff>
    </xdr:from>
    <xdr:to>
      <xdr:col>8</xdr:col>
      <xdr:colOff>1407499</xdr:colOff>
      <xdr:row>540</xdr:row>
      <xdr:rowOff>84877</xdr:rowOff>
    </xdr:to>
    <xdr:pic>
      <xdr:nvPicPr>
        <xdr:cNvPr id="10" name="Picture 9"/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12273642" y="82717821"/>
          <a:ext cx="3734321" cy="3677163"/>
        </a:xfrm>
        <a:prstGeom prst="rect">
          <a:avLst/>
        </a:prstGeom>
      </xdr:spPr>
    </xdr:pic>
    <xdr:clientData/>
  </xdr:twoCellAnchor>
  <xdr:twoCellAnchor editAs="oneCell">
    <xdr:from>
      <xdr:col>9</xdr:col>
      <xdr:colOff>653143</xdr:colOff>
      <xdr:row>521</xdr:row>
      <xdr:rowOff>27215</xdr:rowOff>
    </xdr:from>
    <xdr:to>
      <xdr:col>15</xdr:col>
      <xdr:colOff>557086</xdr:colOff>
      <xdr:row>540</xdr:row>
      <xdr:rowOff>65826</xdr:rowOff>
    </xdr:to>
    <xdr:pic>
      <xdr:nvPicPr>
        <xdr:cNvPr id="11" name="Picture 10"/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16015607" y="82717822"/>
          <a:ext cx="3972479" cy="3658111"/>
        </a:xfrm>
        <a:prstGeom prst="rect">
          <a:avLst/>
        </a:prstGeom>
      </xdr:spPr>
    </xdr:pic>
    <xdr:clientData/>
  </xdr:twoCellAnchor>
  <xdr:twoCellAnchor editAs="oneCell">
    <xdr:from>
      <xdr:col>7</xdr:col>
      <xdr:colOff>312964</xdr:colOff>
      <xdr:row>488</xdr:row>
      <xdr:rowOff>13608</xdr:rowOff>
    </xdr:from>
    <xdr:to>
      <xdr:col>8</xdr:col>
      <xdr:colOff>975913</xdr:colOff>
      <xdr:row>491</xdr:row>
      <xdr:rowOff>147056</xdr:rowOff>
    </xdr:to>
    <xdr:pic>
      <xdr:nvPicPr>
        <xdr:cNvPr id="16" name="Picture 15"/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13566321" y="76417715"/>
          <a:ext cx="2010056" cy="70494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504825</xdr:colOff>
      <xdr:row>0</xdr:row>
      <xdr:rowOff>0</xdr:rowOff>
    </xdr:from>
    <xdr:to>
      <xdr:col>16</xdr:col>
      <xdr:colOff>96214</xdr:colOff>
      <xdr:row>19</xdr:row>
      <xdr:rowOff>67189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391025" y="0"/>
          <a:ext cx="6906589" cy="368668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314325</xdr:colOff>
      <xdr:row>1</xdr:row>
      <xdr:rowOff>9525</xdr:rowOff>
    </xdr:from>
    <xdr:to>
      <xdr:col>10</xdr:col>
      <xdr:colOff>267710</xdr:colOff>
      <xdr:row>15</xdr:row>
      <xdr:rowOff>67055</xdr:rowOff>
    </xdr:to>
    <xdr:pic>
      <xdr:nvPicPr>
        <xdr:cNvPr id="12" name="Picture 1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23925" y="200025"/>
          <a:ext cx="7240010" cy="272453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180975</xdr:rowOff>
    </xdr:from>
    <xdr:to>
      <xdr:col>8</xdr:col>
      <xdr:colOff>105611</xdr:colOff>
      <xdr:row>14</xdr:row>
      <xdr:rowOff>143215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9600" y="371475"/>
          <a:ext cx="5992061" cy="243874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542925</xdr:colOff>
      <xdr:row>1</xdr:row>
      <xdr:rowOff>0</xdr:rowOff>
    </xdr:from>
    <xdr:to>
      <xdr:col>6</xdr:col>
      <xdr:colOff>324803</xdr:colOff>
      <xdr:row>15</xdr:row>
      <xdr:rowOff>155164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42925" y="190500"/>
          <a:ext cx="5058728" cy="2822164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22</xdr:col>
      <xdr:colOff>74543</xdr:colOff>
      <xdr:row>0</xdr:row>
      <xdr:rowOff>74543</xdr:rowOff>
    </xdr:from>
    <xdr:to>
      <xdr:col>25</xdr:col>
      <xdr:colOff>64859</xdr:colOff>
      <xdr:row>2</xdr:row>
      <xdr:rowOff>160333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139108" y="74543"/>
          <a:ext cx="1829055" cy="466790"/>
        </a:xfrm>
        <a:prstGeom prst="rect">
          <a:avLst/>
        </a:prstGeom>
      </xdr:spPr>
    </xdr:pic>
    <xdr:clientData/>
  </xdr:twoCellAnchor>
  <xdr:twoCellAnchor editAs="oneCell">
    <xdr:from>
      <xdr:col>22</xdr:col>
      <xdr:colOff>91109</xdr:colOff>
      <xdr:row>3</xdr:row>
      <xdr:rowOff>16565</xdr:rowOff>
    </xdr:from>
    <xdr:to>
      <xdr:col>23</xdr:col>
      <xdr:colOff>316513</xdr:colOff>
      <xdr:row>5</xdr:row>
      <xdr:rowOff>121408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155674" y="588065"/>
          <a:ext cx="838317" cy="485843"/>
        </a:xfrm>
        <a:prstGeom prst="rect">
          <a:avLst/>
        </a:prstGeom>
      </xdr:spPr>
    </xdr:pic>
    <xdr:clientData/>
  </xdr:twoCellAnchor>
  <xdr:twoCellAnchor>
    <xdr:from>
      <xdr:col>24</xdr:col>
      <xdr:colOff>165651</xdr:colOff>
      <xdr:row>5</xdr:row>
      <xdr:rowOff>140804</xdr:rowOff>
    </xdr:from>
    <xdr:to>
      <xdr:col>28</xdr:col>
      <xdr:colOff>331304</xdr:colOff>
      <xdr:row>16</xdr:row>
      <xdr:rowOff>190499</xdr:rowOff>
    </xdr:to>
    <xdr:sp macro="" textlink="">
      <xdr:nvSpPr>
        <xdr:cNvPr id="4" name="TextBox 3"/>
        <xdr:cNvSpPr txBox="1"/>
      </xdr:nvSpPr>
      <xdr:spPr>
        <a:xfrm>
          <a:off x="4456042" y="1093304"/>
          <a:ext cx="2617305" cy="214519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/>
            <a:t>Deriving equation for V_max so n_r = V_max/V_g </a:t>
          </a:r>
        </a:p>
        <a:p>
          <a:r>
            <a:rPr lang="en-GB" sz="1100"/>
            <a:t>ns = V_g/V_max for no vmin</a:t>
          </a:r>
        </a:p>
        <a:p>
          <a:r>
            <a:rPr lang="en-GB" sz="1100"/>
            <a:t>V_max  = (V_o*V_max/V_g)+(Zos*Imax)</a:t>
          </a:r>
        </a:p>
        <a:p>
          <a:r>
            <a:rPr lang="en-GB" sz="1100"/>
            <a:t>1 = (V_o/V_g)+(Z_ox*I_max/V_max)</a:t>
          </a:r>
        </a:p>
        <a:p>
          <a:endParaRPr lang="en-GB">
            <a:effectLst/>
          </a:endParaRPr>
        </a:p>
        <a:p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1 - (V_o/V_g)=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(Z_ox*I_max/V_max)</a:t>
          </a:r>
        </a:p>
        <a:p>
          <a:endParaRPr lang="en-GB">
            <a:effectLst/>
          </a:endParaRPr>
        </a:p>
        <a:p>
          <a:pPr marL="0" marR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V_max</a:t>
          </a:r>
          <a:endParaRPr lang="en-GB">
            <a:effectLst/>
          </a:endParaRPr>
        </a:p>
        <a:p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=(Z_ox*I_max)/(1 - (V_o/V_g))</a:t>
          </a:r>
          <a:endParaRPr lang="en-GB">
            <a:effectLst/>
          </a:endParaRPr>
        </a:p>
        <a:p>
          <a:endParaRPr lang="en-GB" sz="1100"/>
        </a:p>
        <a:p>
          <a:endParaRPr lang="en-GB" sz="1100"/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161925</xdr:colOff>
      <xdr:row>17</xdr:row>
      <xdr:rowOff>66675</xdr:rowOff>
    </xdr:from>
    <xdr:to>
      <xdr:col>5</xdr:col>
      <xdr:colOff>257273</xdr:colOff>
      <xdr:row>19</xdr:row>
      <xdr:rowOff>133412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305425" y="3305175"/>
          <a:ext cx="704948" cy="447737"/>
        </a:xfrm>
        <a:prstGeom prst="rect">
          <a:avLst/>
        </a:prstGeom>
      </xdr:spPr>
    </xdr:pic>
    <xdr:clientData/>
  </xdr:twoCellAnchor>
  <xdr:twoCellAnchor editAs="oneCell">
    <xdr:from>
      <xdr:col>4</xdr:col>
      <xdr:colOff>285750</xdr:colOff>
      <xdr:row>20</xdr:row>
      <xdr:rowOff>95250</xdr:rowOff>
    </xdr:from>
    <xdr:to>
      <xdr:col>10</xdr:col>
      <xdr:colOff>48102</xdr:colOff>
      <xdr:row>31</xdr:row>
      <xdr:rowOff>57437</xdr:rowOff>
    </xdr:to>
    <xdr:pic>
      <xdr:nvPicPr>
        <xdr:cNvPr id="4" name="Picture 3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429250" y="3905250"/>
          <a:ext cx="3419952" cy="2057687"/>
        </a:xfrm>
        <a:prstGeom prst="rect">
          <a:avLst/>
        </a:prstGeom>
      </xdr:spPr>
    </xdr:pic>
    <xdr:clientData/>
  </xdr:twoCellAnchor>
  <xdr:twoCellAnchor editAs="oneCell">
    <xdr:from>
      <xdr:col>4</xdr:col>
      <xdr:colOff>276225</xdr:colOff>
      <xdr:row>31</xdr:row>
      <xdr:rowOff>114300</xdr:rowOff>
    </xdr:from>
    <xdr:to>
      <xdr:col>10</xdr:col>
      <xdr:colOff>57630</xdr:colOff>
      <xdr:row>41</xdr:row>
      <xdr:rowOff>171724</xdr:rowOff>
    </xdr:to>
    <xdr:pic>
      <xdr:nvPicPr>
        <xdr:cNvPr id="5" name="Picture 4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5419725" y="6019800"/>
          <a:ext cx="3439005" cy="1962424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9525</xdr:colOff>
      <xdr:row>0</xdr:row>
      <xdr:rowOff>0</xdr:rowOff>
    </xdr:from>
    <xdr:to>
      <xdr:col>18</xdr:col>
      <xdr:colOff>591652</xdr:colOff>
      <xdr:row>24</xdr:row>
      <xdr:rowOff>86375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667125" y="0"/>
          <a:ext cx="7897327" cy="46583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hyperlink" Target="https://www.mouser.co.uk/ProductDetail/KEMET/R75IW5270AA40J?qs=aP1CjGhiNiEaI%2F7WsvzojQ%3D%3D" TargetMode="External"/><Relationship Id="rId7" Type="http://schemas.openxmlformats.org/officeDocument/2006/relationships/hyperlink" Target="https://www.mouser.co.uk/ProductDetail/TDK/FG26X7R2A105KNT06?qs=sGAEpiMZZMvsSlwiRhF8qjQUafaa8S5xA6BgDdbMmMhufnE%252BCCuluQ%3D%3D" TargetMode="External"/><Relationship Id="rId2" Type="http://schemas.openxmlformats.org/officeDocument/2006/relationships/hyperlink" Target="https://www.mouser.co.uk/ProductDetail/Microchip-Technology/MCP6021-E-P?qs=W2ndVjZwIIKVhoK39SuWRw%3D%3D" TargetMode="External"/><Relationship Id="rId1" Type="http://schemas.openxmlformats.org/officeDocument/2006/relationships/hyperlink" Target="https://www.mouser.co.uk/datasheet/2/281/MHR0422SA_series_data_sheet-1594297.pdf" TargetMode="External"/><Relationship Id="rId6" Type="http://schemas.openxmlformats.org/officeDocument/2006/relationships/hyperlink" Target="https://www.google.com/search?rlz=1C1OPNX_en-GBGB1133GB1133&amp;cs=1&amp;sca_esv=4f5104ed2b7290e9&amp;sxsrf=AE3TifMBc50EgN_UZeP2TYUaGrAgspuFug%3A1759801360140&amp;q=J%2Fkg%C2%B0C&amp;sa=X&amp;ved=2ahUKEwiAhqn3-pCQAxXbdUEAHcW_ATkQxccNegQIAhAB&amp;mstk=AUtExfBlWf-iKv0tU0x2ALq09kWMnBQLhxnNYa2XTpG6pPdO5k7aHSqqJ135od3xa3OduL5zCUbpNSJRrXFFi2dw0HVU1mc6M78ooul2ZfxT_QB8nPXg0tyJUQMbzMQIRGbDYMG4s69ONoPYyNMGJ4ikkBBv3C0ilHQb5nWaLEDP5a92kXZ-0-li7ATNT1MVYS4_Hl4CpA3jXt8GPmH5rd3Mpb8t8CJPQawnurIf3-5RlejN0Nh5c9e0jym_MrH_UTrMSq60HuFVQ1y4epwqdklQhthXgIM3ozc3jSicaYsJOPIstg&amp;csui=3" TargetMode="External"/><Relationship Id="rId5" Type="http://schemas.openxmlformats.org/officeDocument/2006/relationships/hyperlink" Target="https://www.mouser.co.uk/ProductDetail/KEMET/R75RR322050L4J?qs=zW32dvEIR3sfSLCevL5nlQ%3D%3D" TargetMode="External"/><Relationship Id="rId4" Type="http://schemas.openxmlformats.org/officeDocument/2006/relationships/hyperlink" Target="https://www.mouser.co.uk/ProductDetail/EPCOS-TDK/B32674D4605K000?qs=mz7Iz7JhaAUE8TovPOC19w%3D%3D" TargetMode="External"/><Relationship Id="rId9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X914"/>
  <sheetViews>
    <sheetView tabSelected="1" topLeftCell="B512" zoomScale="85" zoomScaleNormal="85" workbookViewId="0">
      <selection activeCell="C497" sqref="C497"/>
    </sheetView>
  </sheetViews>
  <sheetFormatPr defaultRowHeight="15" x14ac:dyDescent="0.25"/>
  <cols>
    <col min="1" max="1" width="30.42578125" customWidth="1"/>
    <col min="2" max="2" width="23.28515625" customWidth="1"/>
    <col min="3" max="3" width="68.140625" customWidth="1"/>
    <col min="4" max="5" width="23.28515625" customWidth="1"/>
    <col min="6" max="6" width="14" customWidth="1"/>
    <col min="7" max="7" width="16.28515625" customWidth="1"/>
    <col min="8" max="8" width="20.140625" customWidth="1"/>
    <col min="9" max="9" width="25.85546875" customWidth="1"/>
    <col min="10" max="10" width="10.7109375" customWidth="1"/>
    <col min="11" max="11" width="11" customWidth="1"/>
    <col min="12" max="12" width="11.5703125" customWidth="1"/>
    <col min="17" max="17" width="55.85546875" customWidth="1"/>
    <col min="18" max="18" width="27.28515625" customWidth="1"/>
  </cols>
  <sheetData>
    <row r="1" spans="1:7" x14ac:dyDescent="0.25">
      <c r="A1" t="s">
        <v>125</v>
      </c>
      <c r="B1" t="s">
        <v>124</v>
      </c>
      <c r="C1" t="s">
        <v>123</v>
      </c>
      <c r="D1" t="s">
        <v>65</v>
      </c>
      <c r="E1" t="s">
        <v>19</v>
      </c>
      <c r="F1" t="s">
        <v>975</v>
      </c>
    </row>
    <row r="2" spans="1:7" x14ac:dyDescent="0.25">
      <c r="C2" s="5" t="s">
        <v>72</v>
      </c>
      <c r="D2" s="5">
        <v>200</v>
      </c>
      <c r="E2" t="s">
        <v>22</v>
      </c>
    </row>
    <row r="3" spans="1:7" x14ac:dyDescent="0.25">
      <c r="B3" s="5" t="s">
        <v>47</v>
      </c>
      <c r="C3" s="5" t="s">
        <v>46</v>
      </c>
      <c r="D3" s="5">
        <v>16000</v>
      </c>
      <c r="E3" t="s">
        <v>68</v>
      </c>
    </row>
    <row r="4" spans="1:7" x14ac:dyDescent="0.25">
      <c r="C4" t="s">
        <v>4</v>
      </c>
      <c r="D4">
        <v>1.2</v>
      </c>
    </row>
    <row r="5" spans="1:7" x14ac:dyDescent="0.25">
      <c r="B5" t="s">
        <v>37</v>
      </c>
      <c r="C5" t="s">
        <v>43</v>
      </c>
      <c r="D5">
        <f>11.8*3</f>
        <v>35.400000000000006</v>
      </c>
      <c r="E5" t="s">
        <v>21</v>
      </c>
    </row>
    <row r="6" spans="1:7" x14ac:dyDescent="0.25">
      <c r="B6" t="s">
        <v>474</v>
      </c>
      <c r="C6" t="s">
        <v>475</v>
      </c>
      <c r="D6">
        <f>12.7*3</f>
        <v>38.099999999999994</v>
      </c>
      <c r="E6" t="s">
        <v>21</v>
      </c>
    </row>
    <row r="7" spans="1:7" x14ac:dyDescent="0.25">
      <c r="B7" t="s">
        <v>38</v>
      </c>
      <c r="C7" t="s">
        <v>42</v>
      </c>
      <c r="D7">
        <v>44.1</v>
      </c>
      <c r="E7" t="s">
        <v>21</v>
      </c>
    </row>
    <row r="8" spans="1:7" x14ac:dyDescent="0.25">
      <c r="B8" t="s">
        <v>71</v>
      </c>
      <c r="C8" t="s">
        <v>70</v>
      </c>
      <c r="D8">
        <v>80000</v>
      </c>
      <c r="E8" t="s">
        <v>21</v>
      </c>
    </row>
    <row r="9" spans="1:7" x14ac:dyDescent="0.25">
      <c r="B9" t="s">
        <v>59</v>
      </c>
      <c r="C9" t="s">
        <v>69</v>
      </c>
      <c r="D9">
        <v>60000</v>
      </c>
      <c r="E9" t="s">
        <v>21</v>
      </c>
    </row>
    <row r="10" spans="1:7" x14ac:dyDescent="0.25">
      <c r="B10" s="5"/>
      <c r="C10" s="5" t="s">
        <v>1</v>
      </c>
      <c r="D10" s="5">
        <f>D2/D9</f>
        <v>3.3333333333333335E-3</v>
      </c>
      <c r="E10" s="5" t="s">
        <v>20</v>
      </c>
      <c r="G10">
        <f>0.002*0.002*8000000</f>
        <v>32</v>
      </c>
    </row>
    <row r="11" spans="1:7" x14ac:dyDescent="0.25">
      <c r="B11" s="5"/>
      <c r="C11" s="5" t="s">
        <v>128</v>
      </c>
      <c r="D11" s="5">
        <f>D2/D8</f>
        <v>2.5000000000000001E-3</v>
      </c>
      <c r="E11" s="5" t="s">
        <v>20</v>
      </c>
    </row>
    <row r="12" spans="1:7" x14ac:dyDescent="0.25">
      <c r="C12" t="s">
        <v>17</v>
      </c>
      <c r="D12" s="22">
        <v>14000</v>
      </c>
      <c r="E12" t="s">
        <v>21</v>
      </c>
    </row>
    <row r="13" spans="1:7" x14ac:dyDescent="0.25">
      <c r="B13" s="5" t="s">
        <v>101</v>
      </c>
      <c r="C13" s="5" t="s">
        <v>0</v>
      </c>
      <c r="D13" s="5">
        <f>ROUND(D8/D12, 0)</f>
        <v>6</v>
      </c>
      <c r="E13" s="5"/>
    </row>
    <row r="14" spans="1:7" x14ac:dyDescent="0.25">
      <c r="B14" s="7" t="s">
        <v>100</v>
      </c>
      <c r="C14" s="7" t="s">
        <v>99</v>
      </c>
      <c r="D14" s="7">
        <v>6</v>
      </c>
      <c r="E14" s="7"/>
    </row>
    <row r="15" spans="1:7" x14ac:dyDescent="0.25">
      <c r="B15" s="5"/>
      <c r="C15" s="5" t="s">
        <v>66</v>
      </c>
      <c r="D15" s="5" t="b">
        <f>D14&gt;=D13</f>
        <v>1</v>
      </c>
      <c r="E15" s="5"/>
    </row>
    <row r="16" spans="1:7" x14ac:dyDescent="0.25">
      <c r="C16" t="s">
        <v>5</v>
      </c>
      <c r="D16" s="1">
        <v>1.0000000000000001E-9</v>
      </c>
      <c r="E16" t="s">
        <v>23</v>
      </c>
    </row>
    <row r="17" spans="1:11" x14ac:dyDescent="0.25">
      <c r="A17" s="7"/>
      <c r="B17" s="7"/>
      <c r="C17" s="7"/>
      <c r="D17" s="7"/>
      <c r="E17" s="7"/>
    </row>
    <row r="18" spans="1:11" x14ac:dyDescent="0.25">
      <c r="A18" s="7"/>
      <c r="B18" s="7"/>
      <c r="C18" s="7"/>
      <c r="D18" s="7"/>
      <c r="E18" s="7"/>
    </row>
    <row r="19" spans="1:11" x14ac:dyDescent="0.25">
      <c r="A19" s="7"/>
      <c r="B19" s="7"/>
      <c r="C19" s="7"/>
      <c r="D19" s="12"/>
      <c r="E19" s="7"/>
      <c r="G19" s="75" t="s">
        <v>569</v>
      </c>
      <c r="H19" s="75"/>
      <c r="I19" s="75"/>
      <c r="J19" s="75"/>
    </row>
    <row r="20" spans="1:11" x14ac:dyDescent="0.25">
      <c r="A20" s="74" t="s">
        <v>98</v>
      </c>
      <c r="B20" t="s">
        <v>96</v>
      </c>
      <c r="C20" t="s">
        <v>2</v>
      </c>
      <c r="D20">
        <v>0.3</v>
      </c>
      <c r="E20" t="s">
        <v>20</v>
      </c>
      <c r="G20" s="75"/>
      <c r="H20" s="75"/>
      <c r="I20" s="75"/>
      <c r="J20" s="75"/>
    </row>
    <row r="21" spans="1:11" x14ac:dyDescent="0.25">
      <c r="A21" s="74"/>
      <c r="B21" s="5"/>
      <c r="C21" s="5" t="s">
        <v>3</v>
      </c>
      <c r="D21" s="5">
        <f>D20/D4</f>
        <v>0.25</v>
      </c>
      <c r="E21" s="5" t="s">
        <v>20</v>
      </c>
      <c r="G21" s="75"/>
      <c r="H21" s="75"/>
      <c r="I21" s="75"/>
      <c r="J21" s="75"/>
    </row>
    <row r="22" spans="1:11" x14ac:dyDescent="0.25">
      <c r="A22" s="74"/>
      <c r="B22" t="s">
        <v>64</v>
      </c>
      <c r="C22" t="s">
        <v>97</v>
      </c>
      <c r="D22">
        <v>0.1</v>
      </c>
      <c r="G22" s="75"/>
      <c r="H22" s="75"/>
      <c r="I22" s="75"/>
      <c r="J22" s="75"/>
    </row>
    <row r="23" spans="1:11" x14ac:dyDescent="0.25">
      <c r="A23" s="74"/>
      <c r="B23" s="5"/>
      <c r="C23" s="11" t="s">
        <v>67</v>
      </c>
      <c r="D23" s="5">
        <f>D22/D4</f>
        <v>8.3333333333333343E-2</v>
      </c>
      <c r="E23" s="5"/>
    </row>
    <row r="24" spans="1:11" x14ac:dyDescent="0.25">
      <c r="A24" s="74"/>
      <c r="C24" t="s">
        <v>7</v>
      </c>
      <c r="D24">
        <v>35</v>
      </c>
    </row>
    <row r="25" spans="1:11" x14ac:dyDescent="0.25">
      <c r="A25" s="74"/>
      <c r="B25" s="5"/>
      <c r="C25" s="5" t="s">
        <v>28</v>
      </c>
      <c r="D25" s="5"/>
      <c r="E25" s="5"/>
    </row>
    <row r="26" spans="1:11" x14ac:dyDescent="0.25">
      <c r="A26" s="74"/>
      <c r="B26" s="5"/>
      <c r="C26" s="5" t="s">
        <v>12</v>
      </c>
      <c r="D26" s="5">
        <f>D24*D10</f>
        <v>0.11666666666666667</v>
      </c>
      <c r="E26" s="5" t="s">
        <v>22</v>
      </c>
    </row>
    <row r="27" spans="1:11" x14ac:dyDescent="0.25">
      <c r="A27" s="74"/>
      <c r="B27" s="5"/>
      <c r="C27" s="5" t="s">
        <v>11</v>
      </c>
      <c r="D27" s="5">
        <f>D26*D14</f>
        <v>0.7</v>
      </c>
      <c r="E27" s="5" t="s">
        <v>22</v>
      </c>
    </row>
    <row r="28" spans="1:11" x14ac:dyDescent="0.25">
      <c r="A28" s="74"/>
      <c r="C28" t="s">
        <v>8</v>
      </c>
      <c r="D28">
        <v>100</v>
      </c>
      <c r="E28" t="s">
        <v>21</v>
      </c>
    </row>
    <row r="29" spans="1:11" x14ac:dyDescent="0.25">
      <c r="A29" s="74"/>
      <c r="C29" t="s">
        <v>10</v>
      </c>
      <c r="D29" s="1">
        <f>D71/D14</f>
        <v>0</v>
      </c>
      <c r="E29" t="s">
        <v>25</v>
      </c>
      <c r="G29" s="75" t="s">
        <v>570</v>
      </c>
      <c r="H29" s="76"/>
      <c r="I29" s="76"/>
      <c r="J29" s="76"/>
      <c r="K29" s="76"/>
    </row>
    <row r="30" spans="1:11" x14ac:dyDescent="0.25">
      <c r="B30" s="7"/>
      <c r="C30" s="9"/>
      <c r="D30" s="7"/>
      <c r="E30" s="7"/>
      <c r="G30" s="76"/>
      <c r="H30" s="76"/>
      <c r="I30" s="76"/>
      <c r="J30" s="76"/>
      <c r="K30" s="76"/>
    </row>
    <row r="31" spans="1:11" ht="15" customHeight="1" x14ac:dyDescent="0.25">
      <c r="A31" s="74" t="s">
        <v>126</v>
      </c>
      <c r="B31" s="5"/>
      <c r="C31" s="5"/>
      <c r="D31" s="5"/>
      <c r="E31" s="6"/>
      <c r="G31" s="76"/>
      <c r="H31" s="76"/>
      <c r="I31" s="76"/>
      <c r="J31" s="76"/>
      <c r="K31" s="76"/>
    </row>
    <row r="32" spans="1:11" x14ac:dyDescent="0.25">
      <c r="A32" s="74"/>
      <c r="B32" s="5"/>
      <c r="C32" s="5" t="s">
        <v>120</v>
      </c>
      <c r="D32" s="5">
        <f>D8/D23</f>
        <v>959999.99999999988</v>
      </c>
      <c r="E32" s="6" t="s">
        <v>24</v>
      </c>
      <c r="G32" s="76"/>
      <c r="H32" s="76"/>
      <c r="I32" s="76"/>
      <c r="J32" s="76"/>
      <c r="K32" s="76"/>
    </row>
    <row r="33" spans="1:11" x14ac:dyDescent="0.25">
      <c r="A33" s="74"/>
      <c r="B33" s="7"/>
      <c r="C33" s="7" t="s">
        <v>121</v>
      </c>
      <c r="D33" s="7">
        <v>200000</v>
      </c>
      <c r="E33" s="8" t="s">
        <v>24</v>
      </c>
      <c r="G33" s="76"/>
      <c r="H33" s="76"/>
      <c r="I33" s="76"/>
      <c r="J33" s="76"/>
      <c r="K33" s="76"/>
    </row>
    <row r="34" spans="1:11" x14ac:dyDescent="0.25">
      <c r="A34" s="74"/>
      <c r="B34" s="7"/>
      <c r="C34" s="7" t="s">
        <v>122</v>
      </c>
      <c r="D34" s="7">
        <v>5</v>
      </c>
      <c r="E34" s="8"/>
      <c r="G34" s="76"/>
      <c r="H34" s="76"/>
      <c r="I34" s="76"/>
      <c r="J34" s="76"/>
      <c r="K34" s="76"/>
    </row>
    <row r="35" spans="1:11" x14ac:dyDescent="0.25">
      <c r="A35" s="74"/>
      <c r="C35" t="s">
        <v>127</v>
      </c>
      <c r="D35">
        <f>D33*D34</f>
        <v>1000000</v>
      </c>
    </row>
    <row r="36" spans="1:11" x14ac:dyDescent="0.25">
      <c r="A36" s="74"/>
      <c r="C36" t="s">
        <v>130</v>
      </c>
      <c r="D36">
        <v>5</v>
      </c>
      <c r="E36" t="s">
        <v>162</v>
      </c>
    </row>
    <row r="37" spans="1:11" x14ac:dyDescent="0.25">
      <c r="A37" s="74"/>
      <c r="C37" t="s">
        <v>163</v>
      </c>
      <c r="D37">
        <f>(1+(D36/200))*D35</f>
        <v>1024999.9999999999</v>
      </c>
    </row>
    <row r="38" spans="1:11" x14ac:dyDescent="0.25">
      <c r="A38" s="74"/>
      <c r="C38" t="s">
        <v>164</v>
      </c>
      <c r="D38">
        <f>(1-(D36/200))*D35</f>
        <v>975000</v>
      </c>
    </row>
    <row r="39" spans="1:11" x14ac:dyDescent="0.25">
      <c r="A39" s="74"/>
      <c r="B39" s="5"/>
      <c r="C39" s="5" t="s">
        <v>9</v>
      </c>
      <c r="D39" s="5">
        <f>D8/D38</f>
        <v>8.2051282051282051E-2</v>
      </c>
      <c r="E39" s="5" t="s">
        <v>20</v>
      </c>
    </row>
    <row r="40" spans="1:11" x14ac:dyDescent="0.25">
      <c r="A40" s="74"/>
      <c r="B40" s="5"/>
      <c r="C40" s="5" t="s">
        <v>748</v>
      </c>
      <c r="D40" s="5">
        <f>POWER(D10, 2)*D37</f>
        <v>11.388888888888889</v>
      </c>
      <c r="E40" s="5" t="s">
        <v>22</v>
      </c>
    </row>
    <row r="41" spans="1:11" x14ac:dyDescent="0.25">
      <c r="A41" s="74"/>
      <c r="B41" s="5"/>
      <c r="C41" s="5" t="s">
        <v>165</v>
      </c>
      <c r="D41" s="5">
        <f>D40/D34</f>
        <v>2.2777777777777777</v>
      </c>
      <c r="E41" s="5"/>
    </row>
    <row r="42" spans="1:11" x14ac:dyDescent="0.25">
      <c r="A42" s="74"/>
      <c r="B42" s="5"/>
      <c r="C42" s="5" t="s">
        <v>166</v>
      </c>
      <c r="D42" s="5">
        <f>D33*POWER(D102, 2)/(2*3)</f>
        <v>231.48148148148152</v>
      </c>
      <c r="E42" s="5"/>
    </row>
    <row r="43" spans="1:11" x14ac:dyDescent="0.25">
      <c r="A43" s="74"/>
      <c r="B43" s="5"/>
      <c r="C43" s="5" t="s">
        <v>749</v>
      </c>
      <c r="D43" s="5">
        <f>POWER(D11, 2)*D37</f>
        <v>6.40625</v>
      </c>
      <c r="E43" s="5" t="s">
        <v>22</v>
      </c>
    </row>
    <row r="44" spans="1:11" x14ac:dyDescent="0.25">
      <c r="A44" s="74"/>
      <c r="B44" s="5"/>
      <c r="C44" s="5" t="s">
        <v>27</v>
      </c>
      <c r="D44" s="10">
        <f>D74/D34</f>
        <v>0.23520000000000002</v>
      </c>
      <c r="E44" s="5" t="s">
        <v>25</v>
      </c>
    </row>
    <row r="45" spans="1:11" x14ac:dyDescent="0.25">
      <c r="A45" s="74"/>
      <c r="B45" s="5"/>
      <c r="C45" s="5" t="s">
        <v>746</v>
      </c>
      <c r="D45" s="10">
        <v>3</v>
      </c>
      <c r="E45" s="5" t="s">
        <v>22</v>
      </c>
    </row>
    <row r="46" spans="1:11" x14ac:dyDescent="0.25">
      <c r="A46" s="74"/>
      <c r="B46" s="5"/>
      <c r="C46" s="5" t="s">
        <v>747</v>
      </c>
      <c r="D46" t="b">
        <f>D45/D4&gt;=D41</f>
        <v>1</v>
      </c>
      <c r="E46" s="5"/>
    </row>
    <row r="47" spans="1:11" x14ac:dyDescent="0.25">
      <c r="A47" s="74"/>
      <c r="B47" s="5"/>
      <c r="C47" s="5" t="s">
        <v>750</v>
      </c>
      <c r="D47" s="10">
        <f>D45*D34/D4</f>
        <v>12.5</v>
      </c>
      <c r="E47" s="5"/>
    </row>
    <row r="48" spans="1:11" x14ac:dyDescent="0.25">
      <c r="A48" s="74"/>
      <c r="B48" s="5"/>
      <c r="C48" s="5"/>
      <c r="D48" s="10"/>
      <c r="E48" s="5"/>
    </row>
    <row r="49" spans="1:18" x14ac:dyDescent="0.25">
      <c r="A49" s="74"/>
      <c r="B49" s="7"/>
      <c r="C49" s="7" t="s">
        <v>752</v>
      </c>
      <c r="D49" s="12">
        <f>22000</f>
        <v>22000</v>
      </c>
      <c r="E49" s="7"/>
    </row>
    <row r="50" spans="1:18" x14ac:dyDescent="0.25">
      <c r="A50" s="74"/>
      <c r="B50" s="7"/>
      <c r="C50" s="7" t="s">
        <v>662</v>
      </c>
      <c r="D50" s="12">
        <v>0.1</v>
      </c>
      <c r="E50" s="7"/>
    </row>
    <row r="51" spans="1:18" x14ac:dyDescent="0.25">
      <c r="A51" s="74"/>
      <c r="B51" s="7"/>
      <c r="C51" s="7" t="s">
        <v>663</v>
      </c>
      <c r="D51" s="12">
        <v>0.06</v>
      </c>
      <c r="E51" s="7"/>
    </row>
    <row r="52" spans="1:18" x14ac:dyDescent="0.25">
      <c r="A52" s="74"/>
      <c r="B52" s="7"/>
      <c r="C52" s="7" t="s">
        <v>753</v>
      </c>
      <c r="D52" s="12">
        <f>PI()*D51*D51/4</f>
        <v>2.8274333882308137E-3</v>
      </c>
      <c r="E52" s="7"/>
    </row>
    <row r="53" spans="1:18" x14ac:dyDescent="0.25">
      <c r="A53" s="74"/>
      <c r="B53" s="39"/>
      <c r="C53" s="39" t="s">
        <v>194</v>
      </c>
      <c r="D53" s="40">
        <f>D49*D50/D52</f>
        <v>778090.83289371058</v>
      </c>
      <c r="E53" s="39"/>
    </row>
    <row r="54" spans="1:18" x14ac:dyDescent="0.25">
      <c r="A54" s="74"/>
      <c r="B54" s="5"/>
      <c r="C54" s="5" t="s">
        <v>755</v>
      </c>
      <c r="D54" s="10">
        <f>D51*D52</f>
        <v>1.696460032938488E-4</v>
      </c>
      <c r="E54" s="5"/>
    </row>
    <row r="55" spans="1:18" x14ac:dyDescent="0.25">
      <c r="A55" s="74"/>
      <c r="B55" s="5"/>
      <c r="C55" s="5" t="s">
        <v>756</v>
      </c>
      <c r="D55" s="10">
        <v>3990</v>
      </c>
      <c r="E55" s="41" t="s">
        <v>757</v>
      </c>
    </row>
    <row r="56" spans="1:18" x14ac:dyDescent="0.25">
      <c r="A56" s="74"/>
      <c r="B56" s="5"/>
      <c r="C56" s="5" t="s">
        <v>758</v>
      </c>
      <c r="D56" s="10">
        <v>1020</v>
      </c>
      <c r="E56" s="5"/>
    </row>
    <row r="57" spans="1:18" x14ac:dyDescent="0.25">
      <c r="A57" s="74"/>
      <c r="B57" s="5"/>
      <c r="C57" s="5" t="s">
        <v>754</v>
      </c>
      <c r="D57" s="10">
        <f>D56*D54*D55</f>
        <v>690.42530420530591</v>
      </c>
      <c r="E57" s="5"/>
    </row>
    <row r="58" spans="1:18" x14ac:dyDescent="0.25">
      <c r="A58" s="74"/>
      <c r="B58" s="5"/>
      <c r="C58" s="5" t="s">
        <v>759</v>
      </c>
      <c r="D58" s="10">
        <f>20</f>
        <v>20</v>
      </c>
      <c r="E58" s="5"/>
    </row>
    <row r="59" spans="1:18" x14ac:dyDescent="0.25">
      <c r="A59" s="74"/>
      <c r="B59" s="5"/>
      <c r="C59" s="5" t="s">
        <v>760</v>
      </c>
      <c r="D59" s="10">
        <f>D58*D57</f>
        <v>13808.506084106119</v>
      </c>
      <c r="E59" s="5"/>
    </row>
    <row r="60" spans="1:18" x14ac:dyDescent="0.25">
      <c r="B60" s="7"/>
      <c r="P60" t="s">
        <v>73</v>
      </c>
      <c r="Q60" t="s">
        <v>74</v>
      </c>
      <c r="R60">
        <v>0.1</v>
      </c>
    </row>
    <row r="61" spans="1:18" ht="15" customHeight="1" x14ac:dyDescent="0.25">
      <c r="A61" s="74" t="s">
        <v>30</v>
      </c>
      <c r="C61" s="7" t="s">
        <v>29</v>
      </c>
      <c r="D61" s="7">
        <v>180</v>
      </c>
      <c r="E61" s="7" t="s">
        <v>323</v>
      </c>
      <c r="P61" t="s">
        <v>75</v>
      </c>
      <c r="Q61" t="s">
        <v>76</v>
      </c>
      <c r="R61">
        <f xml:space="preserve"> D8/R60</f>
        <v>800000</v>
      </c>
    </row>
    <row r="62" spans="1:18" x14ac:dyDescent="0.25">
      <c r="A62" s="74"/>
      <c r="C62" s="7" t="s">
        <v>26</v>
      </c>
      <c r="D62" s="7">
        <v>30</v>
      </c>
      <c r="E62" s="7" t="s">
        <v>21</v>
      </c>
      <c r="P62" t="s">
        <v>77</v>
      </c>
      <c r="Q62" t="s">
        <v>78</v>
      </c>
      <c r="R62">
        <f>D2/D8</f>
        <v>2.5000000000000001E-3</v>
      </c>
    </row>
    <row r="63" spans="1:18" x14ac:dyDescent="0.25">
      <c r="A63" s="74"/>
      <c r="B63" s="5"/>
      <c r="C63" s="5" t="s">
        <v>13</v>
      </c>
      <c r="D63" s="5">
        <f>D62/D14</f>
        <v>5</v>
      </c>
      <c r="E63" s="5" t="s">
        <v>323</v>
      </c>
      <c r="P63" t="s">
        <v>79</v>
      </c>
      <c r="Q63" t="s">
        <v>80</v>
      </c>
      <c r="R63">
        <f xml:space="preserve"> D2/D9</f>
        <v>3.3333333333333335E-3</v>
      </c>
    </row>
    <row r="64" spans="1:18" x14ac:dyDescent="0.25">
      <c r="A64" s="74"/>
      <c r="B64" s="5"/>
      <c r="C64" s="5" t="s">
        <v>14</v>
      </c>
      <c r="D64" s="10">
        <f>D61/(D16*LN(D12/D63))</f>
        <v>22677523348.74741</v>
      </c>
      <c r="E64" s="6" t="s">
        <v>24</v>
      </c>
      <c r="Q64" t="s">
        <v>81</v>
      </c>
      <c r="R64">
        <f>R62*R61</f>
        <v>2000</v>
      </c>
    </row>
    <row r="65" spans="1:18" x14ac:dyDescent="0.25">
      <c r="A65" s="74"/>
      <c r="C65" s="7" t="s">
        <v>16</v>
      </c>
      <c r="D65" s="12">
        <f>1000000000*15</f>
        <v>15000000000</v>
      </c>
      <c r="E65" s="8" t="s">
        <v>24</v>
      </c>
      <c r="G65" t="s">
        <v>31</v>
      </c>
      <c r="Q65" t="s">
        <v>82</v>
      </c>
      <c r="R65">
        <f>R63*R61</f>
        <v>2666.666666666667</v>
      </c>
    </row>
    <row r="66" spans="1:18" x14ac:dyDescent="0.25">
      <c r="A66" s="74"/>
      <c r="B66" s="5"/>
      <c r="C66" s="5" t="s">
        <v>102</v>
      </c>
      <c r="D66" s="10">
        <f>D12*D12/D65</f>
        <v>1.3066666666666667E-2</v>
      </c>
      <c r="E66" s="5" t="s">
        <v>22</v>
      </c>
      <c r="Q66" t="s">
        <v>83</v>
      </c>
      <c r="R66">
        <f xml:space="preserve"> POWER(R64, 2)/R61</f>
        <v>5</v>
      </c>
    </row>
    <row r="67" spans="1:18" x14ac:dyDescent="0.25">
      <c r="A67" s="74"/>
      <c r="B67" s="5"/>
      <c r="C67" s="5" t="s">
        <v>15</v>
      </c>
      <c r="D67" s="10">
        <f>2*D66*D14</f>
        <v>0.15679999999999999</v>
      </c>
      <c r="E67" s="5" t="s">
        <v>22</v>
      </c>
      <c r="Q67" t="s">
        <v>84</v>
      </c>
      <c r="R67">
        <f xml:space="preserve"> POWER(R65, 2)/R61</f>
        <v>8.8888888888888911</v>
      </c>
    </row>
    <row r="68" spans="1:18" x14ac:dyDescent="0.25">
      <c r="A68" s="74"/>
      <c r="B68" s="5"/>
      <c r="C68" s="5" t="s">
        <v>32</v>
      </c>
      <c r="D68" s="10">
        <f>D65*D16*LN(D12/D63)</f>
        <v>119.06062044244945</v>
      </c>
      <c r="E68" s="5"/>
    </row>
    <row r="69" spans="1:18" x14ac:dyDescent="0.25">
      <c r="A69" s="74"/>
      <c r="B69" s="5"/>
      <c r="C69" s="5" t="s">
        <v>103</v>
      </c>
      <c r="D69" s="10" t="b">
        <f>D68&lt;=D61</f>
        <v>1</v>
      </c>
      <c r="E69" s="5"/>
    </row>
    <row r="70" spans="1:18" x14ac:dyDescent="0.25">
      <c r="A70" s="13"/>
      <c r="B70" s="7"/>
      <c r="C70" s="7"/>
      <c r="D70" s="12"/>
      <c r="E70" s="7"/>
    </row>
    <row r="71" spans="1:18" x14ac:dyDescent="0.25">
      <c r="A71" s="73" t="s">
        <v>104</v>
      </c>
      <c r="C71" s="5"/>
      <c r="D71" s="10"/>
      <c r="E71" s="5"/>
    </row>
    <row r="72" spans="1:18" x14ac:dyDescent="0.25">
      <c r="A72" s="73"/>
      <c r="B72" s="5"/>
      <c r="C72" s="5" t="s">
        <v>85</v>
      </c>
      <c r="D72" s="5">
        <f>D2/D3</f>
        <v>1.2500000000000001E-2</v>
      </c>
      <c r="E72" s="5"/>
    </row>
    <row r="73" spans="1:18" x14ac:dyDescent="0.25">
      <c r="A73" s="73"/>
      <c r="B73" s="5" t="s">
        <v>119</v>
      </c>
      <c r="C73" s="5" t="s">
        <v>6</v>
      </c>
      <c r="D73" s="10">
        <f>D12*D12*0.5*D16</f>
        <v>9.8000000000000004E-2</v>
      </c>
      <c r="E73" s="5" t="s">
        <v>25</v>
      </c>
    </row>
    <row r="74" spans="1:18" x14ac:dyDescent="0.25">
      <c r="A74" s="73"/>
      <c r="B74" s="5"/>
      <c r="C74" s="5" t="s">
        <v>129</v>
      </c>
      <c r="D74" s="10">
        <f>D73*2*D14</f>
        <v>1.1760000000000002</v>
      </c>
      <c r="E74" s="5"/>
    </row>
    <row r="75" spans="1:18" x14ac:dyDescent="0.25">
      <c r="A75" s="73"/>
      <c r="B75" s="5"/>
      <c r="C75" s="5" t="s">
        <v>86</v>
      </c>
      <c r="D75" s="10">
        <f>D73-D72</f>
        <v>8.5500000000000007E-2</v>
      </c>
      <c r="E75" s="5"/>
      <c r="R75" s="1"/>
    </row>
    <row r="76" spans="1:18" x14ac:dyDescent="0.25">
      <c r="A76" s="73"/>
      <c r="B76" s="5"/>
      <c r="C76" s="5" t="s">
        <v>87</v>
      </c>
      <c r="D76" s="5">
        <f xml:space="preserve"> POWER(D75*2/D16, 0.5)</f>
        <v>13076.696830622021</v>
      </c>
      <c r="E76" s="5"/>
    </row>
    <row r="77" spans="1:18" x14ac:dyDescent="0.25">
      <c r="A77" s="73"/>
      <c r="B77" s="5" t="s">
        <v>118</v>
      </c>
      <c r="C77" s="5" t="s">
        <v>88</v>
      </c>
      <c r="D77" s="5">
        <f>D12-D76</f>
        <v>923.30316937797943</v>
      </c>
      <c r="E77" s="5"/>
    </row>
    <row r="78" spans="1:18" x14ac:dyDescent="0.25">
      <c r="A78" s="73"/>
      <c r="B78" s="5" t="s">
        <v>114</v>
      </c>
      <c r="C78" s="5" t="s">
        <v>115</v>
      </c>
      <c r="D78" s="5">
        <f>D77/POWER(2, 0.5)</f>
        <v>652.87393215820066</v>
      </c>
      <c r="E78" s="5"/>
    </row>
    <row r="79" spans="1:18" x14ac:dyDescent="0.25">
      <c r="A79" s="73"/>
      <c r="B79" s="5" t="s">
        <v>117</v>
      </c>
      <c r="C79" s="5" t="s">
        <v>116</v>
      </c>
      <c r="D79" s="10">
        <f>2 * PI() * D3* D16*POWER(D78, 2)</f>
        <v>42.850757935489241</v>
      </c>
      <c r="E79" s="5"/>
    </row>
    <row r="80" spans="1:18" x14ac:dyDescent="0.25">
      <c r="A80" s="73"/>
      <c r="C80" t="s">
        <v>89</v>
      </c>
      <c r="D80">
        <v>0.01</v>
      </c>
    </row>
    <row r="81" spans="1:8" x14ac:dyDescent="0.25">
      <c r="A81" s="73"/>
      <c r="C81" t="s">
        <v>90</v>
      </c>
      <c r="D81">
        <v>0.03</v>
      </c>
    </row>
    <row r="82" spans="1:8" x14ac:dyDescent="0.25">
      <c r="A82" s="73"/>
      <c r="C82" t="s">
        <v>91</v>
      </c>
      <c r="D82">
        <v>5.0000000000000001E-4</v>
      </c>
      <c r="G82" s="4" t="s">
        <v>33</v>
      </c>
      <c r="H82" t="s">
        <v>34</v>
      </c>
    </row>
    <row r="83" spans="1:8" x14ac:dyDescent="0.25">
      <c r="A83" s="73"/>
      <c r="C83" t="s">
        <v>92</v>
      </c>
      <c r="D83">
        <v>1E-3</v>
      </c>
      <c r="G83" s="4"/>
    </row>
    <row r="84" spans="1:8" x14ac:dyDescent="0.25">
      <c r="A84" s="73"/>
      <c r="C84" t="s">
        <v>93</v>
      </c>
      <c r="D84">
        <v>5.0000000000000001E-3</v>
      </c>
    </row>
    <row r="85" spans="1:8" x14ac:dyDescent="0.25">
      <c r="A85" s="73"/>
      <c r="C85" t="s">
        <v>94</v>
      </c>
      <c r="D85">
        <v>1.4999999999999999E-2</v>
      </c>
    </row>
    <row r="86" spans="1:8" x14ac:dyDescent="0.25">
      <c r="A86" s="73"/>
      <c r="C86" t="s">
        <v>95</v>
      </c>
      <c r="D86">
        <v>0.01</v>
      </c>
    </row>
    <row r="87" spans="1:8" x14ac:dyDescent="0.25">
      <c r="A87" s="73"/>
      <c r="C87" t="s">
        <v>108</v>
      </c>
      <c r="D87">
        <v>0.02</v>
      </c>
    </row>
    <row r="88" spans="1:8" x14ac:dyDescent="0.25">
      <c r="A88" s="73"/>
      <c r="B88" s="5"/>
      <c r="C88" s="5" t="s">
        <v>105</v>
      </c>
      <c r="D88" s="5">
        <f>D79*D81</f>
        <v>1.2855227380646772</v>
      </c>
      <c r="E88" s="5"/>
    </row>
    <row r="89" spans="1:8" x14ac:dyDescent="0.25">
      <c r="A89" s="73"/>
      <c r="B89" s="5"/>
      <c r="C89" s="5" t="s">
        <v>106</v>
      </c>
      <c r="D89" s="5">
        <f>D79*D83</f>
        <v>4.2850757935489245E-2</v>
      </c>
      <c r="E89" s="5"/>
    </row>
    <row r="90" spans="1:8" x14ac:dyDescent="0.25">
      <c r="A90" s="73"/>
      <c r="B90" s="5"/>
      <c r="C90" s="5" t="s">
        <v>107</v>
      </c>
      <c r="D90" s="5">
        <f>D79*D85</f>
        <v>0.6427613690323386</v>
      </c>
      <c r="E90" s="5"/>
    </row>
    <row r="91" spans="1:8" x14ac:dyDescent="0.25">
      <c r="A91" s="73"/>
      <c r="B91" s="5"/>
      <c r="C91" s="5" t="s">
        <v>109</v>
      </c>
      <c r="D91" s="10">
        <f>D79*D87</f>
        <v>0.85701515870978484</v>
      </c>
      <c r="E91" s="5"/>
    </row>
    <row r="92" spans="1:8" x14ac:dyDescent="0.25">
      <c r="A92" s="73"/>
      <c r="B92" s="5"/>
      <c r="C92" s="5" t="s">
        <v>110</v>
      </c>
      <c r="D92" s="5">
        <f>D88*D14*2</f>
        <v>15.426272856776126</v>
      </c>
      <c r="E92" s="5"/>
    </row>
    <row r="93" spans="1:8" x14ac:dyDescent="0.25">
      <c r="A93" s="73"/>
      <c r="B93" s="5"/>
      <c r="C93" s="5" t="s">
        <v>111</v>
      </c>
      <c r="D93" s="5">
        <f>D89*D14*2</f>
        <v>0.51420909522587088</v>
      </c>
      <c r="E93" s="5"/>
    </row>
    <row r="94" spans="1:8" x14ac:dyDescent="0.25">
      <c r="A94" s="73"/>
      <c r="B94" s="5"/>
      <c r="C94" s="5" t="s">
        <v>112</v>
      </c>
      <c r="D94" s="5">
        <f>D90*D14*2</f>
        <v>7.7131364283880632</v>
      </c>
      <c r="E94" s="5"/>
    </row>
    <row r="95" spans="1:8" x14ac:dyDescent="0.25">
      <c r="A95" s="73"/>
      <c r="B95" s="5"/>
      <c r="C95" s="5" t="s">
        <v>113</v>
      </c>
      <c r="D95" s="10">
        <f>D91*D14*2</f>
        <v>10.284181904517418</v>
      </c>
      <c r="E95" s="5"/>
    </row>
    <row r="97" spans="1:11" x14ac:dyDescent="0.25">
      <c r="C97" s="2" t="s">
        <v>18</v>
      </c>
      <c r="D97" s="3">
        <f>D43+D27+D67</f>
        <v>7.2630499999999998</v>
      </c>
    </row>
    <row r="99" spans="1:11" ht="15" customHeight="1" x14ac:dyDescent="0.25">
      <c r="A99" s="74" t="s">
        <v>1016</v>
      </c>
      <c r="B99" s="7" t="s">
        <v>995</v>
      </c>
      <c r="C99" s="7" t="s">
        <v>17</v>
      </c>
      <c r="D99" s="7">
        <f>D12</f>
        <v>14000</v>
      </c>
      <c r="E99" t="s">
        <v>21</v>
      </c>
    </row>
    <row r="100" spans="1:11" x14ac:dyDescent="0.25">
      <c r="A100" s="74"/>
      <c r="B100" s="7" t="s">
        <v>996</v>
      </c>
      <c r="C100" s="7" t="s">
        <v>72</v>
      </c>
      <c r="D100" s="7">
        <f>D2</f>
        <v>200</v>
      </c>
      <c r="E100" t="s">
        <v>22</v>
      </c>
    </row>
    <row r="101" spans="1:11" x14ac:dyDescent="0.25">
      <c r="A101" s="74"/>
      <c r="B101" s="7" t="s">
        <v>47</v>
      </c>
      <c r="C101" s="7" t="s">
        <v>46</v>
      </c>
      <c r="D101" s="7">
        <f>D3</f>
        <v>16000</v>
      </c>
      <c r="E101" t="s">
        <v>68</v>
      </c>
    </row>
    <row r="102" spans="1:11" x14ac:dyDescent="0.25">
      <c r="A102" s="74"/>
      <c r="B102" t="s">
        <v>988</v>
      </c>
      <c r="C102" t="s">
        <v>989</v>
      </c>
      <c r="D102">
        <f>D23</f>
        <v>8.3333333333333343E-2</v>
      </c>
      <c r="E102" t="s">
        <v>20</v>
      </c>
    </row>
    <row r="103" spans="1:11" x14ac:dyDescent="0.25">
      <c r="A103" s="74"/>
      <c r="B103" t="s">
        <v>37</v>
      </c>
      <c r="C103" t="s">
        <v>43</v>
      </c>
      <c r="D103">
        <f>D5</f>
        <v>35.400000000000006</v>
      </c>
      <c r="E103" t="s">
        <v>21</v>
      </c>
    </row>
    <row r="104" spans="1:11" x14ac:dyDescent="0.25">
      <c r="A104" s="74"/>
      <c r="B104" t="s">
        <v>38</v>
      </c>
      <c r="C104" t="s">
        <v>42</v>
      </c>
      <c r="D104">
        <f>D7</f>
        <v>44.1</v>
      </c>
    </row>
    <row r="105" spans="1:11" x14ac:dyDescent="0.25">
      <c r="A105" s="74"/>
      <c r="B105" s="7" t="s">
        <v>60</v>
      </c>
      <c r="C105" s="7" t="s">
        <v>61</v>
      </c>
      <c r="D105" s="9">
        <f>D99/2</f>
        <v>7000</v>
      </c>
      <c r="E105" s="7" t="s">
        <v>21</v>
      </c>
    </row>
    <row r="106" spans="1:11" x14ac:dyDescent="0.25">
      <c r="A106" s="74"/>
      <c r="B106" t="s">
        <v>56</v>
      </c>
      <c r="C106" s="7" t="s">
        <v>57</v>
      </c>
      <c r="D106" s="52">
        <v>0.38</v>
      </c>
      <c r="E106" t="s">
        <v>986</v>
      </c>
    </row>
    <row r="107" spans="1:11" x14ac:dyDescent="0.25">
      <c r="A107" s="74"/>
      <c r="B107" t="s">
        <v>55</v>
      </c>
      <c r="D107" s="52">
        <v>6.9999999999999999E-4</v>
      </c>
      <c r="E107" t="s">
        <v>207</v>
      </c>
    </row>
    <row r="108" spans="1:11" x14ac:dyDescent="0.25">
      <c r="A108" s="74"/>
      <c r="B108" t="s">
        <v>49</v>
      </c>
      <c r="C108" t="s">
        <v>50</v>
      </c>
      <c r="D108" s="54">
        <f>K118*10^9</f>
        <v>552.77777777777771</v>
      </c>
      <c r="E108" t="s">
        <v>987</v>
      </c>
    </row>
    <row r="109" spans="1:11" x14ac:dyDescent="0.25">
      <c r="A109" s="74"/>
      <c r="C109" t="s">
        <v>36</v>
      </c>
      <c r="D109" s="52">
        <v>0.9</v>
      </c>
    </row>
    <row r="110" spans="1:11" x14ac:dyDescent="0.25">
      <c r="A110" s="74"/>
      <c r="B110" t="s">
        <v>39</v>
      </c>
      <c r="C110" s="57" t="s">
        <v>41</v>
      </c>
      <c r="D110" s="52">
        <v>0.5</v>
      </c>
    </row>
    <row r="111" spans="1:11" x14ac:dyDescent="0.25">
      <c r="A111" s="74"/>
      <c r="B111" t="s">
        <v>558</v>
      </c>
      <c r="C111" s="57" t="s">
        <v>559</v>
      </c>
      <c r="D111" s="51">
        <f>D100/D101</f>
        <v>1.2500000000000001E-2</v>
      </c>
      <c r="E111" t="s">
        <v>25</v>
      </c>
      <c r="G111" s="78" t="s">
        <v>1015</v>
      </c>
      <c r="H111" s="78"/>
      <c r="I111" s="78"/>
      <c r="J111" s="78"/>
      <c r="K111" s="78"/>
    </row>
    <row r="112" spans="1:11" x14ac:dyDescent="0.25">
      <c r="A112" s="74"/>
      <c r="B112" t="s">
        <v>1031</v>
      </c>
      <c r="C112" s="57" t="s">
        <v>1022</v>
      </c>
      <c r="D112" s="51">
        <f>POWER(D103, 2)*POWER(D110/D101, 2)/(2*D111)</f>
        <v>4.8951562500000008E-5</v>
      </c>
      <c r="G112" s="68"/>
      <c r="H112" s="68"/>
      <c r="I112" s="68"/>
      <c r="J112" s="68"/>
      <c r="K112" s="68"/>
    </row>
    <row r="113" spans="1:26" x14ac:dyDescent="0.25">
      <c r="A113" s="74"/>
      <c r="B113" t="s">
        <v>1032</v>
      </c>
      <c r="C113" t="s">
        <v>1021</v>
      </c>
      <c r="D113" s="51">
        <f>D112</f>
        <v>4.8951562500000008E-5</v>
      </c>
      <c r="E113" t="s">
        <v>154</v>
      </c>
      <c r="G113" t="s">
        <v>1011</v>
      </c>
      <c r="I113">
        <v>6</v>
      </c>
      <c r="J113">
        <v>6</v>
      </c>
      <c r="K113">
        <v>6</v>
      </c>
      <c r="L113">
        <v>6</v>
      </c>
    </row>
    <row r="114" spans="1:26" x14ac:dyDescent="0.25">
      <c r="A114" s="74"/>
      <c r="B114" t="s">
        <v>40</v>
      </c>
      <c r="C114" s="57" t="s">
        <v>35</v>
      </c>
      <c r="D114" s="27">
        <f>POWER(2*D111/D113, 0.5)</f>
        <v>22.598870056497173</v>
      </c>
      <c r="E114" t="s">
        <v>20</v>
      </c>
      <c r="G114" t="s">
        <v>1012</v>
      </c>
      <c r="H114" t="s">
        <v>133</v>
      </c>
      <c r="I114">
        <v>0</v>
      </c>
      <c r="J114">
        <v>1</v>
      </c>
      <c r="K114">
        <v>2</v>
      </c>
      <c r="L114">
        <v>3</v>
      </c>
    </row>
    <row r="115" spans="1:26" x14ac:dyDescent="0.25">
      <c r="A115" s="74"/>
      <c r="C115" s="57" t="s">
        <v>1034</v>
      </c>
      <c r="D115" s="51">
        <f>0.5*D113*POWER(D114, 2)</f>
        <v>1.2499999999999999E-2</v>
      </c>
    </row>
    <row r="116" spans="1:26" x14ac:dyDescent="0.25">
      <c r="A116" s="74"/>
      <c r="C116" s="57" t="s">
        <v>1035</v>
      </c>
      <c r="D116" s="51" t="b">
        <f>D115&gt;=D111</f>
        <v>1</v>
      </c>
    </row>
    <row r="117" spans="1:26" x14ac:dyDescent="0.25">
      <c r="A117" s="74"/>
      <c r="B117" t="s">
        <v>62</v>
      </c>
      <c r="D117">
        <f>D114/D124</f>
        <v>8.3333333333333343E-2</v>
      </c>
      <c r="G117" t="s">
        <v>1013</v>
      </c>
      <c r="H117" t="s">
        <v>154</v>
      </c>
      <c r="I117" s="1">
        <v>1.8770000000000001E-4</v>
      </c>
      <c r="J117" s="1">
        <v>2.4600000000000002E-5</v>
      </c>
      <c r="K117" s="1">
        <v>1.9899999999999999E-5</v>
      </c>
      <c r="L117" s="1">
        <v>1.7799999999999999E-5</v>
      </c>
    </row>
    <row r="118" spans="1:26" x14ac:dyDescent="0.25">
      <c r="A118" s="74"/>
      <c r="B118" t="s">
        <v>51</v>
      </c>
      <c r="C118" t="s">
        <v>52</v>
      </c>
      <c r="D118" s="27">
        <f>POWER(D113*(1000000000)/D108, 0.5)</f>
        <v>9.4103979964856599</v>
      </c>
      <c r="G118" t="s">
        <v>1014</v>
      </c>
      <c r="I118">
        <f>I117/POWER(I113, 2)</f>
        <v>5.2138888888888888E-6</v>
      </c>
      <c r="J118">
        <f t="shared" ref="J118:L118" si="0">J117/POWER(J113, 2)</f>
        <v>6.8333333333333339E-7</v>
      </c>
      <c r="K118">
        <f t="shared" si="0"/>
        <v>5.5277777777777772E-7</v>
      </c>
      <c r="L118">
        <f t="shared" si="0"/>
        <v>4.9444444444444438E-7</v>
      </c>
      <c r="M118" t="e">
        <f t="shared" ref="M118" si="1">M117/POWER(M113, 2)</f>
        <v>#DIV/0!</v>
      </c>
      <c r="N118" t="e">
        <f t="shared" ref="N118" si="2">N117/POWER(N113, 2)</f>
        <v>#DIV/0!</v>
      </c>
      <c r="O118" t="e">
        <f t="shared" ref="O118" si="3">O117/POWER(O113, 2)</f>
        <v>#DIV/0!</v>
      </c>
      <c r="P118" t="e">
        <f t="shared" ref="P118" si="4">P117/POWER(P113, 2)</f>
        <v>#DIV/0!</v>
      </c>
      <c r="Q118" t="e">
        <f t="shared" ref="Q118" si="5">Q117/POWER(Q113, 2)</f>
        <v>#DIV/0!</v>
      </c>
      <c r="R118" t="e">
        <f t="shared" ref="R118" si="6">R117/POWER(R113, 2)</f>
        <v>#DIV/0!</v>
      </c>
      <c r="S118" t="e">
        <f t="shared" ref="S118" si="7">S117/POWER(S113, 2)</f>
        <v>#DIV/0!</v>
      </c>
      <c r="T118" t="e">
        <f t="shared" ref="T118" si="8">T117/POWER(T113, 2)</f>
        <v>#DIV/0!</v>
      </c>
      <c r="U118" t="e">
        <f t="shared" ref="U118" si="9">U117/POWER(U113, 2)</f>
        <v>#DIV/0!</v>
      </c>
      <c r="V118" t="e">
        <f t="shared" ref="V118" si="10">V117/POWER(V113, 2)</f>
        <v>#DIV/0!</v>
      </c>
      <c r="W118" t="e">
        <f t="shared" ref="W118" si="11">W117/POWER(W113, 2)</f>
        <v>#DIV/0!</v>
      </c>
      <c r="X118" t="e">
        <f t="shared" ref="X118" si="12">X117/POWER(X113, 2)</f>
        <v>#DIV/0!</v>
      </c>
      <c r="Y118" t="e">
        <f t="shared" ref="Y118" si="13">Y117/POWER(Y113, 2)</f>
        <v>#DIV/0!</v>
      </c>
      <c r="Z118" t="e">
        <f t="shared" ref="Z118" si="14">Z117/POWER(Z113, 2)</f>
        <v>#DIV/0!</v>
      </c>
    </row>
    <row r="119" spans="1:26" x14ac:dyDescent="0.25">
      <c r="A119" s="74"/>
      <c r="B119" t="s">
        <v>53</v>
      </c>
      <c r="C119" t="s">
        <v>54</v>
      </c>
      <c r="D119" s="27">
        <f>(D7 * D110) / (D118 * D107 * D101)</f>
        <v>0.20921006749504489</v>
      </c>
      <c r="E119" t="s">
        <v>986</v>
      </c>
    </row>
    <row r="120" spans="1:26" x14ac:dyDescent="0.25">
      <c r="A120" s="74"/>
      <c r="C120" t="s">
        <v>58</v>
      </c>
      <c r="D120" s="27" t="b">
        <f>D119&gt;D106</f>
        <v>0</v>
      </c>
    </row>
    <row r="121" spans="1:26" x14ac:dyDescent="0.25">
      <c r="A121" s="74"/>
      <c r="B121" t="s">
        <v>1023</v>
      </c>
      <c r="C121" t="s">
        <v>1024</v>
      </c>
      <c r="D121" s="27">
        <f>D114/D102</f>
        <v>271.18644067796606</v>
      </c>
    </row>
    <row r="122" spans="1:26" x14ac:dyDescent="0.25">
      <c r="A122" s="74"/>
      <c r="B122" t="s">
        <v>1026</v>
      </c>
      <c r="C122" t="s">
        <v>1027</v>
      </c>
      <c r="D122" s="27">
        <f>D99/(2*D104)</f>
        <v>158.73015873015873</v>
      </c>
    </row>
    <row r="123" spans="1:26" x14ac:dyDescent="0.25">
      <c r="A123" s="74"/>
      <c r="B123" t="s">
        <v>1025</v>
      </c>
      <c r="C123" t="s">
        <v>1028</v>
      </c>
      <c r="D123" s="27">
        <f>D99/(2*D103)</f>
        <v>197.74011299435026</v>
      </c>
    </row>
    <row r="124" spans="1:26" x14ac:dyDescent="0.25">
      <c r="A124" s="74"/>
      <c r="B124" t="s">
        <v>1029</v>
      </c>
      <c r="C124" t="s">
        <v>1030</v>
      </c>
      <c r="D124" s="27">
        <f>D121</f>
        <v>271.18644067796606</v>
      </c>
    </row>
    <row r="125" spans="1:26" x14ac:dyDescent="0.25">
      <c r="A125" s="74"/>
      <c r="B125" t="s">
        <v>1039</v>
      </c>
      <c r="C125" t="s">
        <v>562</v>
      </c>
      <c r="D125" s="27">
        <f>1/D124</f>
        <v>3.6875000000000007E-3</v>
      </c>
    </row>
    <row r="126" spans="1:26" x14ac:dyDescent="0.25">
      <c r="A126" s="74"/>
      <c r="C126" t="s">
        <v>1033</v>
      </c>
      <c r="D126" s="27" t="b">
        <f>D124&gt;=D121</f>
        <v>1</v>
      </c>
    </row>
    <row r="127" spans="1:26" x14ac:dyDescent="0.25">
      <c r="A127" s="74"/>
      <c r="C127" t="s">
        <v>1036</v>
      </c>
      <c r="D127" s="27">
        <f>(D105/D103)/D121</f>
        <v>0.72916666666666663</v>
      </c>
    </row>
    <row r="128" spans="1:26" x14ac:dyDescent="0.25">
      <c r="A128" s="74"/>
      <c r="C128" t="s">
        <v>1037</v>
      </c>
      <c r="D128" s="27">
        <f>(D105/D104)/D121</f>
        <v>0.58531746031746046</v>
      </c>
    </row>
    <row r="129" spans="1:6" x14ac:dyDescent="0.25">
      <c r="A129" s="74"/>
      <c r="C129" t="s">
        <v>1038</v>
      </c>
      <c r="D129" t="b">
        <f>OR(D127&lt;1, D128&lt;1)</f>
        <v>1</v>
      </c>
    </row>
    <row r="130" spans="1:6" x14ac:dyDescent="0.25">
      <c r="A130" s="74"/>
      <c r="D130" s="27" t="str">
        <f>IF(D129, "Demagnetisation may not complete with 0.5 duty cycle", "Demagnetisation should complete for 0.5 duty cycle")</f>
        <v>Demagnetisation may not complete with 0.5 duty cycle</v>
      </c>
    </row>
    <row r="131" spans="1:6" x14ac:dyDescent="0.25">
      <c r="A131" s="74"/>
      <c r="D131" s="27"/>
    </row>
    <row r="132" spans="1:6" x14ac:dyDescent="0.25">
      <c r="A132" s="74"/>
      <c r="C132" t="s">
        <v>63</v>
      </c>
      <c r="D132" s="27" t="b">
        <f>D102&lt;=D23</f>
        <v>1</v>
      </c>
    </row>
    <row r="133" spans="1:6" x14ac:dyDescent="0.25">
      <c r="A133" s="74"/>
      <c r="B133" s="58" t="s">
        <v>990</v>
      </c>
      <c r="C133" s="58" t="s">
        <v>994</v>
      </c>
      <c r="D133" s="59">
        <f>2*D100/(POWER(D102, 2)*D109*D101)</f>
        <v>3.9999999999999996</v>
      </c>
      <c r="E133" s="58" t="s">
        <v>154</v>
      </c>
      <c r="F133">
        <v>8.5069444444444393</v>
      </c>
    </row>
    <row r="134" spans="1:6" x14ac:dyDescent="0.25">
      <c r="A134" s="74"/>
      <c r="B134" s="70" t="s">
        <v>991</v>
      </c>
      <c r="C134" s="70" t="s">
        <v>992</v>
      </c>
      <c r="D134" s="71">
        <f>D113*POWER(D124,2)</f>
        <v>3.6</v>
      </c>
      <c r="E134" s="70"/>
    </row>
    <row r="135" spans="1:6" x14ac:dyDescent="0.25">
      <c r="A135" s="74"/>
      <c r="B135" s="70" t="s">
        <v>791</v>
      </c>
      <c r="C135" s="70" t="s">
        <v>993</v>
      </c>
      <c r="D135" s="72">
        <f>D134</f>
        <v>3.6</v>
      </c>
      <c r="E135" s="70" t="s">
        <v>154</v>
      </c>
      <c r="F135" t="s">
        <v>792</v>
      </c>
    </row>
    <row r="136" spans="1:6" x14ac:dyDescent="0.25">
      <c r="A136" s="74"/>
      <c r="B136" t="s">
        <v>168</v>
      </c>
      <c r="C136" t="s">
        <v>169</v>
      </c>
      <c r="D136" s="27">
        <f xml:space="preserve"> D124*D118</f>
        <v>2551.9723380300093</v>
      </c>
    </row>
    <row r="137" spans="1:6" x14ac:dyDescent="0.25">
      <c r="A137" s="50"/>
      <c r="D137" s="27"/>
    </row>
    <row r="138" spans="1:6" x14ac:dyDescent="0.25">
      <c r="A138" s="74" t="s">
        <v>1017</v>
      </c>
      <c r="B138" s="7" t="s">
        <v>1010</v>
      </c>
      <c r="C138" t="s">
        <v>4</v>
      </c>
      <c r="D138">
        <v>1.2</v>
      </c>
    </row>
    <row r="139" spans="1:6" x14ac:dyDescent="0.25">
      <c r="A139" s="74"/>
      <c r="B139" s="7" t="s">
        <v>995</v>
      </c>
      <c r="C139" s="7" t="s">
        <v>17</v>
      </c>
      <c r="D139" s="7">
        <f>D39</f>
        <v>8.2051282051282051E-2</v>
      </c>
      <c r="E139" t="s">
        <v>21</v>
      </c>
    </row>
    <row r="140" spans="1:6" x14ac:dyDescent="0.25">
      <c r="A140" s="74"/>
      <c r="B140" s="7" t="s">
        <v>996</v>
      </c>
      <c r="C140" s="7" t="s">
        <v>72</v>
      </c>
      <c r="D140" s="7">
        <v>200</v>
      </c>
      <c r="E140" t="s">
        <v>22</v>
      </c>
    </row>
    <row r="141" spans="1:6" x14ac:dyDescent="0.25">
      <c r="A141" s="74"/>
      <c r="B141" s="7" t="s">
        <v>47</v>
      </c>
      <c r="C141" s="7" t="s">
        <v>46</v>
      </c>
      <c r="D141" s="7">
        <f>D3</f>
        <v>16000</v>
      </c>
      <c r="E141" t="s">
        <v>68</v>
      </c>
    </row>
    <row r="142" spans="1:6" x14ac:dyDescent="0.25">
      <c r="A142" s="74"/>
      <c r="B142" t="s">
        <v>988</v>
      </c>
      <c r="C142" t="s">
        <v>989</v>
      </c>
      <c r="D142">
        <f>8/D138</f>
        <v>6.666666666666667</v>
      </c>
      <c r="E142" t="s">
        <v>20</v>
      </c>
    </row>
    <row r="143" spans="1:6" x14ac:dyDescent="0.25">
      <c r="A143" s="74"/>
      <c r="B143" t="s">
        <v>38</v>
      </c>
      <c r="C143" t="s">
        <v>42</v>
      </c>
      <c r="D143">
        <f>D7</f>
        <v>44.1</v>
      </c>
      <c r="E143" t="s">
        <v>21</v>
      </c>
    </row>
    <row r="144" spans="1:6" x14ac:dyDescent="0.25">
      <c r="A144" s="74"/>
      <c r="B144" s="7" t="s">
        <v>1018</v>
      </c>
      <c r="C144" s="7" t="s">
        <v>1019</v>
      </c>
      <c r="D144" s="9">
        <f>600/(D138*2)</f>
        <v>250</v>
      </c>
      <c r="E144" s="7" t="s">
        <v>21</v>
      </c>
    </row>
    <row r="145" spans="1:5" x14ac:dyDescent="0.25">
      <c r="A145" s="74"/>
      <c r="B145" t="s">
        <v>56</v>
      </c>
      <c r="C145" s="7" t="s">
        <v>57</v>
      </c>
      <c r="D145" s="52">
        <v>0.38</v>
      </c>
      <c r="E145" t="s">
        <v>986</v>
      </c>
    </row>
    <row r="146" spans="1:5" x14ac:dyDescent="0.25">
      <c r="A146" s="74"/>
      <c r="B146" t="s">
        <v>55</v>
      </c>
      <c r="D146" s="52">
        <v>6.9999999999999999E-4</v>
      </c>
      <c r="E146" t="s">
        <v>207</v>
      </c>
    </row>
    <row r="147" spans="1:5" x14ac:dyDescent="0.25">
      <c r="A147" s="74"/>
      <c r="B147" t="s">
        <v>49</v>
      </c>
      <c r="C147" t="s">
        <v>50</v>
      </c>
      <c r="D147" s="52">
        <f>(1000000000)*K118</f>
        <v>552.77777777777771</v>
      </c>
      <c r="E147" t="s">
        <v>987</v>
      </c>
    </row>
    <row r="148" spans="1:5" x14ac:dyDescent="0.25">
      <c r="A148" s="74"/>
      <c r="C148" t="s">
        <v>36</v>
      </c>
      <c r="D148" s="52">
        <v>0.9</v>
      </c>
    </row>
    <row r="149" spans="1:5" x14ac:dyDescent="0.25">
      <c r="A149" s="74"/>
      <c r="B149" t="s">
        <v>137</v>
      </c>
      <c r="C149" s="57" t="s">
        <v>1020</v>
      </c>
      <c r="D149" s="52">
        <v>0.5</v>
      </c>
    </row>
    <row r="150" spans="1:5" x14ac:dyDescent="0.25">
      <c r="A150" s="74"/>
      <c r="B150" t="s">
        <v>558</v>
      </c>
      <c r="C150" s="57" t="s">
        <v>559</v>
      </c>
      <c r="D150" s="51">
        <f>D140/D141</f>
        <v>1.2500000000000001E-2</v>
      </c>
      <c r="E150" t="s">
        <v>25</v>
      </c>
    </row>
    <row r="151" spans="1:5" x14ac:dyDescent="0.25">
      <c r="A151" s="74"/>
      <c r="B151" t="s">
        <v>44</v>
      </c>
      <c r="C151" t="s">
        <v>45</v>
      </c>
      <c r="D151" s="51">
        <f>POWER(D143, 2)*POWER(D149/D141, 2)/(2*D150)</f>
        <v>7.5969140624999998E-5</v>
      </c>
      <c r="E151" t="s">
        <v>154</v>
      </c>
    </row>
    <row r="152" spans="1:5" x14ac:dyDescent="0.25">
      <c r="A152" s="74"/>
      <c r="B152" t="s">
        <v>40</v>
      </c>
      <c r="C152" s="57" t="s">
        <v>35</v>
      </c>
      <c r="D152" s="27">
        <f>POWER(2*D150/D151, 0.5)</f>
        <v>18.140589569160998</v>
      </c>
      <c r="E152" t="s">
        <v>20</v>
      </c>
    </row>
    <row r="153" spans="1:5" x14ac:dyDescent="0.25">
      <c r="A153" s="74"/>
      <c r="B153" t="s">
        <v>62</v>
      </c>
      <c r="D153">
        <f>D152/D157</f>
        <v>6.666666666666667</v>
      </c>
    </row>
    <row r="154" spans="1:5" x14ac:dyDescent="0.25">
      <c r="A154" s="74"/>
      <c r="B154" t="s">
        <v>51</v>
      </c>
      <c r="C154" t="s">
        <v>52</v>
      </c>
      <c r="D154" s="27">
        <f>POWER(D151*(1000000000)/D147, 0.5)</f>
        <v>11.723122927825354</v>
      </c>
    </row>
    <row r="155" spans="1:5" x14ac:dyDescent="0.25">
      <c r="A155" s="74"/>
      <c r="B155" t="s">
        <v>53</v>
      </c>
      <c r="C155" t="s">
        <v>54</v>
      </c>
      <c r="D155" s="27">
        <f>(D34 * D149) / (D154 * D146 * D141)</f>
        <v>1.9040513955925233E-2</v>
      </c>
      <c r="E155" t="s">
        <v>986</v>
      </c>
    </row>
    <row r="156" spans="1:5" x14ac:dyDescent="0.25">
      <c r="A156" s="74"/>
      <c r="C156" t="s">
        <v>58</v>
      </c>
      <c r="D156" s="27" t="b">
        <f>D155&gt;D145</f>
        <v>0</v>
      </c>
    </row>
    <row r="157" spans="1:5" x14ac:dyDescent="0.25">
      <c r="A157" s="74"/>
      <c r="B157" t="s">
        <v>560</v>
      </c>
      <c r="C157" t="s">
        <v>563</v>
      </c>
      <c r="D157" s="27">
        <f>D152/D142</f>
        <v>2.7210884353741496</v>
      </c>
    </row>
    <row r="158" spans="1:5" x14ac:dyDescent="0.25">
      <c r="A158" s="74"/>
      <c r="B158" t="s">
        <v>561</v>
      </c>
      <c r="C158" t="s">
        <v>562</v>
      </c>
      <c r="D158" s="27">
        <f>1/D157</f>
        <v>0.36749999999999999</v>
      </c>
    </row>
    <row r="159" spans="1:5" x14ac:dyDescent="0.25">
      <c r="A159" s="74"/>
    </row>
    <row r="160" spans="1:5" x14ac:dyDescent="0.25">
      <c r="A160" s="74"/>
      <c r="C160" t="s">
        <v>63</v>
      </c>
      <c r="D160" s="27" t="b">
        <f>D142&lt;=D142</f>
        <v>1</v>
      </c>
    </row>
    <row r="161" spans="1:5" x14ac:dyDescent="0.25">
      <c r="A161" s="74"/>
      <c r="B161" s="58" t="s">
        <v>990</v>
      </c>
      <c r="C161" s="58" t="s">
        <v>994</v>
      </c>
      <c r="D161" s="59">
        <f>2*D140/(POWER(D142, 2)*D148*D141)</f>
        <v>6.249999999999999E-4</v>
      </c>
      <c r="E161" s="58" t="s">
        <v>154</v>
      </c>
    </row>
    <row r="162" spans="1:5" x14ac:dyDescent="0.25">
      <c r="A162" s="74"/>
      <c r="B162" t="s">
        <v>991</v>
      </c>
      <c r="C162" t="s">
        <v>992</v>
      </c>
      <c r="D162" s="27">
        <f>D151*POWER(D157,2)</f>
        <v>5.6249999999999996E-4</v>
      </c>
    </row>
    <row r="163" spans="1:5" x14ac:dyDescent="0.25">
      <c r="A163" s="74"/>
      <c r="B163" t="s">
        <v>791</v>
      </c>
      <c r="C163" t="s">
        <v>993</v>
      </c>
      <c r="D163" s="52">
        <f>D162</f>
        <v>5.6249999999999996E-4</v>
      </c>
      <c r="E163" t="s">
        <v>154</v>
      </c>
    </row>
    <row r="164" spans="1:5" x14ac:dyDescent="0.25">
      <c r="A164" s="74"/>
      <c r="B164" t="s">
        <v>168</v>
      </c>
      <c r="C164" t="s">
        <v>169</v>
      </c>
      <c r="D164" s="27">
        <f xml:space="preserve"> D157*D154</f>
        <v>31.899654225375112</v>
      </c>
    </row>
    <row r="165" spans="1:5" x14ac:dyDescent="0.25">
      <c r="A165" s="31"/>
      <c r="D165" s="27"/>
    </row>
    <row r="166" spans="1:5" x14ac:dyDescent="0.25">
      <c r="A166" s="31"/>
      <c r="D166" s="27"/>
    </row>
    <row r="167" spans="1:5" x14ac:dyDescent="0.25">
      <c r="A167" s="74" t="s">
        <v>1007</v>
      </c>
      <c r="B167" t="s">
        <v>62</v>
      </c>
      <c r="D167" s="35">
        <f>D117</f>
        <v>8.3333333333333343E-2</v>
      </c>
    </row>
    <row r="168" spans="1:5" x14ac:dyDescent="0.25">
      <c r="A168" s="74"/>
      <c r="B168" t="s">
        <v>168</v>
      </c>
      <c r="C168" t="s">
        <v>169</v>
      </c>
      <c r="D168" s="27">
        <f>D136</f>
        <v>2551.9723380300093</v>
      </c>
    </row>
    <row r="169" spans="1:5" x14ac:dyDescent="0.25">
      <c r="A169" s="74"/>
      <c r="B169" t="s">
        <v>1003</v>
      </c>
      <c r="C169" t="s">
        <v>170</v>
      </c>
      <c r="D169" s="52">
        <v>6</v>
      </c>
    </row>
    <row r="170" spans="1:5" x14ac:dyDescent="0.25">
      <c r="A170" s="74"/>
      <c r="B170" t="s">
        <v>1004</v>
      </c>
      <c r="C170" t="s">
        <v>218</v>
      </c>
      <c r="D170" s="27">
        <f>D168/D169</f>
        <v>425.32872300500156</v>
      </c>
    </row>
    <row r="171" spans="1:5" x14ac:dyDescent="0.25">
      <c r="A171" s="74"/>
      <c r="C171" t="s">
        <v>181</v>
      </c>
      <c r="D171" s="52">
        <v>33</v>
      </c>
      <c r="E171" t="s">
        <v>133</v>
      </c>
    </row>
    <row r="172" spans="1:5" x14ac:dyDescent="0.25">
      <c r="A172" s="74"/>
      <c r="C172" t="s">
        <v>179</v>
      </c>
      <c r="D172" s="52">
        <v>74</v>
      </c>
      <c r="E172" t="s">
        <v>133</v>
      </c>
    </row>
    <row r="173" spans="1:5" x14ac:dyDescent="0.25">
      <c r="A173" s="74"/>
      <c r="C173" t="s">
        <v>178</v>
      </c>
      <c r="D173" s="52">
        <v>4</v>
      </c>
    </row>
    <row r="174" spans="1:5" x14ac:dyDescent="0.25">
      <c r="A174" s="74"/>
      <c r="C174" t="s">
        <v>172</v>
      </c>
      <c r="D174" s="27">
        <f>D172-(D173*2)</f>
        <v>66</v>
      </c>
      <c r="E174" t="s">
        <v>133</v>
      </c>
    </row>
    <row r="175" spans="1:5" x14ac:dyDescent="0.25">
      <c r="A175" s="74"/>
      <c r="C175" t="s">
        <v>173</v>
      </c>
      <c r="D175" s="27">
        <f>D174/D169</f>
        <v>11</v>
      </c>
      <c r="E175" t="s">
        <v>133</v>
      </c>
    </row>
    <row r="176" spans="1:5" x14ac:dyDescent="0.25">
      <c r="A176" s="74"/>
      <c r="C176" t="s">
        <v>174</v>
      </c>
      <c r="D176" s="52">
        <v>0.25</v>
      </c>
      <c r="E176" t="s">
        <v>133</v>
      </c>
    </row>
    <row r="177" spans="1:5" x14ac:dyDescent="0.25">
      <c r="A177" s="74"/>
      <c r="C177" t="s">
        <v>183</v>
      </c>
      <c r="D177" s="27">
        <f>D176/2000</f>
        <v>1.25E-4</v>
      </c>
      <c r="E177" t="s">
        <v>206</v>
      </c>
    </row>
    <row r="178" spans="1:5" x14ac:dyDescent="0.25">
      <c r="A178" s="74"/>
      <c r="C178" t="s">
        <v>175</v>
      </c>
      <c r="D178" s="52">
        <f>0.1</f>
        <v>0.1</v>
      </c>
      <c r="E178" t="s">
        <v>133</v>
      </c>
    </row>
    <row r="179" spans="1:5" x14ac:dyDescent="0.25">
      <c r="A179" s="74"/>
      <c r="C179" t="s">
        <v>176</v>
      </c>
      <c r="D179" s="27">
        <f>D176*(1+D178)</f>
        <v>0.27500000000000002</v>
      </c>
    </row>
    <row r="180" spans="1:5" x14ac:dyDescent="0.25">
      <c r="A180" s="74"/>
      <c r="C180" t="s">
        <v>171</v>
      </c>
      <c r="D180" s="27">
        <f>D168/D169</f>
        <v>425.32872300500156</v>
      </c>
    </row>
    <row r="181" spans="1:5" x14ac:dyDescent="0.25">
      <c r="A181" s="74"/>
      <c r="C181" t="s">
        <v>177</v>
      </c>
      <c r="D181" s="27">
        <f>D175/D179</f>
        <v>40</v>
      </c>
    </row>
    <row r="182" spans="1:5" x14ac:dyDescent="0.25">
      <c r="A182" s="74"/>
      <c r="C182" t="s">
        <v>189</v>
      </c>
      <c r="D182" s="27">
        <f>D180/D181</f>
        <v>10.63321807512504</v>
      </c>
    </row>
    <row r="183" spans="1:5" x14ac:dyDescent="0.25">
      <c r="A183" s="74"/>
      <c r="C183" t="s">
        <v>188</v>
      </c>
      <c r="D183" s="27">
        <f>D182*D176</f>
        <v>2.65830451878126</v>
      </c>
      <c r="E183" t="s">
        <v>133</v>
      </c>
    </row>
    <row r="184" spans="1:5" x14ac:dyDescent="0.25">
      <c r="A184" s="74"/>
      <c r="C184" t="s">
        <v>180</v>
      </c>
      <c r="D184" s="27">
        <f>(D171/2)+(D183/2)</f>
        <v>17.829152259390629</v>
      </c>
      <c r="E184" t="s">
        <v>133</v>
      </c>
    </row>
    <row r="185" spans="1:5" x14ac:dyDescent="0.25">
      <c r="A185" s="74"/>
      <c r="C185" t="s">
        <v>182</v>
      </c>
      <c r="D185" s="27">
        <f>(D184/1000)*D168*2*PI()</f>
        <v>285.88181109913074</v>
      </c>
      <c r="E185" t="s">
        <v>206</v>
      </c>
    </row>
    <row r="186" spans="1:5" x14ac:dyDescent="0.25">
      <c r="A186" s="74"/>
      <c r="C186" t="s">
        <v>183</v>
      </c>
      <c r="D186" s="27">
        <f>D176/2000</f>
        <v>1.25E-4</v>
      </c>
      <c r="E186" t="s">
        <v>206</v>
      </c>
    </row>
    <row r="187" spans="1:5" x14ac:dyDescent="0.25">
      <c r="A187" s="74"/>
      <c r="C187" t="s">
        <v>184</v>
      </c>
      <c r="D187" s="27">
        <f>PI()*POWER(D186, 2)*D185</f>
        <v>1.4033190586624595E-5</v>
      </c>
    </row>
    <row r="188" spans="1:5" x14ac:dyDescent="0.25">
      <c r="A188" s="74"/>
      <c r="C188" t="s">
        <v>185</v>
      </c>
      <c r="D188" s="52">
        <v>8960</v>
      </c>
      <c r="E188" t="s">
        <v>186</v>
      </c>
    </row>
    <row r="189" spans="1:5" x14ac:dyDescent="0.25">
      <c r="A189" s="74"/>
      <c r="C189" t="s">
        <v>187</v>
      </c>
      <c r="D189" s="27">
        <f>D188*D187</f>
        <v>0.12573738765615636</v>
      </c>
      <c r="E189" t="s">
        <v>640</v>
      </c>
    </row>
    <row r="190" spans="1:5" x14ac:dyDescent="0.25">
      <c r="A190" s="74"/>
      <c r="C190" t="s">
        <v>216</v>
      </c>
      <c r="D190" s="27">
        <f>(D177^2)*PI()</f>
        <v>4.9087385212340514E-8</v>
      </c>
    </row>
    <row r="191" spans="1:5" x14ac:dyDescent="0.25">
      <c r="A191" s="74"/>
      <c r="C191" t="s">
        <v>195</v>
      </c>
      <c r="D191" s="54">
        <v>1.6800000000000002E-8</v>
      </c>
      <c r="E191" t="s">
        <v>997</v>
      </c>
    </row>
    <row r="192" spans="1:5" ht="15.75" x14ac:dyDescent="0.25">
      <c r="A192" s="74"/>
      <c r="C192" t="s">
        <v>194</v>
      </c>
      <c r="D192" s="51">
        <f>D191*D185/D190</f>
        <v>97.842132060804389</v>
      </c>
      <c r="E192" s="60" t="s">
        <v>24</v>
      </c>
    </row>
    <row r="193" spans="1:6" x14ac:dyDescent="0.25">
      <c r="A193" s="74"/>
      <c r="B193" t="s">
        <v>1005</v>
      </c>
      <c r="C193" t="s">
        <v>196</v>
      </c>
      <c r="D193" s="51">
        <f>POWER(D167/POWER(3, 0.5), 2)*D192</f>
        <v>0.22648641680741763</v>
      </c>
      <c r="E193" t="s">
        <v>217</v>
      </c>
    </row>
    <row r="194" spans="1:6" x14ac:dyDescent="0.25">
      <c r="A194" s="31"/>
      <c r="F194" t="s">
        <v>190</v>
      </c>
    </row>
    <row r="195" spans="1:6" x14ac:dyDescent="0.25">
      <c r="A195" s="31"/>
      <c r="F195" t="s">
        <v>191</v>
      </c>
    </row>
    <row r="196" spans="1:6" x14ac:dyDescent="0.25">
      <c r="A196" s="74" t="s">
        <v>1006</v>
      </c>
      <c r="C196" t="s">
        <v>193</v>
      </c>
      <c r="D196" s="52">
        <v>2</v>
      </c>
      <c r="E196" t="s">
        <v>199</v>
      </c>
    </row>
    <row r="197" spans="1:6" x14ac:dyDescent="0.25">
      <c r="A197" s="74"/>
      <c r="C197" t="s">
        <v>192</v>
      </c>
      <c r="D197" s="52">
        <v>21</v>
      </c>
      <c r="E197" t="s">
        <v>133</v>
      </c>
    </row>
    <row r="198" spans="1:6" x14ac:dyDescent="0.25">
      <c r="A198" s="74"/>
      <c r="C198" t="s">
        <v>197</v>
      </c>
      <c r="D198" s="52">
        <v>0.05</v>
      </c>
      <c r="E198" t="s">
        <v>206</v>
      </c>
    </row>
    <row r="199" spans="1:6" x14ac:dyDescent="0.25">
      <c r="A199" s="74"/>
      <c r="B199" t="s">
        <v>1001</v>
      </c>
      <c r="C199" t="s">
        <v>1000</v>
      </c>
      <c r="D199" s="35">
        <f>D118</f>
        <v>9.4103979964856599</v>
      </c>
    </row>
    <row r="200" spans="1:6" x14ac:dyDescent="0.25">
      <c r="A200" s="74"/>
      <c r="B200" s="7" t="s">
        <v>47</v>
      </c>
      <c r="C200" s="7" t="s">
        <v>46</v>
      </c>
      <c r="D200" s="7">
        <f>D3</f>
        <v>16000</v>
      </c>
      <c r="E200" t="s">
        <v>68</v>
      </c>
    </row>
    <row r="201" spans="1:6" x14ac:dyDescent="0.25">
      <c r="A201" s="74"/>
      <c r="B201" t="s">
        <v>40</v>
      </c>
      <c r="C201" s="57" t="s">
        <v>35</v>
      </c>
      <c r="D201" s="27">
        <f>D114</f>
        <v>22.598870056497173</v>
      </c>
      <c r="E201" t="s">
        <v>20</v>
      </c>
    </row>
    <row r="202" spans="1:6" x14ac:dyDescent="0.25">
      <c r="A202" s="74"/>
      <c r="C202" t="s">
        <v>203</v>
      </c>
      <c r="D202" s="27">
        <f>D196/2000</f>
        <v>1E-3</v>
      </c>
      <c r="E202" t="s">
        <v>206</v>
      </c>
    </row>
    <row r="203" spans="1:6" x14ac:dyDescent="0.25">
      <c r="A203" s="74"/>
      <c r="C203" t="s">
        <v>198</v>
      </c>
      <c r="D203" s="27">
        <f>(D197/1000)*D199*2*PI()</f>
        <v>1.2416727629508493</v>
      </c>
      <c r="E203" t="s">
        <v>206</v>
      </c>
    </row>
    <row r="204" spans="1:6" x14ac:dyDescent="0.25">
      <c r="A204" s="74"/>
      <c r="C204" t="s">
        <v>183</v>
      </c>
      <c r="D204" s="27">
        <f>D196/2000</f>
        <v>1E-3</v>
      </c>
      <c r="E204" t="s">
        <v>206</v>
      </c>
    </row>
    <row r="205" spans="1:6" x14ac:dyDescent="0.25">
      <c r="A205" s="74"/>
      <c r="C205" t="s">
        <v>184</v>
      </c>
      <c r="D205" s="27">
        <f>PI()*POWER(D204, 2)*D203</f>
        <v>3.9008300302489285E-6</v>
      </c>
      <c r="E205" t="s">
        <v>628</v>
      </c>
    </row>
    <row r="206" spans="1:6" x14ac:dyDescent="0.25">
      <c r="A206" s="74"/>
      <c r="C206" t="s">
        <v>200</v>
      </c>
      <c r="D206" s="27">
        <f>POWER(2*D211/(4*PI()*(0.0000001)*2*PI()*D200), 0.5)</f>
        <v>5.157209585242166E-4</v>
      </c>
      <c r="E206" t="s">
        <v>206</v>
      </c>
    </row>
    <row r="207" spans="1:6" x14ac:dyDescent="0.25">
      <c r="A207" s="74"/>
      <c r="C207" t="s">
        <v>201</v>
      </c>
      <c r="D207" s="27">
        <f>1000*D206</f>
        <v>0.51572095852421662</v>
      </c>
      <c r="E207" t="s">
        <v>133</v>
      </c>
    </row>
    <row r="208" spans="1:6" x14ac:dyDescent="0.25">
      <c r="A208" s="74"/>
      <c r="C208" t="s">
        <v>202</v>
      </c>
      <c r="D208" s="27">
        <f>POWER(D202, 2)*PI()</f>
        <v>3.1415926535897929E-6</v>
      </c>
      <c r="E208" t="s">
        <v>207</v>
      </c>
    </row>
    <row r="209" spans="1:5" x14ac:dyDescent="0.25">
      <c r="A209" s="74"/>
      <c r="C209" t="s">
        <v>204</v>
      </c>
      <c r="D209" s="27">
        <f>POWER((D202-D206), 2)*PI()</f>
        <v>7.3678575561831338E-7</v>
      </c>
      <c r="E209" t="s">
        <v>207</v>
      </c>
    </row>
    <row r="210" spans="1:5" x14ac:dyDescent="0.25">
      <c r="A210" s="74"/>
      <c r="C210" t="s">
        <v>205</v>
      </c>
      <c r="D210" s="27">
        <f>D208-D209</f>
        <v>2.4048068979714796E-6</v>
      </c>
      <c r="E210" t="s">
        <v>207</v>
      </c>
    </row>
    <row r="211" spans="1:5" x14ac:dyDescent="0.25">
      <c r="A211" s="74"/>
      <c r="C211" t="s">
        <v>195</v>
      </c>
      <c r="D211" s="51">
        <v>1.6800000000000002E-8</v>
      </c>
      <c r="E211" t="s">
        <v>997</v>
      </c>
    </row>
    <row r="212" spans="1:5" x14ac:dyDescent="0.25">
      <c r="A212" s="74"/>
      <c r="C212" t="s">
        <v>208</v>
      </c>
      <c r="D212" s="51">
        <f>D203+D198</f>
        <v>1.2916727629508493</v>
      </c>
      <c r="E212" t="s">
        <v>206</v>
      </c>
    </row>
    <row r="213" spans="1:5" x14ac:dyDescent="0.25">
      <c r="A213" s="74"/>
      <c r="C213" t="s">
        <v>209</v>
      </c>
      <c r="D213" s="51">
        <f>2*D202*PI()*D203</f>
        <v>7.8016600604978578E-3</v>
      </c>
      <c r="E213" t="s">
        <v>207</v>
      </c>
    </row>
    <row r="214" spans="1:5" x14ac:dyDescent="0.25">
      <c r="A214" s="74"/>
      <c r="C214" t="s">
        <v>210</v>
      </c>
      <c r="D214" s="51">
        <f>D211*D203/D210</f>
        <v>8.6743357377967994E-3</v>
      </c>
      <c r="E214" t="s">
        <v>24</v>
      </c>
    </row>
    <row r="215" spans="1:5" x14ac:dyDescent="0.25">
      <c r="A215" s="74"/>
      <c r="C215" t="s">
        <v>211</v>
      </c>
      <c r="D215" s="51">
        <f>D211*D198/D210</f>
        <v>3.4930039526606611E-4</v>
      </c>
      <c r="E215" t="s">
        <v>24</v>
      </c>
    </row>
    <row r="216" spans="1:5" x14ac:dyDescent="0.25">
      <c r="A216" s="74"/>
      <c r="C216" t="s">
        <v>212</v>
      </c>
      <c r="D216" s="51">
        <f>D214+D215</f>
        <v>9.0236361330628661E-3</v>
      </c>
      <c r="E216" t="s">
        <v>24</v>
      </c>
    </row>
    <row r="217" spans="1:5" x14ac:dyDescent="0.25">
      <c r="A217" s="74"/>
      <c r="C217" t="s">
        <v>1002</v>
      </c>
      <c r="D217" s="51">
        <f>POWER(D201/POWER(3, 0.5), 2)*D214</f>
        <v>1.476686901430504</v>
      </c>
      <c r="E217" t="s">
        <v>22</v>
      </c>
    </row>
    <row r="218" spans="1:5" x14ac:dyDescent="0.25">
      <c r="A218" s="74"/>
      <c r="C218" t="s">
        <v>213</v>
      </c>
      <c r="D218" s="51">
        <f>POWER(D201/POWER(3, 0.5), 2)*D215</f>
        <v>5.9463610119027711E-2</v>
      </c>
      <c r="E218" t="s">
        <v>22</v>
      </c>
    </row>
    <row r="219" spans="1:5" x14ac:dyDescent="0.25">
      <c r="A219" s="74"/>
      <c r="C219" t="s">
        <v>214</v>
      </c>
      <c r="D219" s="51">
        <f>D217+D218</f>
        <v>1.5361505115495317</v>
      </c>
      <c r="E219" t="s">
        <v>22</v>
      </c>
    </row>
    <row r="220" spans="1:5" x14ac:dyDescent="0.25">
      <c r="A220" s="74"/>
      <c r="C220" t="s">
        <v>215</v>
      </c>
      <c r="D220" s="55">
        <f>D217/D213</f>
        <v>189.2785496906501</v>
      </c>
      <c r="E220" t="s">
        <v>999</v>
      </c>
    </row>
    <row r="221" spans="1:5" x14ac:dyDescent="0.25">
      <c r="A221" s="31"/>
    </row>
    <row r="222" spans="1:5" x14ac:dyDescent="0.25">
      <c r="A222" s="31"/>
    </row>
    <row r="223" spans="1:5" x14ac:dyDescent="0.25">
      <c r="A223" s="31"/>
    </row>
    <row r="224" spans="1:5" x14ac:dyDescent="0.25">
      <c r="A224" s="50"/>
      <c r="B224" t="s">
        <v>791</v>
      </c>
      <c r="C224" t="s">
        <v>998</v>
      </c>
      <c r="D224" s="52">
        <f>D135</f>
        <v>3.6</v>
      </c>
    </row>
    <row r="225" spans="1:14" x14ac:dyDescent="0.25">
      <c r="A225" s="50"/>
      <c r="C225" t="s">
        <v>279</v>
      </c>
      <c r="D225" s="56">
        <v>0.2</v>
      </c>
    </row>
    <row r="226" spans="1:14" x14ac:dyDescent="0.25">
      <c r="A226" s="50"/>
      <c r="C226" t="s">
        <v>790</v>
      </c>
      <c r="D226" s="27">
        <f>D225*D135</f>
        <v>0.72000000000000008</v>
      </c>
    </row>
    <row r="227" spans="1:14" x14ac:dyDescent="0.25">
      <c r="A227" s="50"/>
      <c r="C227" t="s">
        <v>222</v>
      </c>
      <c r="D227">
        <f>D226/POWER(D124, 2)</f>
        <v>9.7903125000000027E-6</v>
      </c>
    </row>
    <row r="228" spans="1:14" x14ac:dyDescent="0.25">
      <c r="A228" s="23"/>
    </row>
    <row r="229" spans="1:14" x14ac:dyDescent="0.25">
      <c r="A229" s="77" t="s">
        <v>517</v>
      </c>
      <c r="B229" s="61" t="s">
        <v>512</v>
      </c>
      <c r="C229" s="61"/>
      <c r="D229" s="61">
        <f>D4</f>
        <v>1.2</v>
      </c>
      <c r="E229" s="61"/>
      <c r="F229" s="61"/>
      <c r="G229" s="61"/>
      <c r="H229" s="61"/>
      <c r="I229" s="61"/>
      <c r="J229" s="61"/>
      <c r="K229" s="61"/>
      <c r="L229" s="61"/>
      <c r="M229" s="61"/>
      <c r="N229" s="61"/>
    </row>
    <row r="230" spans="1:14" x14ac:dyDescent="0.25">
      <c r="A230" s="77"/>
      <c r="B230" s="61" t="s">
        <v>48</v>
      </c>
      <c r="C230" s="61" t="s">
        <v>230</v>
      </c>
      <c r="D230" s="61">
        <f>1/D124</f>
        <v>3.6875000000000007E-3</v>
      </c>
      <c r="E230" s="61"/>
      <c r="F230" s="61"/>
      <c r="G230" s="61"/>
      <c r="H230" s="61"/>
      <c r="I230" s="61"/>
      <c r="J230" s="61"/>
      <c r="K230" s="61"/>
      <c r="L230" s="61"/>
      <c r="M230" s="61"/>
      <c r="N230" s="61"/>
    </row>
    <row r="231" spans="1:14" x14ac:dyDescent="0.25">
      <c r="A231" s="77"/>
      <c r="B231" s="61" t="s">
        <v>47</v>
      </c>
      <c r="C231" s="61"/>
      <c r="D231" s="61">
        <f>D3</f>
        <v>16000</v>
      </c>
      <c r="E231" s="61"/>
      <c r="F231" s="61"/>
      <c r="G231" s="61"/>
      <c r="H231" s="61"/>
      <c r="I231" s="61"/>
      <c r="J231" s="61"/>
      <c r="K231" s="61"/>
      <c r="L231" s="61"/>
      <c r="M231" s="61"/>
      <c r="N231" s="61"/>
    </row>
    <row r="232" spans="1:14" x14ac:dyDescent="0.25">
      <c r="A232" s="77"/>
      <c r="B232" s="61" t="s">
        <v>71</v>
      </c>
      <c r="C232" s="61"/>
      <c r="D232" s="61">
        <f>D105</f>
        <v>7000</v>
      </c>
      <c r="E232" s="61"/>
      <c r="F232" s="61"/>
      <c r="G232" s="61"/>
      <c r="H232" s="61"/>
      <c r="I232" s="61"/>
      <c r="J232" s="61"/>
      <c r="K232" s="61"/>
      <c r="L232" s="61"/>
      <c r="M232" s="61"/>
      <c r="N232" s="61"/>
    </row>
    <row r="233" spans="1:14" x14ac:dyDescent="0.25">
      <c r="A233" s="77"/>
      <c r="B233" s="61" t="s">
        <v>511</v>
      </c>
      <c r="C233" s="61" t="s">
        <v>1008</v>
      </c>
      <c r="D233" s="61">
        <v>2.5</v>
      </c>
      <c r="E233" s="61"/>
      <c r="F233" s="61"/>
      <c r="G233" s="61"/>
      <c r="H233" s="61"/>
      <c r="I233" s="61"/>
      <c r="J233" s="61"/>
      <c r="K233" s="61"/>
      <c r="L233" s="61"/>
      <c r="M233" s="61"/>
      <c r="N233" s="61"/>
    </row>
    <row r="234" spans="1:14" x14ac:dyDescent="0.25">
      <c r="A234" s="77"/>
      <c r="B234" s="61" t="s">
        <v>231</v>
      </c>
      <c r="C234" s="61"/>
      <c r="D234" s="61">
        <f>D114</f>
        <v>22.598870056497173</v>
      </c>
      <c r="E234" s="61"/>
      <c r="F234" s="61"/>
      <c r="G234" s="61"/>
      <c r="H234" s="61"/>
      <c r="I234" s="61"/>
      <c r="J234" s="61"/>
      <c r="K234" s="61"/>
      <c r="L234" s="61"/>
      <c r="M234" s="61"/>
      <c r="N234" s="61"/>
    </row>
    <row r="235" spans="1:14" x14ac:dyDescent="0.25">
      <c r="A235" s="77"/>
      <c r="B235" s="61" t="s">
        <v>232</v>
      </c>
      <c r="C235" s="61"/>
      <c r="D235" s="61">
        <f>D227</f>
        <v>9.7903125000000027E-6</v>
      </c>
      <c r="E235" s="61"/>
      <c r="F235" s="61"/>
      <c r="G235" s="61"/>
      <c r="H235" s="61"/>
      <c r="I235" s="61"/>
      <c r="J235" s="61"/>
      <c r="K235" s="61"/>
      <c r="L235" s="61"/>
      <c r="M235" s="61"/>
      <c r="N235" s="61"/>
    </row>
    <row r="236" spans="1:14" x14ac:dyDescent="0.25">
      <c r="A236" s="77"/>
      <c r="B236" s="61" t="s">
        <v>516</v>
      </c>
      <c r="C236" s="61"/>
      <c r="D236" s="61">
        <f>D232*D230</f>
        <v>25.812500000000004</v>
      </c>
      <c r="E236" s="61"/>
      <c r="F236" s="61"/>
      <c r="G236" s="61"/>
      <c r="H236" s="61"/>
      <c r="I236" s="61"/>
      <c r="J236" s="61"/>
      <c r="K236" s="61"/>
      <c r="L236" s="61"/>
      <c r="M236" s="61"/>
      <c r="N236" s="61"/>
    </row>
    <row r="237" spans="1:14" x14ac:dyDescent="0.25">
      <c r="A237" s="77"/>
      <c r="B237" s="61" t="s">
        <v>229</v>
      </c>
      <c r="C237" s="61"/>
      <c r="D237" s="61">
        <v>10</v>
      </c>
      <c r="E237" s="61"/>
      <c r="F237" s="61"/>
      <c r="G237" s="61"/>
      <c r="H237" s="61"/>
      <c r="I237" s="61"/>
      <c r="J237" s="61"/>
      <c r="K237" s="61"/>
      <c r="L237" s="61"/>
      <c r="M237" s="61"/>
      <c r="N237" s="61"/>
    </row>
    <row r="238" spans="1:14" x14ac:dyDescent="0.25">
      <c r="A238" s="77"/>
      <c r="B238" s="61" t="s">
        <v>219</v>
      </c>
      <c r="C238" s="61" t="s">
        <v>228</v>
      </c>
      <c r="D238" s="61">
        <f>D233*D236</f>
        <v>64.531250000000014</v>
      </c>
      <c r="E238" s="61"/>
      <c r="F238" s="61"/>
      <c r="G238" s="61"/>
      <c r="H238" s="61"/>
      <c r="I238" s="61"/>
      <c r="J238" s="61"/>
      <c r="K238" s="61"/>
      <c r="L238" s="61"/>
      <c r="M238" s="61"/>
      <c r="N238" s="61"/>
    </row>
    <row r="239" spans="1:14" x14ac:dyDescent="0.25">
      <c r="A239" s="77"/>
      <c r="B239" s="61" t="s">
        <v>39</v>
      </c>
      <c r="C239" s="61"/>
      <c r="D239" s="61">
        <f>D110</f>
        <v>0.5</v>
      </c>
      <c r="E239" s="61"/>
      <c r="F239" s="61"/>
      <c r="G239" s="61"/>
      <c r="H239" s="61"/>
      <c r="I239" s="61"/>
      <c r="J239" s="61"/>
      <c r="K239" s="61"/>
      <c r="L239" s="61"/>
      <c r="M239" s="61"/>
      <c r="N239" s="61"/>
    </row>
    <row r="240" spans="1:14" x14ac:dyDescent="0.25">
      <c r="A240" s="77"/>
      <c r="B240" s="61" t="s">
        <v>284</v>
      </c>
      <c r="C240" s="61"/>
      <c r="D240" s="61">
        <f>0.5*D235*POWER(D234, 2)</f>
        <v>2.5000000000000001E-3</v>
      </c>
      <c r="E240" s="61"/>
      <c r="F240" s="61"/>
      <c r="G240" s="61"/>
      <c r="H240" s="61"/>
      <c r="I240" s="61"/>
      <c r="J240" s="61"/>
      <c r="K240" s="61"/>
      <c r="L240" s="61"/>
      <c r="M240" s="61"/>
      <c r="N240" s="61"/>
    </row>
    <row r="241" spans="1:14" x14ac:dyDescent="0.25">
      <c r="A241" s="77"/>
      <c r="B241" s="61" t="s">
        <v>220</v>
      </c>
      <c r="C241" s="61"/>
      <c r="D241" s="61">
        <f>D234*D235/D238</f>
        <v>3.4285714285714285E-6</v>
      </c>
      <c r="E241" s="61"/>
      <c r="F241" s="61"/>
      <c r="G241" s="61"/>
      <c r="H241" s="61"/>
      <c r="I241" s="61"/>
      <c r="J241" s="61"/>
      <c r="K241" s="61"/>
      <c r="L241" s="61"/>
      <c r="M241" s="61"/>
      <c r="N241" s="61"/>
    </row>
    <row r="242" spans="1:14" x14ac:dyDescent="0.25">
      <c r="A242" s="77"/>
      <c r="B242" s="61" t="s">
        <v>221</v>
      </c>
      <c r="C242" s="61"/>
      <c r="D242" s="61" t="b">
        <f>AND(D241&gt;0, D241&lt;((1-D239)/D231))</f>
        <v>1</v>
      </c>
      <c r="E242" s="61"/>
      <c r="F242" s="61"/>
      <c r="G242" s="61"/>
      <c r="H242" s="61"/>
      <c r="I242" s="61"/>
      <c r="J242" s="61"/>
      <c r="K242" s="61"/>
      <c r="L242" s="61"/>
      <c r="M242" s="61"/>
      <c r="N242" s="61"/>
    </row>
    <row r="243" spans="1:14" x14ac:dyDescent="0.25">
      <c r="A243" s="77"/>
      <c r="B243" s="61" t="s">
        <v>233</v>
      </c>
      <c r="C243" s="61"/>
      <c r="D243" s="61">
        <f>D240*D231</f>
        <v>40</v>
      </c>
      <c r="E243" s="61"/>
      <c r="F243" s="61"/>
      <c r="G243" s="61"/>
      <c r="H243" s="61"/>
      <c r="I243" s="61"/>
      <c r="J243" s="61"/>
      <c r="K243" s="61"/>
      <c r="L243" s="61"/>
      <c r="M243" s="61"/>
      <c r="N243" s="61"/>
    </row>
    <row r="244" spans="1:14" x14ac:dyDescent="0.25">
      <c r="A244" s="77"/>
      <c r="B244" s="61" t="s">
        <v>226</v>
      </c>
      <c r="C244" s="61"/>
      <c r="D244" s="61">
        <f>POWER(D238, 2)/D243</f>
        <v>104.10705566406254</v>
      </c>
      <c r="E244" s="61"/>
      <c r="F244" s="61"/>
      <c r="G244" s="61"/>
      <c r="H244" s="61"/>
      <c r="I244" s="61"/>
      <c r="J244" s="61"/>
      <c r="K244" s="61"/>
      <c r="L244" s="61"/>
      <c r="M244" s="61"/>
      <c r="N244" s="61"/>
    </row>
    <row r="245" spans="1:14" x14ac:dyDescent="0.25">
      <c r="A245" s="77"/>
      <c r="B245" s="61" t="s">
        <v>224</v>
      </c>
      <c r="C245" s="61"/>
      <c r="D245" s="61">
        <v>330</v>
      </c>
      <c r="E245" s="61"/>
      <c r="F245" s="61"/>
      <c r="G245" s="61"/>
      <c r="H245" s="61"/>
      <c r="I245" s="61"/>
      <c r="J245" s="61"/>
      <c r="K245" s="61"/>
      <c r="L245" s="61"/>
      <c r="M245" s="61"/>
      <c r="N245" s="61"/>
    </row>
    <row r="246" spans="1:14" x14ac:dyDescent="0.25">
      <c r="A246" s="77"/>
      <c r="B246" s="61" t="s">
        <v>513</v>
      </c>
      <c r="C246" s="61"/>
      <c r="D246" s="61">
        <f>POWER(D245*D243, 0.5)</f>
        <v>114.89125293076057</v>
      </c>
      <c r="E246" s="61"/>
      <c r="F246" s="61"/>
      <c r="G246" s="61"/>
      <c r="H246" s="61"/>
      <c r="I246" s="61"/>
      <c r="J246" s="61"/>
      <c r="K246" s="61"/>
      <c r="L246" s="61"/>
      <c r="M246" s="61"/>
      <c r="N246" s="61"/>
    </row>
    <row r="247" spans="1:14" x14ac:dyDescent="0.25">
      <c r="A247" s="77"/>
      <c r="B247" s="61" t="s">
        <v>515</v>
      </c>
      <c r="C247" s="61"/>
      <c r="D247" s="61">
        <f>D246/D236</f>
        <v>4.4509928496178421</v>
      </c>
      <c r="E247" s="61"/>
      <c r="F247" s="61"/>
      <c r="G247" s="61"/>
      <c r="H247" s="61"/>
      <c r="I247" s="61"/>
      <c r="J247" s="61"/>
      <c r="K247" s="61"/>
      <c r="L247" s="61"/>
      <c r="M247" s="61"/>
      <c r="N247" s="61"/>
    </row>
    <row r="248" spans="1:14" x14ac:dyDescent="0.25">
      <c r="A248" s="77"/>
      <c r="B248" s="61" t="s">
        <v>234</v>
      </c>
      <c r="C248" s="61" t="s">
        <v>235</v>
      </c>
      <c r="D248" s="61">
        <f>D243*D229</f>
        <v>48</v>
      </c>
      <c r="E248" s="61"/>
      <c r="F248" s="61"/>
      <c r="G248" s="61"/>
      <c r="H248" s="61"/>
      <c r="I248" s="61"/>
      <c r="J248" s="61"/>
      <c r="K248" s="61"/>
      <c r="L248" s="61"/>
      <c r="M248" s="61"/>
      <c r="N248" s="61"/>
    </row>
    <row r="249" spans="1:14" x14ac:dyDescent="0.25">
      <c r="A249" s="77"/>
      <c r="B249" s="61" t="s">
        <v>223</v>
      </c>
      <c r="C249" s="61" t="s">
        <v>236</v>
      </c>
      <c r="D249" s="61">
        <v>0.5</v>
      </c>
      <c r="E249" s="61"/>
      <c r="F249" s="61"/>
      <c r="G249" s="61"/>
      <c r="H249" s="61"/>
      <c r="I249" s="61"/>
      <c r="J249" s="61"/>
      <c r="K249" s="61"/>
      <c r="L249" s="61"/>
      <c r="M249" s="61"/>
      <c r="N249" s="61"/>
    </row>
    <row r="250" spans="1:14" x14ac:dyDescent="0.25">
      <c r="A250" s="77"/>
      <c r="B250" s="61" t="s">
        <v>225</v>
      </c>
      <c r="C250" s="61"/>
      <c r="D250" s="61">
        <f>D246/(D249*D245*D231)</f>
        <v>4.3519413988924462E-5</v>
      </c>
      <c r="E250" s="61"/>
      <c r="F250" s="61"/>
      <c r="G250" s="61"/>
      <c r="H250" s="61"/>
      <c r="I250" s="61"/>
      <c r="J250" s="61"/>
      <c r="K250" s="61"/>
      <c r="L250" s="61"/>
      <c r="M250" s="61"/>
      <c r="N250" s="61"/>
    </row>
    <row r="251" spans="1:14" x14ac:dyDescent="0.25">
      <c r="A251" s="77"/>
      <c r="B251" s="61" t="s">
        <v>277</v>
      </c>
      <c r="C251" s="61" t="s">
        <v>278</v>
      </c>
      <c r="D251" s="62">
        <v>10</v>
      </c>
      <c r="E251" s="61"/>
      <c r="F251" s="61"/>
      <c r="G251" s="61"/>
      <c r="H251" s="61"/>
      <c r="I251" s="61"/>
      <c r="J251" s="61"/>
      <c r="K251" s="61"/>
      <c r="L251" s="61"/>
      <c r="M251" s="61"/>
      <c r="N251" s="61"/>
    </row>
    <row r="252" spans="1:14" x14ac:dyDescent="0.25">
      <c r="A252" s="77"/>
      <c r="B252" s="61" t="s">
        <v>514</v>
      </c>
      <c r="C252" s="61"/>
      <c r="D252" s="62">
        <v>6.0000000000000002E-6</v>
      </c>
      <c r="E252" s="61"/>
      <c r="F252" s="61"/>
      <c r="G252" s="61"/>
      <c r="H252" s="61"/>
      <c r="I252" s="61"/>
      <c r="J252" s="61"/>
      <c r="K252" s="61"/>
      <c r="L252" s="61"/>
      <c r="M252" s="61"/>
      <c r="N252" s="61"/>
    </row>
    <row r="253" spans="1:14" x14ac:dyDescent="0.25">
      <c r="A253" s="77"/>
      <c r="B253" s="61" t="s">
        <v>490</v>
      </c>
      <c r="C253" s="61"/>
      <c r="D253" s="62">
        <v>4.1000000000000003E-3</v>
      </c>
      <c r="E253" s="61"/>
      <c r="F253" s="61"/>
      <c r="G253" s="61"/>
      <c r="H253" s="61"/>
      <c r="I253" s="61"/>
      <c r="J253" s="61"/>
      <c r="K253" s="61"/>
      <c r="L253" s="61"/>
      <c r="M253" s="61"/>
      <c r="N253" s="61"/>
    </row>
    <row r="254" spans="1:14" x14ac:dyDescent="0.25">
      <c r="A254" s="77"/>
      <c r="B254" s="61" t="s">
        <v>227</v>
      </c>
      <c r="C254" s="61"/>
      <c r="D254" s="62">
        <f>D252*D251</f>
        <v>6.0000000000000002E-5</v>
      </c>
      <c r="E254" s="61"/>
      <c r="F254" s="61"/>
      <c r="G254" s="61"/>
      <c r="H254" s="61"/>
      <c r="I254" s="61"/>
      <c r="J254" s="61"/>
      <c r="K254" s="61"/>
      <c r="L254" s="61"/>
      <c r="M254" s="61"/>
      <c r="N254" s="61"/>
    </row>
    <row r="255" spans="1:14" x14ac:dyDescent="0.25">
      <c r="A255" s="77"/>
      <c r="B255" s="61" t="s">
        <v>491</v>
      </c>
      <c r="C255" s="61"/>
      <c r="D255" s="62">
        <f>D253/D251</f>
        <v>4.1000000000000005E-4</v>
      </c>
      <c r="E255" s="61"/>
      <c r="F255" s="61"/>
      <c r="G255" s="61"/>
      <c r="H255" s="61"/>
      <c r="I255" s="61"/>
      <c r="J255" s="61"/>
      <c r="K255" s="61"/>
      <c r="L255" s="61"/>
      <c r="M255" s="61"/>
      <c r="N255" s="61"/>
    </row>
    <row r="256" spans="1:14" x14ac:dyDescent="0.25">
      <c r="A256" s="77"/>
      <c r="B256" s="61" t="s">
        <v>495</v>
      </c>
      <c r="C256" s="61" t="s">
        <v>237</v>
      </c>
      <c r="D256" s="61">
        <f>D246/(D254*(D245*D231))</f>
        <v>0.36266178324103715</v>
      </c>
      <c r="E256" s="61"/>
      <c r="F256" s="61"/>
      <c r="G256" s="61"/>
      <c r="H256" s="61" t="s">
        <v>509</v>
      </c>
      <c r="I256" s="61" t="s">
        <v>498</v>
      </c>
      <c r="J256" s="61" t="s">
        <v>506</v>
      </c>
      <c r="K256" s="61" t="s">
        <v>504</v>
      </c>
      <c r="L256" s="61" t="s">
        <v>505</v>
      </c>
      <c r="M256" s="61" t="s">
        <v>507</v>
      </c>
      <c r="N256" s="61" t="s">
        <v>508</v>
      </c>
    </row>
    <row r="257" spans="1:14" x14ac:dyDescent="0.25">
      <c r="A257" s="77"/>
      <c r="B257" s="61" t="s">
        <v>496</v>
      </c>
      <c r="C257" s="61"/>
      <c r="D257" s="62">
        <f>D234*D255</f>
        <v>9.2655367231638426E-3</v>
      </c>
      <c r="E257" s="61" t="s">
        <v>487</v>
      </c>
      <c r="F257" s="61"/>
      <c r="G257" s="63" t="s">
        <v>497</v>
      </c>
      <c r="H257" s="61">
        <v>27</v>
      </c>
      <c r="I257" s="61">
        <v>2</v>
      </c>
      <c r="J257" s="61">
        <v>1.8</v>
      </c>
      <c r="K257" s="61">
        <f>J257/I257</f>
        <v>0.9</v>
      </c>
      <c r="L257" s="64">
        <v>8.81</v>
      </c>
      <c r="M257" s="64">
        <f>L257*I257</f>
        <v>17.62</v>
      </c>
      <c r="N257" s="61">
        <f>H257*I257</f>
        <v>54</v>
      </c>
    </row>
    <row r="258" spans="1:14" x14ac:dyDescent="0.25">
      <c r="A258" s="77"/>
      <c r="B258" s="61" t="s">
        <v>494</v>
      </c>
      <c r="C258" s="61"/>
      <c r="D258" s="62">
        <f>D257+D256</f>
        <v>0.37192731996420098</v>
      </c>
      <c r="E258" s="61"/>
      <c r="F258" s="61"/>
      <c r="G258" s="61" t="s">
        <v>499</v>
      </c>
      <c r="H258" s="61">
        <v>47</v>
      </c>
      <c r="I258" s="61">
        <v>1</v>
      </c>
      <c r="J258" s="61">
        <v>2.7</v>
      </c>
      <c r="K258" s="61">
        <f t="shared" ref="K258:K263" si="15">J258/I258</f>
        <v>2.7</v>
      </c>
      <c r="L258" s="64">
        <v>13.55</v>
      </c>
      <c r="M258" s="64">
        <f t="shared" ref="M258:M260" si="16">L258*I258</f>
        <v>13.55</v>
      </c>
      <c r="N258" s="61">
        <f t="shared" ref="N258:N263" si="17">H258*I258</f>
        <v>47</v>
      </c>
    </row>
    <row r="259" spans="1:14" ht="15.75" thickBot="1" x14ac:dyDescent="0.3">
      <c r="A259" s="77"/>
      <c r="B259" s="61" t="s">
        <v>492</v>
      </c>
      <c r="C259" s="61"/>
      <c r="D259" s="62">
        <f>POWER(D257, 2)/D255</f>
        <v>0.20939066041048232</v>
      </c>
      <c r="E259" s="61"/>
      <c r="F259" s="61"/>
      <c r="G259" s="61" t="s">
        <v>500</v>
      </c>
      <c r="H259" s="61">
        <v>8</v>
      </c>
      <c r="I259" s="61">
        <v>10</v>
      </c>
      <c r="J259" s="61">
        <v>6</v>
      </c>
      <c r="K259" s="61">
        <f t="shared" si="15"/>
        <v>0.6</v>
      </c>
      <c r="L259" s="65">
        <v>2.95</v>
      </c>
      <c r="M259" s="65">
        <f>L259*I259</f>
        <v>29.5</v>
      </c>
      <c r="N259" s="61">
        <f t="shared" si="17"/>
        <v>80</v>
      </c>
    </row>
    <row r="260" spans="1:14" x14ac:dyDescent="0.25">
      <c r="A260" s="77"/>
      <c r="B260" s="61" t="s">
        <v>493</v>
      </c>
      <c r="C260" s="61"/>
      <c r="D260" s="62">
        <f>D259/D251</f>
        <v>2.0939066041048233E-2</v>
      </c>
      <c r="E260" s="61"/>
      <c r="F260" s="61"/>
      <c r="G260" s="61" t="s">
        <v>501</v>
      </c>
      <c r="H260" s="61">
        <v>12</v>
      </c>
      <c r="I260" s="61">
        <v>4</v>
      </c>
      <c r="J260" s="61">
        <v>1.8</v>
      </c>
      <c r="K260" s="61">
        <f t="shared" si="15"/>
        <v>0.45</v>
      </c>
      <c r="L260" s="64">
        <v>8.82</v>
      </c>
      <c r="M260" s="64">
        <f t="shared" si="16"/>
        <v>35.28</v>
      </c>
      <c r="N260" s="61">
        <f t="shared" si="17"/>
        <v>48</v>
      </c>
    </row>
    <row r="261" spans="1:14" x14ac:dyDescent="0.25">
      <c r="A261" s="77"/>
      <c r="B261" s="61" t="s">
        <v>280</v>
      </c>
      <c r="C261" s="61"/>
      <c r="D261" s="62">
        <f>2*PI()*D231*D254*D256</f>
        <v>2.1875243404182072</v>
      </c>
      <c r="E261" s="61" t="s">
        <v>488</v>
      </c>
      <c r="F261" s="61"/>
      <c r="G261" s="63" t="s">
        <v>502</v>
      </c>
      <c r="H261" s="61">
        <v>6</v>
      </c>
      <c r="I261" s="61">
        <v>10</v>
      </c>
      <c r="J261" s="61">
        <v>4.0999999999999996</v>
      </c>
      <c r="K261" s="61">
        <f t="shared" si="15"/>
        <v>0.41</v>
      </c>
      <c r="L261" s="64"/>
      <c r="M261" s="64">
        <v>25.4</v>
      </c>
      <c r="N261" s="61">
        <f t="shared" si="17"/>
        <v>60</v>
      </c>
    </row>
    <row r="262" spans="1:14" x14ac:dyDescent="0.25">
      <c r="A262" s="77"/>
      <c r="B262" s="61" t="s">
        <v>281</v>
      </c>
      <c r="C262" s="61"/>
      <c r="D262" s="61">
        <f>2*D261</f>
        <v>4.3750486808364144</v>
      </c>
      <c r="E262" s="61" t="s">
        <v>489</v>
      </c>
      <c r="F262" s="61"/>
      <c r="G262" s="61" t="s">
        <v>503</v>
      </c>
      <c r="H262" s="61">
        <v>5.6</v>
      </c>
      <c r="I262" s="61">
        <v>9</v>
      </c>
      <c r="J262" s="61">
        <v>4.2</v>
      </c>
      <c r="K262" s="61">
        <f t="shared" si="15"/>
        <v>0.46666666666666667</v>
      </c>
      <c r="L262" s="64"/>
      <c r="M262" s="64">
        <v>26.7</v>
      </c>
      <c r="N262" s="61">
        <f t="shared" si="17"/>
        <v>50.4</v>
      </c>
    </row>
    <row r="263" spans="1:14" x14ac:dyDescent="0.25">
      <c r="A263" s="77"/>
      <c r="B263" s="61" t="s">
        <v>282</v>
      </c>
      <c r="C263" s="61"/>
      <c r="D263" s="62">
        <f>D262/D251</f>
        <v>0.43750486808364142</v>
      </c>
      <c r="E263" s="61"/>
      <c r="F263" s="61"/>
      <c r="G263" s="61" t="s">
        <v>510</v>
      </c>
      <c r="H263" s="61">
        <v>5</v>
      </c>
      <c r="I263" s="61">
        <v>10</v>
      </c>
      <c r="J263" s="61">
        <v>5.5</v>
      </c>
      <c r="K263" s="61">
        <f t="shared" si="15"/>
        <v>0.55000000000000004</v>
      </c>
      <c r="L263" s="61"/>
      <c r="M263" s="66">
        <v>21</v>
      </c>
      <c r="N263" s="61">
        <f t="shared" si="17"/>
        <v>50</v>
      </c>
    </row>
    <row r="264" spans="1:14" x14ac:dyDescent="0.25">
      <c r="A264" s="77"/>
      <c r="B264" s="61" t="s">
        <v>283</v>
      </c>
      <c r="C264" s="61"/>
      <c r="D264" s="62">
        <f>D234*D4</f>
        <v>27.118644067796605</v>
      </c>
      <c r="E264" s="61"/>
      <c r="F264" s="61"/>
      <c r="G264" s="61"/>
      <c r="H264" s="61"/>
      <c r="I264" s="61"/>
      <c r="J264" s="61"/>
      <c r="K264" s="61"/>
      <c r="L264" s="61"/>
      <c r="M264" s="61"/>
      <c r="N264" s="61"/>
    </row>
    <row r="265" spans="1:14" x14ac:dyDescent="0.25">
      <c r="A265" s="77"/>
      <c r="B265" s="61" t="s">
        <v>284</v>
      </c>
      <c r="C265" s="61"/>
      <c r="D265" s="62">
        <f>D240</f>
        <v>2.5000000000000001E-3</v>
      </c>
      <c r="E265" s="61"/>
      <c r="F265" s="61"/>
      <c r="G265" s="61"/>
      <c r="H265" s="61"/>
      <c r="I265" s="61"/>
      <c r="J265" s="61"/>
      <c r="K265" s="61"/>
      <c r="L265" s="61"/>
      <c r="M265" s="61"/>
      <c r="N265" s="61"/>
    </row>
    <row r="266" spans="1:14" x14ac:dyDescent="0.25">
      <c r="A266" s="77"/>
      <c r="B266" s="61" t="s">
        <v>285</v>
      </c>
      <c r="C266" s="61"/>
      <c r="D266" s="62"/>
      <c r="E266" s="61"/>
      <c r="F266" s="61"/>
      <c r="G266" s="61"/>
      <c r="H266" s="61"/>
      <c r="I266" s="61"/>
      <c r="J266" s="61"/>
      <c r="K266" s="61"/>
      <c r="L266" s="61"/>
      <c r="M266" s="61"/>
      <c r="N266" s="61"/>
    </row>
    <row r="267" spans="1:14" x14ac:dyDescent="0.25">
      <c r="A267" s="77"/>
      <c r="B267" s="61" t="s">
        <v>286</v>
      </c>
      <c r="C267" s="61"/>
      <c r="D267" s="62">
        <f>D240*D231</f>
        <v>40</v>
      </c>
      <c r="E267" s="61"/>
      <c r="F267" s="61"/>
      <c r="G267" s="61"/>
      <c r="H267" s="61"/>
      <c r="I267" s="61"/>
      <c r="J267" s="61"/>
      <c r="K267" s="61"/>
      <c r="L267" s="61"/>
      <c r="M267" s="61"/>
      <c r="N267" s="61"/>
    </row>
    <row r="268" spans="1:14" x14ac:dyDescent="0.25">
      <c r="A268" s="77"/>
      <c r="B268" s="61" t="s">
        <v>238</v>
      </c>
      <c r="C268" s="61"/>
      <c r="D268" s="61">
        <v>2.85</v>
      </c>
      <c r="E268" s="61"/>
      <c r="F268" s="61"/>
      <c r="G268" s="61"/>
      <c r="H268" s="61"/>
      <c r="I268" s="61"/>
      <c r="J268" s="61"/>
      <c r="K268" s="61"/>
      <c r="L268" s="61"/>
      <c r="M268" s="61"/>
      <c r="N268" s="61"/>
    </row>
    <row r="269" spans="1:14" x14ac:dyDescent="0.25">
      <c r="A269" s="77"/>
      <c r="B269" s="61"/>
      <c r="C269" s="61" t="s">
        <v>239</v>
      </c>
      <c r="D269" s="61">
        <v>200</v>
      </c>
      <c r="E269" s="61"/>
      <c r="F269" s="61"/>
      <c r="G269" s="61"/>
      <c r="H269" s="61"/>
      <c r="I269" s="61"/>
      <c r="J269" s="61"/>
      <c r="K269" s="61"/>
      <c r="L269" s="61"/>
      <c r="M269" s="61"/>
      <c r="N269" s="61"/>
    </row>
    <row r="270" spans="1:14" x14ac:dyDescent="0.25">
      <c r="A270" s="77"/>
      <c r="B270" s="61"/>
      <c r="C270" s="61" t="s">
        <v>240</v>
      </c>
      <c r="D270" s="61">
        <f>(D269+D7)/D268</f>
        <v>85.649122807017534</v>
      </c>
      <c r="E270" s="61"/>
      <c r="F270" s="61"/>
      <c r="G270" s="61"/>
      <c r="H270" s="61"/>
      <c r="I270" s="61"/>
      <c r="J270" s="61"/>
      <c r="K270" s="61"/>
      <c r="L270" s="61"/>
      <c r="M270" s="61"/>
      <c r="N270" s="61"/>
    </row>
    <row r="271" spans="1:14" x14ac:dyDescent="0.25">
      <c r="A271" s="77"/>
      <c r="B271" s="61"/>
      <c r="C271" s="61" t="s">
        <v>241</v>
      </c>
      <c r="D271" s="62">
        <v>9.9999999999999995E-7</v>
      </c>
      <c r="E271" s="61"/>
      <c r="F271" s="61"/>
      <c r="G271" s="61"/>
      <c r="H271" s="61"/>
      <c r="I271" s="61"/>
      <c r="J271" s="61"/>
      <c r="K271" s="61"/>
      <c r="L271" s="61"/>
      <c r="M271" s="61"/>
      <c r="N271" s="61"/>
    </row>
    <row r="272" spans="1:14" x14ac:dyDescent="0.25">
      <c r="A272" s="77"/>
      <c r="B272" s="61"/>
      <c r="C272" s="61"/>
      <c r="D272" s="61"/>
      <c r="E272" s="61"/>
      <c r="F272" s="61"/>
      <c r="G272" s="61"/>
      <c r="H272" s="61"/>
      <c r="I272" s="61"/>
      <c r="J272" s="61"/>
      <c r="K272" s="61"/>
      <c r="L272" s="61"/>
      <c r="M272" s="61"/>
      <c r="N272" s="61"/>
    </row>
    <row r="273" spans="1:14" x14ac:dyDescent="0.25">
      <c r="A273" s="77"/>
      <c r="B273" s="61" t="s">
        <v>243</v>
      </c>
      <c r="C273" s="61"/>
      <c r="D273" s="61">
        <v>500000</v>
      </c>
      <c r="E273" s="61"/>
      <c r="F273" s="61"/>
      <c r="G273" s="61"/>
      <c r="H273" s="61"/>
      <c r="I273" s="61"/>
      <c r="J273" s="61"/>
      <c r="K273" s="61"/>
      <c r="L273" s="61"/>
      <c r="M273" s="61"/>
      <c r="N273" s="61"/>
    </row>
    <row r="274" spans="1:14" x14ac:dyDescent="0.25">
      <c r="A274" s="77"/>
      <c r="B274" s="61" t="s">
        <v>267</v>
      </c>
      <c r="C274" s="61"/>
      <c r="D274" s="61">
        <f>D273/D270</f>
        <v>5837.7714051618195</v>
      </c>
      <c r="E274" s="61"/>
      <c r="F274" s="61"/>
      <c r="G274" s="61"/>
      <c r="H274" s="61"/>
      <c r="I274" s="61"/>
      <c r="J274" s="61"/>
      <c r="K274" s="61"/>
      <c r="L274" s="61"/>
      <c r="M274" s="61"/>
      <c r="N274" s="61"/>
    </row>
    <row r="275" spans="1:14" x14ac:dyDescent="0.25">
      <c r="A275" s="77"/>
      <c r="B275" s="61" t="s">
        <v>244</v>
      </c>
      <c r="C275" s="61"/>
      <c r="D275" s="61">
        <v>6800</v>
      </c>
      <c r="E275" s="61"/>
      <c r="F275" s="61"/>
      <c r="G275" s="61"/>
      <c r="H275" s="61"/>
      <c r="I275" s="61"/>
      <c r="J275" s="61"/>
      <c r="K275" s="61"/>
      <c r="L275" s="61"/>
      <c r="M275" s="61"/>
      <c r="N275" s="61"/>
    </row>
    <row r="276" spans="1:14" x14ac:dyDescent="0.25">
      <c r="A276" s="77"/>
      <c r="B276" s="61" t="s">
        <v>245</v>
      </c>
      <c r="C276" s="61"/>
      <c r="D276" s="61">
        <f>D273+D275</f>
        <v>506800</v>
      </c>
      <c r="E276" s="61"/>
      <c r="F276" s="61"/>
      <c r="G276" s="61"/>
      <c r="H276" s="61"/>
      <c r="I276" s="61"/>
      <c r="J276" s="61"/>
      <c r="K276" s="61"/>
      <c r="L276" s="61"/>
      <c r="M276" s="61"/>
      <c r="N276" s="61"/>
    </row>
    <row r="277" spans="1:14" x14ac:dyDescent="0.25">
      <c r="A277" s="77"/>
      <c r="B277" s="61" t="s">
        <v>246</v>
      </c>
      <c r="C277" s="61"/>
      <c r="D277" s="61">
        <f>D269/D276</f>
        <v>3.9463299131807419E-4</v>
      </c>
      <c r="E277" s="61" t="s">
        <v>20</v>
      </c>
      <c r="F277" s="61"/>
      <c r="G277" s="61"/>
      <c r="H277" s="61"/>
      <c r="I277" s="61"/>
      <c r="J277" s="61"/>
      <c r="K277" s="61"/>
      <c r="L277" s="61"/>
      <c r="M277" s="61"/>
      <c r="N277" s="61"/>
    </row>
    <row r="278" spans="1:14" x14ac:dyDescent="0.25">
      <c r="A278" s="77"/>
      <c r="B278" s="61" t="s">
        <v>247</v>
      </c>
      <c r="C278" s="61"/>
      <c r="D278" s="61">
        <f>POWER(D277, 2)*D273</f>
        <v>7.7867598918325606E-2</v>
      </c>
      <c r="E278" s="61" t="s">
        <v>22</v>
      </c>
      <c r="F278" s="61"/>
      <c r="G278" s="61"/>
      <c r="H278" s="61"/>
      <c r="I278" s="61"/>
      <c r="J278" s="61"/>
      <c r="K278" s="61"/>
      <c r="L278" s="61"/>
      <c r="M278" s="61"/>
      <c r="N278" s="61"/>
    </row>
    <row r="279" spans="1:14" x14ac:dyDescent="0.25">
      <c r="A279" s="77"/>
      <c r="B279" s="61" t="s">
        <v>248</v>
      </c>
      <c r="C279" s="61"/>
      <c r="D279" s="61">
        <f>POWER(D277, 2)*D275</f>
        <v>1.0589993452892283E-3</v>
      </c>
      <c r="E279" s="61" t="s">
        <v>22</v>
      </c>
      <c r="F279" s="61"/>
      <c r="G279" s="61"/>
      <c r="H279" s="61"/>
      <c r="I279" s="61"/>
      <c r="J279" s="61"/>
      <c r="K279" s="61"/>
      <c r="L279" s="61"/>
      <c r="M279" s="61"/>
      <c r="N279" s="61"/>
    </row>
    <row r="280" spans="1:14" x14ac:dyDescent="0.25">
      <c r="A280" s="77"/>
      <c r="B280" s="61" t="s">
        <v>249</v>
      </c>
      <c r="C280" s="61" t="s">
        <v>242</v>
      </c>
      <c r="D280" s="61">
        <f>D278+D279</f>
        <v>7.8926598263614839E-2</v>
      </c>
      <c r="E280" s="61" t="s">
        <v>22</v>
      </c>
      <c r="F280" s="61"/>
      <c r="G280" s="61"/>
      <c r="H280" s="61"/>
      <c r="I280" s="61"/>
      <c r="J280" s="61"/>
      <c r="K280" s="61"/>
      <c r="L280" s="61"/>
      <c r="M280" s="61"/>
      <c r="N280" s="61"/>
    </row>
    <row r="281" spans="1:14" x14ac:dyDescent="0.25">
      <c r="A281" s="77"/>
      <c r="B281" s="61" t="s">
        <v>250</v>
      </c>
      <c r="C281" s="61"/>
      <c r="D281" s="61">
        <f>D269/100</f>
        <v>2</v>
      </c>
      <c r="E281" s="61"/>
      <c r="F281" s="61"/>
      <c r="G281" s="61"/>
      <c r="H281" s="61"/>
      <c r="I281" s="61"/>
      <c r="J281" s="61"/>
      <c r="K281" s="61"/>
      <c r="L281" s="61"/>
      <c r="M281" s="61"/>
      <c r="N281" s="61"/>
    </row>
    <row r="282" spans="1:14" x14ac:dyDescent="0.25">
      <c r="A282" s="77"/>
      <c r="B282" s="61"/>
      <c r="C282" s="61" t="s">
        <v>251</v>
      </c>
      <c r="D282" s="61">
        <f>POWER(2, 12)</f>
        <v>4096</v>
      </c>
      <c r="E282" s="61"/>
      <c r="F282" s="61"/>
      <c r="G282" s="61"/>
      <c r="H282" s="61"/>
      <c r="I282" s="61"/>
      <c r="J282" s="61"/>
      <c r="K282" s="61"/>
      <c r="L282" s="61"/>
      <c r="M282" s="61"/>
      <c r="N282" s="61"/>
    </row>
    <row r="283" spans="1:14" x14ac:dyDescent="0.25">
      <c r="A283" s="77"/>
      <c r="B283" s="61"/>
      <c r="C283" s="61" t="s">
        <v>252</v>
      </c>
      <c r="D283" s="61">
        <f>3.3/D282</f>
        <v>8.0566406249999996E-4</v>
      </c>
      <c r="E283" s="61"/>
      <c r="F283" s="61"/>
      <c r="G283" s="61"/>
      <c r="H283" s="61"/>
      <c r="I283" s="61"/>
      <c r="J283" s="61"/>
      <c r="K283" s="61"/>
      <c r="L283" s="61"/>
      <c r="M283" s="61"/>
      <c r="N283" s="61"/>
    </row>
    <row r="284" spans="1:14" x14ac:dyDescent="0.25">
      <c r="A284" s="77"/>
      <c r="B284" s="61"/>
      <c r="C284" s="61" t="s">
        <v>253</v>
      </c>
      <c r="D284" s="61">
        <f>D283*D270</f>
        <v>6.9004420230263153E-2</v>
      </c>
      <c r="E284" s="61" t="s">
        <v>21</v>
      </c>
      <c r="F284" s="61"/>
      <c r="G284" s="61"/>
      <c r="H284" s="61"/>
      <c r="I284" s="61"/>
      <c r="J284" s="61"/>
      <c r="K284" s="61"/>
      <c r="L284" s="61"/>
      <c r="M284" s="61"/>
      <c r="N284" s="61"/>
    </row>
    <row r="285" spans="1:14" x14ac:dyDescent="0.25">
      <c r="A285" s="28"/>
    </row>
    <row r="286" spans="1:14" x14ac:dyDescent="0.25">
      <c r="A286" s="73" t="s">
        <v>751</v>
      </c>
    </row>
    <row r="287" spans="1:14" x14ac:dyDescent="0.25">
      <c r="A287" s="73"/>
      <c r="B287" t="s">
        <v>556</v>
      </c>
      <c r="C287" t="s">
        <v>557</v>
      </c>
    </row>
    <row r="288" spans="1:14" x14ac:dyDescent="0.25">
      <c r="A288" s="73"/>
    </row>
    <row r="289" spans="1:12" x14ac:dyDescent="0.25">
      <c r="A289" s="73"/>
      <c r="B289" t="s">
        <v>512</v>
      </c>
      <c r="D289">
        <v>2.5</v>
      </c>
    </row>
    <row r="290" spans="1:12" x14ac:dyDescent="0.25">
      <c r="A290" s="73"/>
      <c r="B290" t="s">
        <v>527</v>
      </c>
      <c r="C290" s="31"/>
      <c r="D290">
        <f>D227</f>
        <v>9.7903125000000027E-6</v>
      </c>
      <c r="E290">
        <f>D290</f>
        <v>9.7903125000000027E-6</v>
      </c>
      <c r="F290">
        <f t="shared" ref="F290:G290" si="18">E290</f>
        <v>9.7903125000000027E-6</v>
      </c>
      <c r="G290">
        <f t="shared" si="18"/>
        <v>9.7903125000000027E-6</v>
      </c>
      <c r="H290">
        <f t="shared" ref="H290:K290" si="19">G290</f>
        <v>9.7903125000000027E-6</v>
      </c>
      <c r="I290">
        <f t="shared" si="19"/>
        <v>9.7903125000000027E-6</v>
      </c>
      <c r="J290">
        <f t="shared" si="19"/>
        <v>9.7903125000000027E-6</v>
      </c>
      <c r="K290">
        <f t="shared" si="19"/>
        <v>9.7903125000000027E-6</v>
      </c>
    </row>
    <row r="291" spans="1:12" x14ac:dyDescent="0.25">
      <c r="A291" s="73"/>
      <c r="B291" t="s">
        <v>541</v>
      </c>
      <c r="C291" s="31"/>
      <c r="D291">
        <f>D113-D227</f>
        <v>3.9161250000000004E-5</v>
      </c>
      <c r="E291">
        <f>D291</f>
        <v>3.9161250000000004E-5</v>
      </c>
      <c r="F291">
        <f t="shared" ref="F291:G291" si="20">E291</f>
        <v>3.9161250000000004E-5</v>
      </c>
      <c r="G291">
        <f t="shared" si="20"/>
        <v>3.9161250000000004E-5</v>
      </c>
      <c r="H291">
        <f t="shared" ref="H291:K291" si="21">G291</f>
        <v>3.9161250000000004E-5</v>
      </c>
      <c r="I291">
        <f t="shared" si="21"/>
        <v>3.9161250000000004E-5</v>
      </c>
      <c r="J291">
        <f t="shared" si="21"/>
        <v>3.9161250000000004E-5</v>
      </c>
      <c r="K291">
        <f t="shared" si="21"/>
        <v>3.9161250000000004E-5</v>
      </c>
    </row>
    <row r="292" spans="1:12" x14ac:dyDescent="0.25">
      <c r="A292" s="73"/>
      <c r="B292" t="s">
        <v>528</v>
      </c>
      <c r="C292" s="31"/>
      <c r="D292">
        <f>D234</f>
        <v>22.598870056497173</v>
      </c>
      <c r="E292">
        <f>D292</f>
        <v>22.598870056497173</v>
      </c>
      <c r="F292">
        <f t="shared" ref="F292:G292" si="22">E292</f>
        <v>22.598870056497173</v>
      </c>
      <c r="G292">
        <f t="shared" si="22"/>
        <v>22.598870056497173</v>
      </c>
      <c r="H292">
        <f t="shared" ref="H292:K292" si="23">G292</f>
        <v>22.598870056497173</v>
      </c>
      <c r="I292">
        <f t="shared" si="23"/>
        <v>22.598870056497173</v>
      </c>
      <c r="J292">
        <f t="shared" si="23"/>
        <v>22.598870056497173</v>
      </c>
      <c r="K292">
        <f t="shared" si="23"/>
        <v>22.598870056497173</v>
      </c>
    </row>
    <row r="293" spans="1:12" x14ac:dyDescent="0.25">
      <c r="A293" s="73"/>
      <c r="B293" t="s">
        <v>309</v>
      </c>
      <c r="C293" t="s">
        <v>542</v>
      </c>
      <c r="D293">
        <f>100</f>
        <v>100</v>
      </c>
      <c r="E293">
        <f>D293</f>
        <v>100</v>
      </c>
      <c r="F293">
        <f t="shared" ref="F293:G298" si="24">E293</f>
        <v>100</v>
      </c>
      <c r="G293">
        <f t="shared" si="24"/>
        <v>100</v>
      </c>
      <c r="H293">
        <f t="shared" ref="H293:K293" si="25">G293</f>
        <v>100</v>
      </c>
      <c r="I293">
        <f t="shared" si="25"/>
        <v>100</v>
      </c>
      <c r="J293">
        <f t="shared" si="25"/>
        <v>100</v>
      </c>
      <c r="K293">
        <f t="shared" si="25"/>
        <v>100</v>
      </c>
    </row>
    <row r="294" spans="1:12" x14ac:dyDescent="0.25">
      <c r="A294" s="73"/>
      <c r="B294" t="s">
        <v>529</v>
      </c>
      <c r="C294" t="s">
        <v>530</v>
      </c>
      <c r="D294">
        <f>D7</f>
        <v>44.1</v>
      </c>
      <c r="E294">
        <f>D294</f>
        <v>44.1</v>
      </c>
      <c r="F294">
        <f t="shared" si="24"/>
        <v>44.1</v>
      </c>
      <c r="G294">
        <f t="shared" si="24"/>
        <v>44.1</v>
      </c>
      <c r="H294">
        <f>D5</f>
        <v>35.400000000000006</v>
      </c>
      <c r="I294">
        <f t="shared" ref="I294:K294" si="26">H294</f>
        <v>35.400000000000006</v>
      </c>
      <c r="J294">
        <f t="shared" si="26"/>
        <v>35.400000000000006</v>
      </c>
      <c r="K294">
        <f t="shared" si="26"/>
        <v>35.400000000000006</v>
      </c>
    </row>
    <row r="295" spans="1:12" x14ac:dyDescent="0.25">
      <c r="A295" s="73"/>
      <c r="B295" t="s">
        <v>531</v>
      </c>
      <c r="C295" t="s">
        <v>532</v>
      </c>
      <c r="D295">
        <f>D232</f>
        <v>7000</v>
      </c>
      <c r="E295">
        <v>1000</v>
      </c>
      <c r="F295">
        <v>1</v>
      </c>
      <c r="G295">
        <v>0</v>
      </c>
      <c r="H295">
        <f>D295</f>
        <v>7000</v>
      </c>
      <c r="I295">
        <f>E295</f>
        <v>1000</v>
      </c>
      <c r="J295">
        <f>F295</f>
        <v>1</v>
      </c>
      <c r="K295">
        <f>G295</f>
        <v>0</v>
      </c>
    </row>
    <row r="296" spans="1:12" x14ac:dyDescent="0.25">
      <c r="A296" s="73"/>
      <c r="B296" t="s">
        <v>533</v>
      </c>
      <c r="C296" s="31"/>
      <c r="D296">
        <f>D230</f>
        <v>3.6875000000000007E-3</v>
      </c>
      <c r="E296">
        <f>D296</f>
        <v>3.6875000000000007E-3</v>
      </c>
      <c r="F296">
        <f t="shared" si="24"/>
        <v>3.6875000000000007E-3</v>
      </c>
      <c r="G296">
        <f t="shared" si="24"/>
        <v>3.6875000000000007E-3</v>
      </c>
      <c r="H296">
        <f t="shared" ref="H296:K296" si="27">G296</f>
        <v>3.6875000000000007E-3</v>
      </c>
      <c r="I296">
        <f t="shared" si="27"/>
        <v>3.6875000000000007E-3</v>
      </c>
      <c r="J296">
        <f t="shared" si="27"/>
        <v>3.6875000000000007E-3</v>
      </c>
      <c r="K296">
        <f t="shared" si="27"/>
        <v>3.6875000000000007E-3</v>
      </c>
    </row>
    <row r="297" spans="1:12" x14ac:dyDescent="0.25">
      <c r="A297" s="73"/>
      <c r="B297" t="s">
        <v>47</v>
      </c>
      <c r="D297">
        <f>D3</f>
        <v>16000</v>
      </c>
      <c r="E297">
        <f>D297</f>
        <v>16000</v>
      </c>
      <c r="F297">
        <f t="shared" si="24"/>
        <v>16000</v>
      </c>
      <c r="G297">
        <f t="shared" si="24"/>
        <v>16000</v>
      </c>
      <c r="H297">
        <f t="shared" ref="H297:K297" si="28">G297</f>
        <v>16000</v>
      </c>
      <c r="I297">
        <f t="shared" si="28"/>
        <v>16000</v>
      </c>
      <c r="J297">
        <f t="shared" si="28"/>
        <v>16000</v>
      </c>
      <c r="K297">
        <f t="shared" si="28"/>
        <v>16000</v>
      </c>
    </row>
    <row r="298" spans="1:12" x14ac:dyDescent="0.25">
      <c r="A298" s="73"/>
      <c r="B298" t="s">
        <v>39</v>
      </c>
      <c r="D298">
        <f>D110</f>
        <v>0.5</v>
      </c>
      <c r="E298">
        <f>D298</f>
        <v>0.5</v>
      </c>
      <c r="F298">
        <f t="shared" si="24"/>
        <v>0.5</v>
      </c>
      <c r="G298">
        <f t="shared" si="24"/>
        <v>0.5</v>
      </c>
      <c r="H298">
        <f t="shared" ref="H298:K298" si="29">G298</f>
        <v>0.5</v>
      </c>
      <c r="I298">
        <f t="shared" si="29"/>
        <v>0.5</v>
      </c>
      <c r="J298">
        <f t="shared" si="29"/>
        <v>0.5</v>
      </c>
      <c r="K298">
        <f t="shared" si="29"/>
        <v>0.5</v>
      </c>
    </row>
    <row r="299" spans="1:12" x14ac:dyDescent="0.25">
      <c r="A299" s="73"/>
      <c r="C299" s="31"/>
    </row>
    <row r="300" spans="1:12" x14ac:dyDescent="0.25">
      <c r="A300" s="73"/>
      <c r="B300" t="s">
        <v>538</v>
      </c>
      <c r="C300" s="31" t="s">
        <v>539</v>
      </c>
      <c r="D300">
        <v>40</v>
      </c>
      <c r="E300">
        <v>40</v>
      </c>
      <c r="F300">
        <v>40</v>
      </c>
      <c r="G300">
        <v>40</v>
      </c>
      <c r="H300">
        <f>G300</f>
        <v>40</v>
      </c>
      <c r="I300">
        <f>H300</f>
        <v>40</v>
      </c>
      <c r="J300">
        <f>I300</f>
        <v>40</v>
      </c>
      <c r="K300">
        <f>J300</f>
        <v>40</v>
      </c>
    </row>
    <row r="301" spans="1:12" x14ac:dyDescent="0.25">
      <c r="A301" s="73"/>
      <c r="B301" t="s">
        <v>547</v>
      </c>
      <c r="C301" t="s">
        <v>546</v>
      </c>
      <c r="D301">
        <f>D290*POWER(D292, 2)/(2*POWER(D293-D294-(D295*D296), 2))</f>
        <v>2.7616446905913709E-6</v>
      </c>
    </row>
    <row r="302" spans="1:12" x14ac:dyDescent="0.25">
      <c r="A302" s="73"/>
      <c r="B302" t="s">
        <v>526</v>
      </c>
      <c r="C302" t="s">
        <v>555</v>
      </c>
      <c r="D302" s="1">
        <f>(0.22*0.000001)*6</f>
        <v>1.3199999999999999E-6</v>
      </c>
      <c r="E302" s="1">
        <f>D302</f>
        <v>1.3199999999999999E-6</v>
      </c>
      <c r="F302" s="1">
        <f>E302</f>
        <v>1.3199999999999999E-6</v>
      </c>
      <c r="G302" s="1">
        <f>E302</f>
        <v>1.3199999999999999E-6</v>
      </c>
      <c r="H302" s="1">
        <f t="shared" ref="H302:K302" si="30">F302</f>
        <v>1.3199999999999999E-6</v>
      </c>
      <c r="I302" s="1">
        <f t="shared" si="30"/>
        <v>1.3199999999999999E-6</v>
      </c>
      <c r="J302" s="1">
        <f t="shared" si="30"/>
        <v>1.3199999999999999E-6</v>
      </c>
      <c r="K302" s="1">
        <f t="shared" si="30"/>
        <v>1.3199999999999999E-6</v>
      </c>
      <c r="L302" s="1"/>
    </row>
    <row r="303" spans="1:12" x14ac:dyDescent="0.25">
      <c r="A303" s="73"/>
      <c r="B303" t="s">
        <v>534</v>
      </c>
      <c r="C303" s="31" t="s">
        <v>535</v>
      </c>
      <c r="D303">
        <f>POWER(D298/(PI()*D297), 2)/D302</f>
        <v>7.4959445758121602E-5</v>
      </c>
      <c r="E303">
        <f>POWER(E298/(PI()*E297), 2)/E302</f>
        <v>7.4959445758121602E-5</v>
      </c>
      <c r="F303">
        <f>POWER(F298/(PI()*F297), 2)/F302</f>
        <v>7.4959445758121602E-5</v>
      </c>
      <c r="G303">
        <f>POWER(G298/(PI()*G297), 2)/G302</f>
        <v>7.4959445758121602E-5</v>
      </c>
      <c r="H303">
        <f t="shared" ref="H303:K303" si="31">POWER(H298/(PI()*H297), 2)/H302</f>
        <v>7.4959445758121602E-5</v>
      </c>
      <c r="I303">
        <f t="shared" si="31"/>
        <v>7.4959445758121602E-5</v>
      </c>
      <c r="J303">
        <f t="shared" si="31"/>
        <v>7.4959445758121602E-5</v>
      </c>
      <c r="K303">
        <f t="shared" si="31"/>
        <v>7.4959445758121602E-5</v>
      </c>
    </row>
    <row r="304" spans="1:12" x14ac:dyDescent="0.25">
      <c r="A304" s="73"/>
      <c r="B304" t="s">
        <v>536</v>
      </c>
      <c r="C304" s="31" t="s">
        <v>537</v>
      </c>
      <c r="D304">
        <f>(POWER(D300, 2)-POWER(POWER(D300, 4) - POWER(PI()*POWER(D294, 2)*D302/(D291+D290), 2), 0.5))/((D302/2)*POWER(PI()*D294/(D291+D290), 2))</f>
        <v>1.6087439934673409E-6</v>
      </c>
      <c r="E304">
        <f>(POWER(E300, 2)-POWER(POWER(E300, 4) - POWER(PI()*POWER(E294, 2)*E302/(E291+E290), 2), 0.5))/((E302/2)*POWER(PI()*E294/(E291+E290), 2))</f>
        <v>1.6087439934673409E-6</v>
      </c>
      <c r="F304">
        <f>(POWER(F300, 2)-POWER(POWER(F300, 4) - POWER(PI()*POWER(F294, 2)*F302/(F291+F290), 2), 0.5))/((F302/2)*POWER(PI()*F294/(F291+F290), 2))</f>
        <v>1.6087439934673409E-6</v>
      </c>
      <c r="G304">
        <f>(POWER(G300, 2)-POWER(POWER(G300, 4) - POWER(PI()*POWER(G294, 2)*G302/(G291+G290), 2), 0.5))/((G302/2)*POWER(PI()*G294/(G291+G290), 2))</f>
        <v>1.6087439934673409E-6</v>
      </c>
      <c r="H304">
        <f t="shared" ref="H304:K304" si="32">(POWER(H300, 2)-POWER(POWER(H300, 4) - POWER(PI()*POWER(H294, 2)*H302/(H291+H290), 2), 0.5))/((H302/2)*POWER(PI()*H294/(H291+H290), 2))</f>
        <v>1.0349973695208604E-6</v>
      </c>
      <c r="I304">
        <f t="shared" si="32"/>
        <v>1.0349973695208604E-6</v>
      </c>
      <c r="J304">
        <f t="shared" si="32"/>
        <v>1.0349973695208604E-6</v>
      </c>
      <c r="K304">
        <f t="shared" si="32"/>
        <v>1.0349973695208604E-6</v>
      </c>
    </row>
    <row r="305" spans="1:13" x14ac:dyDescent="0.25">
      <c r="A305" s="73"/>
      <c r="B305" t="s">
        <v>540</v>
      </c>
      <c r="C305" s="31" t="s">
        <v>545</v>
      </c>
      <c r="D305" s="1">
        <v>1.5E-5</v>
      </c>
      <c r="E305" s="1">
        <f>D305</f>
        <v>1.5E-5</v>
      </c>
      <c r="F305" s="1">
        <f t="shared" ref="F305:K305" si="33">E305</f>
        <v>1.5E-5</v>
      </c>
      <c r="G305" s="1">
        <f t="shared" si="33"/>
        <v>1.5E-5</v>
      </c>
      <c r="H305">
        <f t="shared" si="33"/>
        <v>1.5E-5</v>
      </c>
      <c r="I305">
        <f t="shared" si="33"/>
        <v>1.5E-5</v>
      </c>
      <c r="J305">
        <f t="shared" si="33"/>
        <v>1.5E-5</v>
      </c>
      <c r="K305">
        <f t="shared" si="33"/>
        <v>1.5E-5</v>
      </c>
    </row>
    <row r="306" spans="1:13" x14ac:dyDescent="0.25">
      <c r="A306" s="73"/>
      <c r="B306" t="s">
        <v>543</v>
      </c>
      <c r="C306" s="31" t="s">
        <v>544</v>
      </c>
      <c r="D306" t="b">
        <f>AND(D305&gt;D304, D305&lt;D303)</f>
        <v>1</v>
      </c>
      <c r="E306" t="b">
        <f>AND(E305&gt;E304, E305&lt;E303)</f>
        <v>1</v>
      </c>
      <c r="F306" t="b">
        <f>AND(F305&gt;F304, F305&lt;F303)</f>
        <v>1</v>
      </c>
      <c r="G306" t="b">
        <f>AND(G305&gt;G304, G305&lt;G303)</f>
        <v>1</v>
      </c>
      <c r="H306" t="b">
        <f t="shared" ref="H306:K306" si="34">AND(H305&gt;H304, H305&lt;H303)</f>
        <v>1</v>
      </c>
      <c r="I306" t="b">
        <f t="shared" si="34"/>
        <v>1</v>
      </c>
      <c r="J306" t="b">
        <f t="shared" si="34"/>
        <v>1</v>
      </c>
      <c r="K306" t="b">
        <f t="shared" si="34"/>
        <v>1</v>
      </c>
    </row>
    <row r="307" spans="1:13" x14ac:dyDescent="0.25">
      <c r="A307" s="73"/>
      <c r="B307" t="s">
        <v>566</v>
      </c>
      <c r="D307">
        <v>8.4999999999999995E-4</v>
      </c>
    </row>
    <row r="308" spans="1:13" x14ac:dyDescent="0.25">
      <c r="A308" s="73"/>
      <c r="B308" t="s">
        <v>284</v>
      </c>
      <c r="D308">
        <f>POWER(D292, 2)*D290/2</f>
        <v>2.5000000000000001E-3</v>
      </c>
    </row>
    <row r="309" spans="1:13" x14ac:dyDescent="0.25">
      <c r="A309" s="73"/>
      <c r="B309" t="s">
        <v>565</v>
      </c>
      <c r="C309" s="31" t="s">
        <v>567</v>
      </c>
      <c r="D309">
        <f>POWER(D292/SQRT(3), 2)*D307</f>
        <v>0.14470086288529263</v>
      </c>
    </row>
    <row r="310" spans="1:13" x14ac:dyDescent="0.25">
      <c r="A310" s="73"/>
      <c r="B310" t="s">
        <v>572</v>
      </c>
      <c r="D310">
        <f>D290*D305/(D290+D305)</f>
        <v>5.9238739931172719E-6</v>
      </c>
      <c r="G310" t="s">
        <v>509</v>
      </c>
      <c r="H310" t="s">
        <v>498</v>
      </c>
      <c r="I310" t="s">
        <v>506</v>
      </c>
      <c r="J310" t="s">
        <v>504</v>
      </c>
      <c r="K310" t="s">
        <v>505</v>
      </c>
      <c r="L310" t="s">
        <v>507</v>
      </c>
      <c r="M310" t="s">
        <v>508</v>
      </c>
    </row>
    <row r="311" spans="1:13" x14ac:dyDescent="0.25">
      <c r="A311" s="73"/>
      <c r="B311" s="32" t="s">
        <v>571</v>
      </c>
      <c r="D311" s="1">
        <f>1/POWER(D310*D302, 0.5)</f>
        <v>357610.39006916573</v>
      </c>
      <c r="F311" s="4" t="s">
        <v>568</v>
      </c>
      <c r="G311">
        <v>2.2000000000000001E-3</v>
      </c>
      <c r="H311">
        <v>6</v>
      </c>
      <c r="I311">
        <v>5.0999999999999996</v>
      </c>
      <c r="J311">
        <f>I311/H311</f>
        <v>0.85</v>
      </c>
      <c r="K311" s="30">
        <v>2.27</v>
      </c>
      <c r="L311" s="30">
        <f>K311*H311</f>
        <v>13.620000000000001</v>
      </c>
      <c r="M311">
        <f>G311*H311</f>
        <v>1.32E-2</v>
      </c>
    </row>
    <row r="312" spans="1:13" x14ac:dyDescent="0.25">
      <c r="A312" s="73"/>
      <c r="B312" t="s">
        <v>574</v>
      </c>
      <c r="D312">
        <f>POWER(2*D308/D310, 0.5)</f>
        <v>29.052405428187488</v>
      </c>
    </row>
    <row r="313" spans="1:13" x14ac:dyDescent="0.25">
      <c r="A313" s="73"/>
      <c r="B313" t="s">
        <v>575</v>
      </c>
      <c r="D313">
        <f>D312</f>
        <v>29.052405428187488</v>
      </c>
    </row>
    <row r="314" spans="1:13" x14ac:dyDescent="0.25">
      <c r="A314" s="73"/>
      <c r="B314" t="s">
        <v>573</v>
      </c>
      <c r="D314" s="1">
        <f>SQRT(D308*2/D302)</f>
        <v>61.545745489666373</v>
      </c>
    </row>
    <row r="315" spans="1:13" x14ac:dyDescent="0.25">
      <c r="A315" s="73"/>
      <c r="B315" t="s">
        <v>576</v>
      </c>
      <c r="D315" s="1">
        <f>D314+D7</f>
        <v>105.64574548966638</v>
      </c>
    </row>
    <row r="316" spans="1:13" x14ac:dyDescent="0.25">
      <c r="A316" s="73"/>
      <c r="B316" t="s">
        <v>577</v>
      </c>
      <c r="D316" s="1">
        <f>D314</f>
        <v>61.545745489666373</v>
      </c>
    </row>
    <row r="317" spans="1:13" x14ac:dyDescent="0.25">
      <c r="A317" s="73"/>
      <c r="B317" t="s">
        <v>580</v>
      </c>
      <c r="D317">
        <f>D289*D313</f>
        <v>72.631013570468724</v>
      </c>
    </row>
    <row r="318" spans="1:13" x14ac:dyDescent="0.25">
      <c r="A318" s="73"/>
      <c r="B318" t="s">
        <v>578</v>
      </c>
      <c r="D318">
        <f>D289*D313</f>
        <v>72.631013570468724</v>
      </c>
    </row>
    <row r="319" spans="1:13" x14ac:dyDescent="0.25">
      <c r="A319" s="73"/>
      <c r="B319" t="s">
        <v>578</v>
      </c>
      <c r="D319">
        <f>D289*D313</f>
        <v>72.631013570468724</v>
      </c>
    </row>
    <row r="320" spans="1:13" x14ac:dyDescent="0.25">
      <c r="A320" s="73"/>
      <c r="B320" t="s">
        <v>582</v>
      </c>
      <c r="D320" s="1">
        <f>D289*D315</f>
        <v>264.11436372416597</v>
      </c>
    </row>
    <row r="321" spans="1:5" x14ac:dyDescent="0.25">
      <c r="A321" s="73"/>
      <c r="B321" t="s">
        <v>581</v>
      </c>
      <c r="D321" s="1">
        <f>D289*D316</f>
        <v>153.86436372416594</v>
      </c>
    </row>
    <row r="322" spans="1:5" x14ac:dyDescent="0.25">
      <c r="A322" s="73"/>
      <c r="B322" t="s">
        <v>579</v>
      </c>
      <c r="D322" s="1">
        <f>D289*D314</f>
        <v>153.86436372416594</v>
      </c>
    </row>
    <row r="323" spans="1:5" x14ac:dyDescent="0.25">
      <c r="A323" s="73"/>
      <c r="B323" t="s">
        <v>603</v>
      </c>
      <c r="D323" s="1">
        <v>0.86</v>
      </c>
    </row>
    <row r="324" spans="1:5" x14ac:dyDescent="0.25">
      <c r="A324" s="73"/>
      <c r="B324" t="s">
        <v>604</v>
      </c>
      <c r="D324" s="1">
        <f>0.86</f>
        <v>0.86</v>
      </c>
    </row>
    <row r="325" spans="1:5" x14ac:dyDescent="0.25">
      <c r="A325" s="73"/>
      <c r="B325" t="s">
        <v>601</v>
      </c>
      <c r="C325" t="s">
        <v>605</v>
      </c>
      <c r="D325" s="1">
        <f>D308*16000/4</f>
        <v>10</v>
      </c>
    </row>
    <row r="326" spans="1:5" x14ac:dyDescent="0.25">
      <c r="A326" s="73"/>
      <c r="B326" t="s">
        <v>602</v>
      </c>
      <c r="C326" t="s">
        <v>605</v>
      </c>
      <c r="D326" s="1">
        <f>D325</f>
        <v>10</v>
      </c>
    </row>
    <row r="327" spans="1:5" x14ac:dyDescent="0.25">
      <c r="A327" s="73"/>
      <c r="B327" t="s">
        <v>583</v>
      </c>
      <c r="C327" t="s">
        <v>584</v>
      </c>
      <c r="D327">
        <v>0.5</v>
      </c>
      <c r="E327" t="s">
        <v>745</v>
      </c>
    </row>
    <row r="328" spans="1:5" x14ac:dyDescent="0.25">
      <c r="A328" s="73"/>
      <c r="B328" s="38" t="s">
        <v>585</v>
      </c>
      <c r="C328" s="38" t="s">
        <v>586</v>
      </c>
      <c r="D328" s="38">
        <f>D308*2/POWER(D327, 2)</f>
        <v>0.02</v>
      </c>
    </row>
    <row r="329" spans="1:5" x14ac:dyDescent="0.25">
      <c r="A329" s="73"/>
      <c r="C329" s="31"/>
    </row>
    <row r="330" spans="1:5" x14ac:dyDescent="0.25">
      <c r="A330" s="73"/>
      <c r="C330" s="31"/>
    </row>
    <row r="331" spans="1:5" x14ac:dyDescent="0.25">
      <c r="A331" s="73"/>
      <c r="C331" s="31"/>
    </row>
    <row r="332" spans="1:5" x14ac:dyDescent="0.25">
      <c r="A332" s="73"/>
      <c r="C332" s="31"/>
    </row>
    <row r="333" spans="1:5" x14ac:dyDescent="0.25">
      <c r="A333" s="73"/>
      <c r="C333" s="31"/>
    </row>
    <row r="334" spans="1:5" x14ac:dyDescent="0.25">
      <c r="A334" s="73"/>
      <c r="C334" s="31"/>
    </row>
    <row r="335" spans="1:5" x14ac:dyDescent="0.25">
      <c r="A335" s="73"/>
      <c r="C335" s="31"/>
    </row>
    <row r="336" spans="1:5" x14ac:dyDescent="0.25">
      <c r="A336" s="73"/>
      <c r="C336" s="31"/>
    </row>
    <row r="337" spans="1:4" x14ac:dyDescent="0.25">
      <c r="A337" s="73"/>
    </row>
    <row r="338" spans="1:4" x14ac:dyDescent="0.25">
      <c r="A338" s="33"/>
    </row>
    <row r="339" spans="1:4" x14ac:dyDescent="0.25">
      <c r="A339" s="73" t="s">
        <v>588</v>
      </c>
      <c r="C339" t="s">
        <v>254</v>
      </c>
      <c r="D339">
        <f>D281/D276</f>
        <v>3.9463299131807418E-6</v>
      </c>
    </row>
    <row r="340" spans="1:4" x14ac:dyDescent="0.25">
      <c r="A340" s="73"/>
      <c r="C340" t="s">
        <v>255</v>
      </c>
      <c r="D340">
        <f>(D281-(D273*D271))*(D275/(D275+D273))</f>
        <v>2.0126282557221785E-2</v>
      </c>
    </row>
    <row r="341" spans="1:4" x14ac:dyDescent="0.25">
      <c r="A341" s="73"/>
      <c r="C341" t="s">
        <v>256</v>
      </c>
      <c r="D341">
        <f>D281/D270</f>
        <v>2.3351085620647277E-2</v>
      </c>
    </row>
    <row r="342" spans="1:4" x14ac:dyDescent="0.25">
      <c r="A342" s="73"/>
      <c r="C342" t="s">
        <v>257</v>
      </c>
      <c r="D342">
        <f>ABS(D341-D340)/D341</f>
        <v>0.13810077680388819</v>
      </c>
    </row>
    <row r="343" spans="1:4" x14ac:dyDescent="0.25">
      <c r="A343" s="73"/>
      <c r="C343" t="s">
        <v>258</v>
      </c>
      <c r="D343">
        <f>(D5-(D273*D271))*(D275/(D275+D273))</f>
        <v>0.46827150749802693</v>
      </c>
    </row>
    <row r="344" spans="1:4" x14ac:dyDescent="0.25">
      <c r="A344" s="73"/>
      <c r="C344" t="s">
        <v>259</v>
      </c>
      <c r="D344">
        <f>D5/D270</f>
        <v>0.41331421548545688</v>
      </c>
    </row>
    <row r="345" spans="1:4" x14ac:dyDescent="0.25">
      <c r="A345" s="73"/>
      <c r="C345" t="s">
        <v>260</v>
      </c>
      <c r="D345">
        <f>ABS(D344-D343)/D344</f>
        <v>0.13296734047247841</v>
      </c>
    </row>
    <row r="346" spans="1:4" x14ac:dyDescent="0.25">
      <c r="A346" s="73"/>
      <c r="C346" t="s">
        <v>261</v>
      </c>
      <c r="D346">
        <f>(D344-D343)/D284</f>
        <v>-0.79643147249380875</v>
      </c>
    </row>
    <row r="347" spans="1:4" x14ac:dyDescent="0.25">
      <c r="A347" s="73"/>
      <c r="B347" t="s">
        <v>262</v>
      </c>
      <c r="C347" t="s">
        <v>263</v>
      </c>
    </row>
    <row r="348" spans="1:4" x14ac:dyDescent="0.25">
      <c r="A348" s="73"/>
      <c r="B348" t="s">
        <v>264</v>
      </c>
      <c r="D348">
        <f>(D273*D275)/(D273+D275)</f>
        <v>6708.7608524072612</v>
      </c>
    </row>
    <row r="349" spans="1:4" x14ac:dyDescent="0.25">
      <c r="A349" s="73"/>
      <c r="C349" t="s">
        <v>265</v>
      </c>
      <c r="D349">
        <f>0.00000000001</f>
        <v>9.9999999999999994E-12</v>
      </c>
    </row>
    <row r="350" spans="1:4" x14ac:dyDescent="0.25">
      <c r="A350" s="73"/>
    </row>
    <row r="351" spans="1:4" x14ac:dyDescent="0.25">
      <c r="A351" s="73"/>
      <c r="B351" t="s">
        <v>266</v>
      </c>
      <c r="D351">
        <f>3.15/(0.000001)</f>
        <v>3150000</v>
      </c>
    </row>
    <row r="352" spans="1:4" x14ac:dyDescent="0.25">
      <c r="A352" s="73"/>
      <c r="B352" t="s">
        <v>329</v>
      </c>
      <c r="D352">
        <f>D349/((1/D348)+(1/D351))</f>
        <v>6.6945031316023044E-8</v>
      </c>
    </row>
    <row r="353" spans="1:4" x14ac:dyDescent="0.25">
      <c r="A353" s="73"/>
      <c r="B353" t="s">
        <v>274</v>
      </c>
      <c r="D353">
        <f>D268/0.012</f>
        <v>237.5</v>
      </c>
    </row>
    <row r="354" spans="1:4" x14ac:dyDescent="0.25">
      <c r="A354" s="73"/>
      <c r="B354" t="s">
        <v>273</v>
      </c>
      <c r="D354" s="24">
        <v>1000</v>
      </c>
    </row>
    <row r="355" spans="1:4" x14ac:dyDescent="0.25">
      <c r="A355" s="73"/>
    </row>
    <row r="356" spans="1:4" x14ac:dyDescent="0.25">
      <c r="A356" s="73"/>
      <c r="B356" t="s">
        <v>271</v>
      </c>
      <c r="D356">
        <f>D2/D5</f>
        <v>5.6497175141242932</v>
      </c>
    </row>
    <row r="357" spans="1:4" x14ac:dyDescent="0.25">
      <c r="A357" s="73"/>
      <c r="B357" t="s">
        <v>270</v>
      </c>
      <c r="C357" t="s">
        <v>269</v>
      </c>
      <c r="D357">
        <v>0.05</v>
      </c>
    </row>
    <row r="358" spans="1:4" x14ac:dyDescent="0.25">
      <c r="A358" s="73"/>
      <c r="C358" t="s">
        <v>268</v>
      </c>
      <c r="D358">
        <f>D356/(D3*D357)</f>
        <v>7.0621468926553663E-3</v>
      </c>
    </row>
    <row r="359" spans="1:4" x14ac:dyDescent="0.25">
      <c r="A359" s="73"/>
      <c r="C359" t="s">
        <v>272</v>
      </c>
      <c r="D359">
        <f>POWER(D7, 2)*D358/2</f>
        <v>6.8672669491525422</v>
      </c>
    </row>
    <row r="360" spans="1:4" x14ac:dyDescent="0.25">
      <c r="A360" s="73"/>
    </row>
    <row r="361" spans="1:4" x14ac:dyDescent="0.25">
      <c r="A361" s="49"/>
    </row>
    <row r="362" spans="1:4" x14ac:dyDescent="0.25">
      <c r="A362" s="74" t="s">
        <v>587</v>
      </c>
      <c r="B362" t="s">
        <v>592</v>
      </c>
      <c r="D362" s="1">
        <f>MAX(D425, 200)</f>
        <v>200</v>
      </c>
    </row>
    <row r="363" spans="1:4" x14ac:dyDescent="0.25">
      <c r="A363" s="74"/>
      <c r="B363" t="s">
        <v>589</v>
      </c>
      <c r="D363">
        <v>500000</v>
      </c>
    </row>
    <row r="364" spans="1:4" x14ac:dyDescent="0.25">
      <c r="A364" s="74"/>
      <c r="B364" t="s">
        <v>590</v>
      </c>
      <c r="D364">
        <v>6800</v>
      </c>
    </row>
    <row r="365" spans="1:4" x14ac:dyDescent="0.25">
      <c r="A365" s="74"/>
      <c r="B365" t="s">
        <v>591</v>
      </c>
      <c r="D365">
        <f>D363+D364</f>
        <v>506800</v>
      </c>
    </row>
    <row r="366" spans="1:4" x14ac:dyDescent="0.25">
      <c r="A366" s="74"/>
      <c r="B366" t="s">
        <v>595</v>
      </c>
      <c r="D366" s="1">
        <f>D362/D365</f>
        <v>3.9463299131807419E-4</v>
      </c>
    </row>
    <row r="367" spans="1:4" x14ac:dyDescent="0.25">
      <c r="A367" s="74"/>
      <c r="B367" t="s">
        <v>593</v>
      </c>
      <c r="D367" s="1">
        <f>POWER(D366, 2)*D363</f>
        <v>7.7867598918325606E-2</v>
      </c>
    </row>
    <row r="368" spans="1:4" x14ac:dyDescent="0.25">
      <c r="A368" s="74"/>
      <c r="B368" t="s">
        <v>594</v>
      </c>
      <c r="D368" s="1">
        <f>POWER(D366, 2)*D364</f>
        <v>1.0589993452892283E-3</v>
      </c>
    </row>
    <row r="369" spans="1:5" x14ac:dyDescent="0.25">
      <c r="A369" s="74"/>
      <c r="B369" t="s">
        <v>596</v>
      </c>
      <c r="D369" s="1">
        <f>D367+D368</f>
        <v>7.8926598263614839E-2</v>
      </c>
    </row>
    <row r="370" spans="1:5" x14ac:dyDescent="0.25">
      <c r="A370" s="74"/>
      <c r="C370" t="s">
        <v>597</v>
      </c>
      <c r="D370">
        <v>2.7</v>
      </c>
    </row>
    <row r="371" spans="1:5" x14ac:dyDescent="0.25">
      <c r="A371" s="74"/>
      <c r="C371" t="s">
        <v>598</v>
      </c>
      <c r="D371" s="1">
        <f>D362/D370</f>
        <v>74.074074074074076</v>
      </c>
    </row>
    <row r="372" spans="1:5" x14ac:dyDescent="0.25">
      <c r="A372" s="74"/>
      <c r="C372" t="s">
        <v>599</v>
      </c>
      <c r="D372" s="1">
        <f>D365/D364</f>
        <v>74.529411764705884</v>
      </c>
    </row>
    <row r="373" spans="1:5" x14ac:dyDescent="0.25">
      <c r="A373" s="74"/>
      <c r="C373" t="s">
        <v>600</v>
      </c>
      <c r="D373" s="1" t="b">
        <f>MAX(D371, D372)/MIN(D371,D372)&lt;1.04</f>
        <v>1</v>
      </c>
    </row>
    <row r="374" spans="1:5" x14ac:dyDescent="0.25">
      <c r="A374" s="74"/>
    </row>
    <row r="375" spans="1:5" x14ac:dyDescent="0.25">
      <c r="A375" s="50"/>
    </row>
    <row r="376" spans="1:5" x14ac:dyDescent="0.25">
      <c r="A376" s="74" t="s">
        <v>564</v>
      </c>
      <c r="C376" t="s">
        <v>275</v>
      </c>
    </row>
    <row r="377" spans="1:5" x14ac:dyDescent="0.25">
      <c r="A377" s="74"/>
      <c r="B377" t="s">
        <v>38</v>
      </c>
      <c r="D377">
        <f>D7</f>
        <v>44.1</v>
      </c>
      <c r="E377" t="s">
        <v>21</v>
      </c>
    </row>
    <row r="378" spans="1:5" x14ac:dyDescent="0.25">
      <c r="A378" s="74"/>
      <c r="B378" t="s">
        <v>37</v>
      </c>
      <c r="D378">
        <f>D5</f>
        <v>35.400000000000006</v>
      </c>
      <c r="E378" t="s">
        <v>21</v>
      </c>
    </row>
    <row r="379" spans="1:5" x14ac:dyDescent="0.25">
      <c r="A379" s="74"/>
      <c r="B379" t="s">
        <v>1042</v>
      </c>
      <c r="D379" s="52">
        <v>2000</v>
      </c>
      <c r="E379" s="8" t="s">
        <v>24</v>
      </c>
    </row>
    <row r="380" spans="1:5" x14ac:dyDescent="0.25">
      <c r="A380" s="74"/>
      <c r="C380" t="s">
        <v>1041</v>
      </c>
      <c r="D380" s="27">
        <f>D377/D382</f>
        <v>16.333333333333332</v>
      </c>
    </row>
    <row r="381" spans="1:5" x14ac:dyDescent="0.25">
      <c r="A381" s="74"/>
      <c r="B381" t="s">
        <v>1043</v>
      </c>
      <c r="D381" s="27">
        <f>D380*D379</f>
        <v>32666.666666666664</v>
      </c>
      <c r="E381" s="8" t="s">
        <v>24</v>
      </c>
    </row>
    <row r="382" spans="1:5" x14ac:dyDescent="0.25">
      <c r="A382" s="74"/>
      <c r="C382" t="s">
        <v>276</v>
      </c>
      <c r="D382" s="52">
        <v>2.7</v>
      </c>
      <c r="E382" t="s">
        <v>21</v>
      </c>
    </row>
    <row r="383" spans="1:5" x14ac:dyDescent="0.25">
      <c r="A383" s="74"/>
      <c r="B383" t="s">
        <v>1044</v>
      </c>
      <c r="D383" s="52">
        <v>33000</v>
      </c>
      <c r="E383" s="8" t="s">
        <v>24</v>
      </c>
    </row>
    <row r="384" spans="1:5" x14ac:dyDescent="0.25">
      <c r="A384" s="74"/>
      <c r="C384" t="s">
        <v>1053</v>
      </c>
      <c r="D384" s="52">
        <v>1</v>
      </c>
      <c r="E384" s="8" t="s">
        <v>162</v>
      </c>
    </row>
    <row r="385" spans="1:5" x14ac:dyDescent="0.25">
      <c r="A385" s="74"/>
      <c r="B385" t="s">
        <v>520</v>
      </c>
      <c r="D385" s="27">
        <f>D377/(D379+D383)</f>
        <v>1.2600000000000001E-3</v>
      </c>
      <c r="E385" t="s">
        <v>20</v>
      </c>
    </row>
    <row r="386" spans="1:5" x14ac:dyDescent="0.25">
      <c r="A386" s="74"/>
      <c r="B386" t="s">
        <v>1051</v>
      </c>
      <c r="D386" s="27">
        <f>POWER(D385, 2)*D383</f>
        <v>5.2390800000000001E-2</v>
      </c>
      <c r="E386" t="s">
        <v>22</v>
      </c>
    </row>
    <row r="387" spans="1:5" x14ac:dyDescent="0.25">
      <c r="A387" s="74"/>
      <c r="B387" t="s">
        <v>1052</v>
      </c>
      <c r="D387" s="27">
        <f>POWER(D385, 2)*D379</f>
        <v>3.1752E-3</v>
      </c>
      <c r="E387" t="s">
        <v>22</v>
      </c>
    </row>
    <row r="388" spans="1:5" x14ac:dyDescent="0.25">
      <c r="A388" s="74"/>
      <c r="B388" t="s">
        <v>157</v>
      </c>
      <c r="D388" s="27">
        <f>D386+D387</f>
        <v>5.5566000000000004E-2</v>
      </c>
      <c r="E388" t="s">
        <v>22</v>
      </c>
    </row>
    <row r="389" spans="1:5" x14ac:dyDescent="0.25">
      <c r="A389" s="74"/>
      <c r="B389" t="s">
        <v>324</v>
      </c>
      <c r="D389" s="54">
        <v>4.6999999999999999E-6</v>
      </c>
      <c r="E389" s="8" t="s">
        <v>24</v>
      </c>
    </row>
    <row r="390" spans="1:5" x14ac:dyDescent="0.25">
      <c r="A390" s="74"/>
      <c r="B390" t="s">
        <v>1045</v>
      </c>
      <c r="D390" s="27">
        <f>(D379*D383)/(D379+D383)</f>
        <v>1885.7142857142858</v>
      </c>
      <c r="E390" s="8" t="s">
        <v>24</v>
      </c>
    </row>
    <row r="391" spans="1:5" x14ac:dyDescent="0.25">
      <c r="A391" s="74"/>
      <c r="B391" t="s">
        <v>1064</v>
      </c>
      <c r="C391" t="s">
        <v>1065</v>
      </c>
      <c r="D391" s="51">
        <f>D389*D390</f>
        <v>8.8628571428571428E-3</v>
      </c>
      <c r="E391" s="8" t="s">
        <v>323</v>
      </c>
    </row>
    <row r="392" spans="1:5" x14ac:dyDescent="0.25">
      <c r="A392" s="74"/>
      <c r="B392" t="s">
        <v>1066</v>
      </c>
      <c r="D392" s="51">
        <f>D391*LN(100)</f>
        <v>4.0814965476957316E-2</v>
      </c>
      <c r="E392" s="8" t="s">
        <v>323</v>
      </c>
    </row>
    <row r="393" spans="1:5" x14ac:dyDescent="0.25">
      <c r="A393" s="74"/>
      <c r="B393" t="s">
        <v>1040</v>
      </c>
      <c r="D393" s="54">
        <v>3.9999999999999998E-6</v>
      </c>
      <c r="E393" s="8" t="s">
        <v>20</v>
      </c>
    </row>
    <row r="394" spans="1:5" x14ac:dyDescent="0.25">
      <c r="A394" s="74"/>
      <c r="C394" t="s">
        <v>1046</v>
      </c>
      <c r="D394" s="27">
        <f>(D377-(D383*D393))/(1+(D383/D379))</f>
        <v>2.5124571428571429</v>
      </c>
      <c r="E394" s="8" t="s">
        <v>21</v>
      </c>
    </row>
    <row r="395" spans="1:5" x14ac:dyDescent="0.25">
      <c r="A395" s="74"/>
      <c r="C395" t="s">
        <v>1047</v>
      </c>
      <c r="D395" s="27">
        <f>D377/(1+(D383/D379))</f>
        <v>2.52</v>
      </c>
      <c r="E395" s="8" t="s">
        <v>21</v>
      </c>
    </row>
    <row r="396" spans="1:5" x14ac:dyDescent="0.25">
      <c r="A396" s="74"/>
      <c r="C396" t="s">
        <v>1049</v>
      </c>
      <c r="D396" s="27">
        <f>D395-D394</f>
        <v>7.5428571428570734E-3</v>
      </c>
      <c r="E396" s="8" t="s">
        <v>21</v>
      </c>
    </row>
    <row r="397" spans="1:5" x14ac:dyDescent="0.25">
      <c r="A397" s="74"/>
      <c r="C397" t="s">
        <v>1048</v>
      </c>
      <c r="D397" s="27">
        <f>(D378-(D383*D393))/(1+(D383/D379))</f>
        <v>2.0153142857142861</v>
      </c>
      <c r="E397" s="8" t="s">
        <v>21</v>
      </c>
    </row>
    <row r="398" spans="1:5" x14ac:dyDescent="0.25">
      <c r="A398" s="74"/>
      <c r="B398" t="s">
        <v>1069</v>
      </c>
      <c r="C398" t="s">
        <v>1068</v>
      </c>
      <c r="D398" s="27">
        <f>D378/(1+(D383/D379))</f>
        <v>2.0228571428571431</v>
      </c>
      <c r="E398" s="8" t="s">
        <v>21</v>
      </c>
    </row>
    <row r="399" spans="1:5" x14ac:dyDescent="0.25">
      <c r="A399" s="74"/>
      <c r="B399" t="s">
        <v>1069</v>
      </c>
      <c r="C399" t="s">
        <v>1070</v>
      </c>
      <c r="D399" s="27">
        <f>D398-D397</f>
        <v>7.5428571428570734E-3</v>
      </c>
      <c r="E399" s="8" t="s">
        <v>21</v>
      </c>
    </row>
    <row r="400" spans="1:5" x14ac:dyDescent="0.25">
      <c r="A400" s="74"/>
      <c r="C400" t="s">
        <v>1050</v>
      </c>
      <c r="D400" s="27">
        <f>100*D399/D398</f>
        <v>0.3728813559321999</v>
      </c>
      <c r="E400" s="8" t="s">
        <v>162</v>
      </c>
    </row>
    <row r="401" spans="1:5" x14ac:dyDescent="0.25">
      <c r="A401" s="74"/>
      <c r="C401" t="s">
        <v>1054</v>
      </c>
      <c r="D401" s="27">
        <f>(D400/100)*D378</f>
        <v>0.13199999999999878</v>
      </c>
      <c r="E401" s="8" t="s">
        <v>21</v>
      </c>
    </row>
    <row r="402" spans="1:5" x14ac:dyDescent="0.25">
      <c r="A402" s="74"/>
      <c r="C402" t="s">
        <v>1067</v>
      </c>
      <c r="D402">
        <f>D384/100</f>
        <v>0.01</v>
      </c>
      <c r="E402" s="8"/>
    </row>
    <row r="403" spans="1:5" x14ac:dyDescent="0.25">
      <c r="A403" s="74"/>
      <c r="C403" t="s">
        <v>1056</v>
      </c>
      <c r="D403">
        <f>D383/(D379)</f>
        <v>16.5</v>
      </c>
      <c r="E403" s="8"/>
    </row>
    <row r="404" spans="1:5" x14ac:dyDescent="0.25">
      <c r="A404" s="74"/>
      <c r="C404" t="s">
        <v>1055</v>
      </c>
      <c r="D404">
        <f>D383*(1+D402)/(D379*(1-D402))</f>
        <v>16.833333333333332</v>
      </c>
      <c r="E404" s="8"/>
    </row>
    <row r="405" spans="1:5" x14ac:dyDescent="0.25">
      <c r="A405" s="74"/>
      <c r="C405" t="s">
        <v>1057</v>
      </c>
      <c r="D405">
        <f>D383*(1-D402)/(D379*(1+D402))</f>
        <v>16.173267326732674</v>
      </c>
      <c r="E405" s="8"/>
    </row>
    <row r="406" spans="1:5" x14ac:dyDescent="0.25">
      <c r="A406" s="74"/>
      <c r="C406" t="s">
        <v>1058</v>
      </c>
      <c r="D406">
        <f>(D404-D403)/D403</f>
        <v>2.0202020202020131E-2</v>
      </c>
      <c r="E406" s="8"/>
    </row>
    <row r="407" spans="1:5" x14ac:dyDescent="0.25">
      <c r="A407" s="74"/>
      <c r="C407" t="s">
        <v>1059</v>
      </c>
      <c r="D407">
        <f>(D405-D403)/D403</f>
        <v>-1.9801980198019764E-2</v>
      </c>
      <c r="E407" s="8"/>
    </row>
    <row r="408" spans="1:5" x14ac:dyDescent="0.25">
      <c r="A408" s="74"/>
      <c r="C408" t="s">
        <v>1060</v>
      </c>
      <c r="D408">
        <f>100*D406</f>
        <v>2.0202020202020132</v>
      </c>
      <c r="E408" s="8" t="s">
        <v>162</v>
      </c>
    </row>
    <row r="409" spans="1:5" x14ac:dyDescent="0.25">
      <c r="A409" s="74"/>
      <c r="C409" t="s">
        <v>1061</v>
      </c>
      <c r="D409">
        <f>D407*100</f>
        <v>-1.9801980198019764</v>
      </c>
      <c r="E409" s="8" t="s">
        <v>162</v>
      </c>
    </row>
    <row r="410" spans="1:5" x14ac:dyDescent="0.25">
      <c r="A410" s="74"/>
      <c r="C410" t="s">
        <v>1062</v>
      </c>
      <c r="D410">
        <f>MAX(ABS(D409), ABS(D408))</f>
        <v>2.0202020202020132</v>
      </c>
      <c r="E410" s="8" t="s">
        <v>162</v>
      </c>
    </row>
    <row r="411" spans="1:5" x14ac:dyDescent="0.25">
      <c r="A411" s="74"/>
      <c r="C411" t="s">
        <v>1063</v>
      </c>
      <c r="D411">
        <f>D400+D410</f>
        <v>2.393083376134213</v>
      </c>
      <c r="E411" s="8" t="s">
        <v>162</v>
      </c>
    </row>
    <row r="412" spans="1:5" x14ac:dyDescent="0.25">
      <c r="A412" s="74"/>
      <c r="E412" s="8"/>
    </row>
    <row r="413" spans="1:5" x14ac:dyDescent="0.25">
      <c r="A413" s="23"/>
      <c r="E413" s="8"/>
    </row>
    <row r="414" spans="1:5" x14ac:dyDescent="0.25">
      <c r="A414" s="74" t="s">
        <v>883</v>
      </c>
      <c r="C414" t="s">
        <v>4</v>
      </c>
      <c r="D414">
        <f>D4</f>
        <v>1.2</v>
      </c>
      <c r="E414" s="8"/>
    </row>
    <row r="415" spans="1:5" x14ac:dyDescent="0.25">
      <c r="A415" s="74"/>
      <c r="B415" t="s">
        <v>47</v>
      </c>
      <c r="D415">
        <f>D3</f>
        <v>16000</v>
      </c>
      <c r="E415" t="s">
        <v>68</v>
      </c>
    </row>
    <row r="416" spans="1:5" x14ac:dyDescent="0.25">
      <c r="A416" s="74"/>
      <c r="B416" t="s">
        <v>877</v>
      </c>
      <c r="C416" t="s">
        <v>878</v>
      </c>
      <c r="D416">
        <f>D7</f>
        <v>44.1</v>
      </c>
    </row>
    <row r="417" spans="1:5" x14ac:dyDescent="0.25">
      <c r="A417" s="74"/>
      <c r="B417" t="s">
        <v>40</v>
      </c>
      <c r="D417">
        <f>D234</f>
        <v>22.598870056497173</v>
      </c>
      <c r="E417" t="s">
        <v>20</v>
      </c>
    </row>
    <row r="418" spans="1:5" x14ac:dyDescent="0.25">
      <c r="A418" s="74"/>
      <c r="B418" t="s">
        <v>875</v>
      </c>
      <c r="C418" t="s">
        <v>876</v>
      </c>
      <c r="D418" s="53">
        <f>D314</f>
        <v>61.545745489666373</v>
      </c>
    </row>
    <row r="419" spans="1:5" x14ac:dyDescent="0.25">
      <c r="A419" s="74"/>
      <c r="B419" t="s">
        <v>39</v>
      </c>
      <c r="D419" s="52">
        <v>0.5</v>
      </c>
    </row>
    <row r="420" spans="1:5" x14ac:dyDescent="0.25">
      <c r="A420" s="74"/>
      <c r="B420" t="s">
        <v>288</v>
      </c>
      <c r="D420" s="52">
        <v>2.3E-2</v>
      </c>
      <c r="E420" s="8" t="s">
        <v>24</v>
      </c>
    </row>
    <row r="421" spans="1:5" x14ac:dyDescent="0.25">
      <c r="A421" s="74"/>
      <c r="B421" t="s">
        <v>907</v>
      </c>
      <c r="C421" t="s">
        <v>908</v>
      </c>
      <c r="D421" s="53">
        <f>D113</f>
        <v>4.8951562500000008E-5</v>
      </c>
      <c r="E421" s="8" t="s">
        <v>154</v>
      </c>
    </row>
    <row r="422" spans="1:5" x14ac:dyDescent="0.25">
      <c r="A422" s="74"/>
      <c r="E422" s="8"/>
    </row>
    <row r="423" spans="1:5" x14ac:dyDescent="0.25">
      <c r="A423" s="74"/>
      <c r="B423" t="s">
        <v>287</v>
      </c>
      <c r="D423" s="27">
        <f>POWER(D417,2)*D419*D420/3</f>
        <v>1.9577175566833704</v>
      </c>
    </row>
    <row r="424" spans="1:5" x14ac:dyDescent="0.25">
      <c r="A424" s="74"/>
      <c r="B424" t="s">
        <v>290</v>
      </c>
      <c r="C424" t="s">
        <v>289</v>
      </c>
      <c r="D424" s="51">
        <f>D419*D417*D414</f>
        <v>13.559322033898303</v>
      </c>
    </row>
    <row r="425" spans="1:5" x14ac:dyDescent="0.25">
      <c r="A425" s="74"/>
      <c r="B425" t="s">
        <v>291</v>
      </c>
      <c r="D425" s="51">
        <f>(D418+D416)*D414</f>
        <v>126.77489458759965</v>
      </c>
      <c r="E425" t="s">
        <v>21</v>
      </c>
    </row>
    <row r="426" spans="1:5" x14ac:dyDescent="0.25">
      <c r="A426" s="74"/>
      <c r="B426" t="s">
        <v>308</v>
      </c>
      <c r="D426" s="52">
        <v>250</v>
      </c>
      <c r="E426" t="s">
        <v>21</v>
      </c>
    </row>
    <row r="427" spans="1:5" x14ac:dyDescent="0.25">
      <c r="A427" s="74"/>
      <c r="C427" t="s">
        <v>325</v>
      </c>
      <c r="D427" s="27" t="b">
        <f>D426&gt;=D425</f>
        <v>1</v>
      </c>
    </row>
    <row r="428" spans="1:5" x14ac:dyDescent="0.25">
      <c r="A428" s="74"/>
      <c r="B428" t="s">
        <v>292</v>
      </c>
      <c r="D428" s="52"/>
      <c r="E428" t="s">
        <v>324</v>
      </c>
    </row>
    <row r="429" spans="1:5" x14ac:dyDescent="0.25">
      <c r="A429" s="74"/>
      <c r="B429" t="s">
        <v>293</v>
      </c>
      <c r="D429" s="52"/>
      <c r="E429" t="s">
        <v>324</v>
      </c>
    </row>
    <row r="430" spans="1:5" x14ac:dyDescent="0.25">
      <c r="A430" s="74"/>
      <c r="B430" t="s">
        <v>294</v>
      </c>
      <c r="C430" t="s">
        <v>295</v>
      </c>
      <c r="D430" s="54">
        <v>4.9999999999999998E-8</v>
      </c>
      <c r="E430" t="s">
        <v>324</v>
      </c>
    </row>
    <row r="431" spans="1:5" x14ac:dyDescent="0.25">
      <c r="A431" s="74"/>
      <c r="B431" t="s">
        <v>296</v>
      </c>
      <c r="D431" s="51">
        <f>D415*D430*2</f>
        <v>1.5999999999999999E-3</v>
      </c>
      <c r="E431" t="s">
        <v>20</v>
      </c>
    </row>
    <row r="432" spans="1:5" x14ac:dyDescent="0.25">
      <c r="A432" s="74"/>
      <c r="B432" t="s">
        <v>298</v>
      </c>
      <c r="C432" t="s">
        <v>310</v>
      </c>
      <c r="D432" s="52">
        <v>10</v>
      </c>
      <c r="E432" t="s">
        <v>21</v>
      </c>
    </row>
    <row r="433" spans="1:6" x14ac:dyDescent="0.25">
      <c r="A433" s="74"/>
      <c r="B433" t="s">
        <v>299</v>
      </c>
      <c r="D433" s="52">
        <v>5</v>
      </c>
      <c r="E433" s="8" t="s">
        <v>24</v>
      </c>
    </row>
    <row r="434" spans="1:6" x14ac:dyDescent="0.25">
      <c r="A434" s="74"/>
      <c r="B434" t="s">
        <v>220</v>
      </c>
      <c r="C434" t="s">
        <v>297</v>
      </c>
      <c r="D434" s="51">
        <f>D430*D433/D432</f>
        <v>2.4999999999999999E-8</v>
      </c>
      <c r="E434" t="s">
        <v>323</v>
      </c>
    </row>
    <row r="435" spans="1:6" x14ac:dyDescent="0.25">
      <c r="A435" s="74"/>
      <c r="B435" t="s">
        <v>304</v>
      </c>
      <c r="C435" t="s">
        <v>307</v>
      </c>
      <c r="D435" s="51">
        <f>D434</f>
        <v>2.4999999999999999E-8</v>
      </c>
      <c r="E435" t="s">
        <v>323</v>
      </c>
    </row>
    <row r="436" spans="1:6" x14ac:dyDescent="0.25">
      <c r="A436" s="74"/>
      <c r="B436" t="s">
        <v>305</v>
      </c>
      <c r="C436" t="s">
        <v>306</v>
      </c>
      <c r="D436" s="51">
        <f>D435</f>
        <v>2.4999999999999999E-8</v>
      </c>
      <c r="E436" t="s">
        <v>323</v>
      </c>
    </row>
    <row r="437" spans="1:6" x14ac:dyDescent="0.25">
      <c r="A437" s="74"/>
      <c r="C437" t="s">
        <v>300</v>
      </c>
      <c r="D437" s="27">
        <f>D432/D433</f>
        <v>2</v>
      </c>
      <c r="E437" t="s">
        <v>20</v>
      </c>
    </row>
    <row r="438" spans="1:6" x14ac:dyDescent="0.25">
      <c r="A438" s="74"/>
      <c r="C438" t="s">
        <v>302</v>
      </c>
      <c r="D438" s="52">
        <v>3</v>
      </c>
      <c r="E438" t="s">
        <v>20</v>
      </c>
    </row>
    <row r="439" spans="1:6" x14ac:dyDescent="0.25">
      <c r="A439" s="74"/>
      <c r="C439" t="s">
        <v>303</v>
      </c>
      <c r="D439" s="27">
        <f>D438/D4</f>
        <v>2.5</v>
      </c>
      <c r="E439" t="s">
        <v>20</v>
      </c>
    </row>
    <row r="440" spans="1:6" x14ac:dyDescent="0.25">
      <c r="A440" s="74"/>
      <c r="C440" t="s">
        <v>301</v>
      </c>
      <c r="D440" s="27" t="b">
        <f>D437&lt;D439</f>
        <v>1</v>
      </c>
    </row>
    <row r="441" spans="1:6" x14ac:dyDescent="0.25">
      <c r="A441" s="74"/>
      <c r="B441" t="s">
        <v>327</v>
      </c>
      <c r="C441" t="s">
        <v>328</v>
      </c>
      <c r="D441" s="51">
        <f>D430*D432*D415</f>
        <v>8.0000000000000002E-3</v>
      </c>
      <c r="E441" t="s">
        <v>22</v>
      </c>
    </row>
    <row r="442" spans="1:6" x14ac:dyDescent="0.25">
      <c r="A442" s="74"/>
      <c r="B442" t="s">
        <v>880</v>
      </c>
      <c r="D442" s="27">
        <f>D293+D416</f>
        <v>144.1</v>
      </c>
      <c r="E442" t="s">
        <v>21</v>
      </c>
      <c r="F442" t="s">
        <v>881</v>
      </c>
    </row>
    <row r="443" spans="1:6" x14ac:dyDescent="0.25">
      <c r="A443" s="74"/>
      <c r="B443" t="s">
        <v>879</v>
      </c>
      <c r="D443" s="27">
        <f>D417</f>
        <v>22.598870056497173</v>
      </c>
      <c r="E443" t="s">
        <v>20</v>
      </c>
    </row>
    <row r="444" spans="1:6" x14ac:dyDescent="0.25">
      <c r="A444" s="74"/>
      <c r="B444" t="s">
        <v>882</v>
      </c>
      <c r="D444" s="51">
        <f>0.5*D442*D443*(D435+D436)*D3</f>
        <v>1.302598870056497</v>
      </c>
      <c r="E444" t="s">
        <v>22</v>
      </c>
    </row>
    <row r="445" spans="1:6" x14ac:dyDescent="0.25">
      <c r="A445" s="74"/>
      <c r="B445" t="s">
        <v>322</v>
      </c>
      <c r="D445" s="51">
        <f>D423+D444</f>
        <v>3.2603164267398674</v>
      </c>
      <c r="E445" t="s">
        <v>22</v>
      </c>
    </row>
    <row r="446" spans="1:6" x14ac:dyDescent="0.25">
      <c r="A446" s="74"/>
      <c r="B446" t="s">
        <v>311</v>
      </c>
      <c r="D446" s="52">
        <v>1000</v>
      </c>
      <c r="E446" s="8" t="s">
        <v>24</v>
      </c>
    </row>
    <row r="447" spans="1:6" x14ac:dyDescent="0.25">
      <c r="A447" s="74"/>
      <c r="B447" t="s">
        <v>314</v>
      </c>
      <c r="D447" s="52">
        <v>2.5</v>
      </c>
      <c r="E447" t="s">
        <v>21</v>
      </c>
    </row>
    <row r="448" spans="1:6" x14ac:dyDescent="0.25">
      <c r="A448" s="74"/>
      <c r="B448" t="s">
        <v>315</v>
      </c>
      <c r="C448" t="s">
        <v>316</v>
      </c>
      <c r="D448" s="52">
        <v>210</v>
      </c>
      <c r="E448" t="s">
        <v>20</v>
      </c>
    </row>
    <row r="449" spans="1:5" x14ac:dyDescent="0.25">
      <c r="A449" s="74"/>
      <c r="B449" t="s">
        <v>312</v>
      </c>
      <c r="C449" t="s">
        <v>313</v>
      </c>
      <c r="D449" s="51">
        <f>-D446*(D430/D432)*LN(D447/D432)</f>
        <v>6.9314718055994534E-6</v>
      </c>
      <c r="E449" t="s">
        <v>323</v>
      </c>
    </row>
    <row r="450" spans="1:5" x14ac:dyDescent="0.25">
      <c r="A450" s="74"/>
      <c r="C450" t="s">
        <v>326</v>
      </c>
      <c r="D450" s="51">
        <f>D417+(D416*D449/D421)</f>
        <v>28.843367494693062</v>
      </c>
      <c r="E450" t="s">
        <v>20</v>
      </c>
    </row>
    <row r="451" spans="1:5" x14ac:dyDescent="0.25">
      <c r="A451" s="74"/>
      <c r="B451" t="s">
        <v>317</v>
      </c>
      <c r="D451" s="52">
        <v>60</v>
      </c>
      <c r="E451" t="s">
        <v>20</v>
      </c>
    </row>
    <row r="452" spans="1:5" x14ac:dyDescent="0.25">
      <c r="A452" s="74"/>
      <c r="C452" t="s">
        <v>319</v>
      </c>
      <c r="D452" s="27" t="b">
        <f>D450&lt;D448</f>
        <v>1</v>
      </c>
    </row>
    <row r="453" spans="1:5" x14ac:dyDescent="0.25">
      <c r="A453" s="74"/>
      <c r="C453" t="s">
        <v>318</v>
      </c>
      <c r="D453" s="27" t="b">
        <f>D450&lt;D451</f>
        <v>1</v>
      </c>
    </row>
    <row r="454" spans="1:5" x14ac:dyDescent="0.25">
      <c r="A454" s="74"/>
      <c r="B454" t="s">
        <v>320</v>
      </c>
      <c r="C454" t="s">
        <v>321</v>
      </c>
      <c r="D454" s="27">
        <f>0.5*POWER(D432, 2)/D446</f>
        <v>0.05</v>
      </c>
      <c r="E454" t="s">
        <v>22</v>
      </c>
    </row>
    <row r="455" spans="1:5" x14ac:dyDescent="0.25">
      <c r="A455" s="48"/>
      <c r="D455" s="27"/>
    </row>
    <row r="456" spans="1:5" ht="15" customHeight="1" x14ac:dyDescent="0.25">
      <c r="A456" s="74" t="s">
        <v>976</v>
      </c>
      <c r="C456" t="s">
        <v>4</v>
      </c>
      <c r="D456">
        <f>D4</f>
        <v>1.2</v>
      </c>
      <c r="E456" s="8"/>
    </row>
    <row r="457" spans="1:5" x14ac:dyDescent="0.25">
      <c r="A457" s="74"/>
      <c r="B457" t="s">
        <v>47</v>
      </c>
      <c r="D457">
        <f>D3</f>
        <v>16000</v>
      </c>
      <c r="E457" t="s">
        <v>68</v>
      </c>
    </row>
    <row r="458" spans="1:5" x14ac:dyDescent="0.25">
      <c r="A458" s="74"/>
      <c r="B458" t="s">
        <v>877</v>
      </c>
      <c r="C458" t="s">
        <v>878</v>
      </c>
      <c r="D458">
        <f>D7</f>
        <v>44.1</v>
      </c>
    </row>
    <row r="459" spans="1:5" x14ac:dyDescent="0.25">
      <c r="A459" s="74"/>
      <c r="B459" t="s">
        <v>40</v>
      </c>
      <c r="D459">
        <f>D234</f>
        <v>22.598870056497173</v>
      </c>
      <c r="E459" t="s">
        <v>20</v>
      </c>
    </row>
    <row r="460" spans="1:5" x14ac:dyDescent="0.25">
      <c r="A460" s="74"/>
      <c r="D460" s="53"/>
    </row>
    <row r="461" spans="1:5" x14ac:dyDescent="0.25">
      <c r="A461" s="74"/>
      <c r="B461" t="s">
        <v>39</v>
      </c>
      <c r="D461" s="52">
        <v>0.5</v>
      </c>
    </row>
    <row r="462" spans="1:5" x14ac:dyDescent="0.25">
      <c r="A462" s="74"/>
      <c r="B462" t="s">
        <v>288</v>
      </c>
      <c r="D462" s="52">
        <v>2.3E-2</v>
      </c>
      <c r="E462" s="8" t="s">
        <v>24</v>
      </c>
    </row>
    <row r="463" spans="1:5" x14ac:dyDescent="0.25">
      <c r="A463" s="74"/>
      <c r="B463" t="s">
        <v>907</v>
      </c>
      <c r="C463" t="s">
        <v>908</v>
      </c>
      <c r="D463" s="53">
        <f>D113</f>
        <v>4.8951562500000008E-5</v>
      </c>
      <c r="E463" s="8" t="s">
        <v>154</v>
      </c>
    </row>
    <row r="464" spans="1:5" x14ac:dyDescent="0.25">
      <c r="A464" s="74"/>
      <c r="D464" s="53"/>
      <c r="E464" s="8"/>
    </row>
    <row r="465" spans="1:6" x14ac:dyDescent="0.25">
      <c r="A465" s="74"/>
      <c r="B465" t="s">
        <v>287</v>
      </c>
      <c r="D465" s="27">
        <f>POWER(D459,2)*D461*D462/3</f>
        <v>1.9577175566833704</v>
      </c>
    </row>
    <row r="466" spans="1:6" x14ac:dyDescent="0.25">
      <c r="A466" s="74"/>
      <c r="B466" t="s">
        <v>290</v>
      </c>
      <c r="C466" t="s">
        <v>985</v>
      </c>
      <c r="D466" s="51">
        <f>D461*D459*D456</f>
        <v>13.559322033898303</v>
      </c>
    </row>
    <row r="467" spans="1:6" x14ac:dyDescent="0.25">
      <c r="A467" s="74"/>
      <c r="B467" t="s">
        <v>973</v>
      </c>
      <c r="C467" t="s">
        <v>984</v>
      </c>
      <c r="D467" s="51"/>
    </row>
    <row r="468" spans="1:6" x14ac:dyDescent="0.25">
      <c r="A468" s="74"/>
      <c r="C468" t="s">
        <v>974</v>
      </c>
      <c r="D468" s="51" t="b">
        <f>D467&gt;=D466</f>
        <v>0</v>
      </c>
    </row>
    <row r="469" spans="1:6" x14ac:dyDescent="0.25">
      <c r="A469" s="74"/>
      <c r="B469" t="s">
        <v>291</v>
      </c>
      <c r="D469" s="51">
        <f>D458*D456</f>
        <v>52.92</v>
      </c>
      <c r="E469" t="s">
        <v>21</v>
      </c>
    </row>
    <row r="470" spans="1:6" x14ac:dyDescent="0.25">
      <c r="A470" s="74"/>
      <c r="B470" t="s">
        <v>308</v>
      </c>
      <c r="D470" s="52">
        <v>250</v>
      </c>
      <c r="E470" t="s">
        <v>21</v>
      </c>
    </row>
    <row r="471" spans="1:6" x14ac:dyDescent="0.25">
      <c r="A471" s="74"/>
      <c r="C471" t="s">
        <v>325</v>
      </c>
      <c r="D471" s="27" t="b">
        <f>D470&gt;=D469</f>
        <v>1</v>
      </c>
    </row>
    <row r="472" spans="1:6" x14ac:dyDescent="0.25">
      <c r="A472" s="74"/>
      <c r="B472" t="s">
        <v>292</v>
      </c>
      <c r="D472" s="52"/>
      <c r="E472" t="s">
        <v>324</v>
      </c>
    </row>
    <row r="473" spans="1:6" x14ac:dyDescent="0.25">
      <c r="A473" s="74"/>
      <c r="B473" t="s">
        <v>293</v>
      </c>
      <c r="D473" s="52"/>
      <c r="E473" t="s">
        <v>324</v>
      </c>
    </row>
    <row r="474" spans="1:6" x14ac:dyDescent="0.25">
      <c r="A474" s="74"/>
      <c r="B474" t="s">
        <v>294</v>
      </c>
      <c r="C474" t="s">
        <v>295</v>
      </c>
      <c r="D474" s="54">
        <v>4.9999999999999998E-8</v>
      </c>
      <c r="E474" t="s">
        <v>324</v>
      </c>
    </row>
    <row r="475" spans="1:6" x14ac:dyDescent="0.25">
      <c r="A475" s="74"/>
      <c r="B475" t="s">
        <v>296</v>
      </c>
      <c r="D475" s="51">
        <f>D457*D474*2</f>
        <v>1.5999999999999999E-3</v>
      </c>
      <c r="E475" t="s">
        <v>20</v>
      </c>
    </row>
    <row r="476" spans="1:6" x14ac:dyDescent="0.25">
      <c r="A476" s="74"/>
      <c r="B476" t="s">
        <v>923</v>
      </c>
      <c r="C476" t="s">
        <v>924</v>
      </c>
      <c r="D476" s="54">
        <v>14</v>
      </c>
    </row>
    <row r="477" spans="1:6" x14ac:dyDescent="0.25">
      <c r="A477" s="74"/>
      <c r="B477" s="35" t="s">
        <v>910</v>
      </c>
      <c r="C477" t="s">
        <v>909</v>
      </c>
      <c r="D477" s="52">
        <v>0.05</v>
      </c>
      <c r="E477" t="s">
        <v>21</v>
      </c>
    </row>
    <row r="478" spans="1:6" x14ac:dyDescent="0.25">
      <c r="A478" s="74"/>
      <c r="B478" s="35" t="s">
        <v>912</v>
      </c>
      <c r="C478" t="s">
        <v>914</v>
      </c>
      <c r="D478" s="51">
        <f>D474/D477</f>
        <v>9.9999999999999995E-7</v>
      </c>
      <c r="E478" t="s">
        <v>23</v>
      </c>
    </row>
    <row r="479" spans="1:6" x14ac:dyDescent="0.25">
      <c r="A479" s="74"/>
      <c r="B479" s="35" t="s">
        <v>911</v>
      </c>
      <c r="C479" t="s">
        <v>915</v>
      </c>
      <c r="D479" s="27">
        <f>0.000001</f>
        <v>9.9999999999999995E-7</v>
      </c>
      <c r="E479" t="s">
        <v>23</v>
      </c>
      <c r="F479" s="4" t="s">
        <v>981</v>
      </c>
    </row>
    <row r="480" spans="1:6" x14ac:dyDescent="0.25">
      <c r="A480" s="74"/>
      <c r="B480" s="35" t="s">
        <v>913</v>
      </c>
      <c r="C480" t="s">
        <v>916</v>
      </c>
      <c r="D480" s="51">
        <f>D474/D479</f>
        <v>0.05</v>
      </c>
      <c r="E480" t="s">
        <v>21</v>
      </c>
    </row>
    <row r="481" spans="1:8" x14ac:dyDescent="0.25">
      <c r="A481" s="74"/>
      <c r="B481" s="35"/>
      <c r="C481" t="s">
        <v>925</v>
      </c>
      <c r="D481" s="51" t="b">
        <f>D480&lt;=D477</f>
        <v>1</v>
      </c>
    </row>
    <row r="482" spans="1:8" x14ac:dyDescent="0.25">
      <c r="A482" s="74"/>
      <c r="B482" s="35" t="s">
        <v>936</v>
      </c>
      <c r="C482" t="s">
        <v>937</v>
      </c>
      <c r="D482" s="51">
        <f>D480*D479</f>
        <v>4.9999999999999998E-8</v>
      </c>
      <c r="E482" t="s">
        <v>324</v>
      </c>
    </row>
    <row r="483" spans="1:8" x14ac:dyDescent="0.25">
      <c r="A483" s="74"/>
      <c r="B483" s="35" t="s">
        <v>938</v>
      </c>
      <c r="C483" t="s">
        <v>939</v>
      </c>
      <c r="D483" s="51">
        <f>D482*D457</f>
        <v>7.9999999999999993E-4</v>
      </c>
      <c r="E483" t="s">
        <v>20</v>
      </c>
    </row>
    <row r="484" spans="1:8" x14ac:dyDescent="0.25">
      <c r="A484" s="74"/>
      <c r="B484" s="35" t="s">
        <v>920</v>
      </c>
      <c r="C484" t="s">
        <v>921</v>
      </c>
      <c r="D484" s="52">
        <v>0.9</v>
      </c>
      <c r="E484" t="s">
        <v>21</v>
      </c>
      <c r="F484" t="s">
        <v>978</v>
      </c>
      <c r="G484" t="s">
        <v>983</v>
      </c>
    </row>
    <row r="485" spans="1:8" x14ac:dyDescent="0.25">
      <c r="A485" s="74"/>
      <c r="B485" t="s">
        <v>887</v>
      </c>
      <c r="C485" t="s">
        <v>889</v>
      </c>
      <c r="D485" s="53">
        <f>D476</f>
        <v>14</v>
      </c>
      <c r="E485" t="s">
        <v>21</v>
      </c>
    </row>
    <row r="486" spans="1:8" x14ac:dyDescent="0.25">
      <c r="A486" s="74"/>
      <c r="B486" t="s">
        <v>922</v>
      </c>
      <c r="C486" t="s">
        <v>888</v>
      </c>
      <c r="D486" s="51">
        <f>D476-D484-D480</f>
        <v>13.049999999999999</v>
      </c>
      <c r="E486" t="s">
        <v>21</v>
      </c>
    </row>
    <row r="487" spans="1:8" x14ac:dyDescent="0.25">
      <c r="A487" s="74"/>
      <c r="B487" t="s">
        <v>299</v>
      </c>
      <c r="D487" s="52">
        <v>6.2</v>
      </c>
      <c r="E487" s="8" t="s">
        <v>24</v>
      </c>
      <c r="H487" s="52"/>
    </row>
    <row r="488" spans="1:8" x14ac:dyDescent="0.25">
      <c r="A488" s="74"/>
      <c r="B488" t="s">
        <v>943</v>
      </c>
      <c r="D488" s="52">
        <v>1</v>
      </c>
      <c r="E488" s="8" t="s">
        <v>24</v>
      </c>
    </row>
    <row r="489" spans="1:8" x14ac:dyDescent="0.25">
      <c r="A489" s="74"/>
      <c r="B489" t="s">
        <v>952</v>
      </c>
      <c r="D489" s="52">
        <v>0.02</v>
      </c>
      <c r="E489" s="8" t="s">
        <v>24</v>
      </c>
      <c r="F489" t="s">
        <v>980</v>
      </c>
    </row>
    <row r="490" spans="1:8" x14ac:dyDescent="0.25">
      <c r="A490" s="74"/>
      <c r="B490" t="s">
        <v>941</v>
      </c>
      <c r="D490" s="52">
        <v>0.02</v>
      </c>
      <c r="E490" s="8" t="s">
        <v>24</v>
      </c>
      <c r="F490" t="s">
        <v>982</v>
      </c>
    </row>
    <row r="491" spans="1:8" x14ac:dyDescent="0.25">
      <c r="A491" s="74"/>
      <c r="B491" t="s">
        <v>942</v>
      </c>
      <c r="C491" t="s">
        <v>940</v>
      </c>
      <c r="D491" s="27">
        <f>D488+D489+D490</f>
        <v>1.04</v>
      </c>
      <c r="E491" s="8" t="s">
        <v>24</v>
      </c>
    </row>
    <row r="492" spans="1:8" x14ac:dyDescent="0.25">
      <c r="A492" s="74"/>
      <c r="B492" t="s">
        <v>945</v>
      </c>
      <c r="C492" t="s">
        <v>946</v>
      </c>
      <c r="D492" s="52">
        <v>7.5</v>
      </c>
      <c r="E492" s="8" t="s">
        <v>21</v>
      </c>
    </row>
    <row r="493" spans="1:8" x14ac:dyDescent="0.25">
      <c r="A493" s="74"/>
      <c r="B493" t="s">
        <v>948</v>
      </c>
      <c r="C493" t="s">
        <v>944</v>
      </c>
      <c r="D493" s="55">
        <f>(D476-D492)/D491</f>
        <v>6.25</v>
      </c>
      <c r="E493" s="8" t="s">
        <v>20</v>
      </c>
    </row>
    <row r="494" spans="1:8" x14ac:dyDescent="0.25">
      <c r="A494" s="74"/>
      <c r="B494" t="s">
        <v>949</v>
      </c>
      <c r="D494" s="51">
        <f>D480/D491</f>
        <v>4.807692307692308E-2</v>
      </c>
      <c r="E494" s="8" t="s">
        <v>20</v>
      </c>
    </row>
    <row r="495" spans="1:8" x14ac:dyDescent="0.25">
      <c r="A495" s="74"/>
      <c r="B495" t="s">
        <v>951</v>
      </c>
      <c r="D495" s="56">
        <v>125</v>
      </c>
      <c r="E495" s="8" t="s">
        <v>20</v>
      </c>
    </row>
    <row r="496" spans="1:8" x14ac:dyDescent="0.25">
      <c r="A496" s="74"/>
      <c r="C496" t="s">
        <v>947</v>
      </c>
      <c r="D496" s="55" t="b">
        <f>AND(D495&gt;=D493*D456, D495&gt;=D494*D456)</f>
        <v>1</v>
      </c>
      <c r="E496" s="8"/>
    </row>
    <row r="497" spans="1:6" x14ac:dyDescent="0.25">
      <c r="A497" s="74"/>
      <c r="B497" t="s">
        <v>950</v>
      </c>
      <c r="D497" s="56">
        <v>200</v>
      </c>
      <c r="E497" s="8" t="s">
        <v>21</v>
      </c>
    </row>
    <row r="498" spans="1:6" x14ac:dyDescent="0.25">
      <c r="A498" s="74"/>
      <c r="C498" t="s">
        <v>953</v>
      </c>
      <c r="D498" s="55" t="b">
        <f>D497&gt;=2*D476</f>
        <v>1</v>
      </c>
      <c r="E498" s="8"/>
    </row>
    <row r="499" spans="1:6" x14ac:dyDescent="0.25">
      <c r="A499" s="74"/>
      <c r="B499" t="s">
        <v>890</v>
      </c>
      <c r="C499" t="s">
        <v>897</v>
      </c>
      <c r="D499" s="51">
        <f>D474*D487/D485</f>
        <v>2.2142857142857142E-8</v>
      </c>
      <c r="E499" t="s">
        <v>323</v>
      </c>
    </row>
    <row r="500" spans="1:6" x14ac:dyDescent="0.25">
      <c r="A500" s="74"/>
      <c r="B500" t="s">
        <v>891</v>
      </c>
      <c r="C500" t="s">
        <v>884</v>
      </c>
      <c r="D500" s="51">
        <f>D499</f>
        <v>2.2142857142857142E-8</v>
      </c>
      <c r="E500" t="s">
        <v>323</v>
      </c>
    </row>
    <row r="501" spans="1:6" x14ac:dyDescent="0.25">
      <c r="A501" s="74"/>
      <c r="B501" t="s">
        <v>892</v>
      </c>
      <c r="C501" t="s">
        <v>885</v>
      </c>
      <c r="D501" s="51">
        <f>D500</f>
        <v>2.2142857142857142E-8</v>
      </c>
      <c r="E501" t="s">
        <v>323</v>
      </c>
    </row>
    <row r="502" spans="1:6" x14ac:dyDescent="0.25">
      <c r="A502" s="74"/>
      <c r="B502" t="s">
        <v>893</v>
      </c>
      <c r="C502" t="s">
        <v>896</v>
      </c>
      <c r="D502" s="51">
        <f>D474*D487/D486</f>
        <v>2.3754789272030652E-8</v>
      </c>
      <c r="E502" t="s">
        <v>323</v>
      </c>
    </row>
    <row r="503" spans="1:6" x14ac:dyDescent="0.25">
      <c r="A503" s="74"/>
      <c r="B503" t="s">
        <v>894</v>
      </c>
      <c r="C503" t="s">
        <v>898</v>
      </c>
      <c r="D503" s="51">
        <f>D502</f>
        <v>2.3754789272030652E-8</v>
      </c>
      <c r="E503" t="s">
        <v>323</v>
      </c>
    </row>
    <row r="504" spans="1:6" x14ac:dyDescent="0.25">
      <c r="A504" s="74"/>
      <c r="B504" t="s">
        <v>895</v>
      </c>
      <c r="C504" t="s">
        <v>899</v>
      </c>
      <c r="D504" s="51">
        <f>D503</f>
        <v>2.3754789272030652E-8</v>
      </c>
      <c r="E504" t="s">
        <v>323</v>
      </c>
    </row>
    <row r="505" spans="1:6" x14ac:dyDescent="0.25">
      <c r="A505" s="74"/>
      <c r="C505" t="s">
        <v>886</v>
      </c>
      <c r="D505" s="27">
        <f>D485/D487</f>
        <v>2.258064516129032</v>
      </c>
      <c r="E505" t="s">
        <v>20</v>
      </c>
    </row>
    <row r="506" spans="1:6" x14ac:dyDescent="0.25">
      <c r="A506" s="74"/>
      <c r="C506" t="s">
        <v>302</v>
      </c>
      <c r="D506" s="52">
        <v>3</v>
      </c>
      <c r="E506" t="s">
        <v>20</v>
      </c>
    </row>
    <row r="507" spans="1:6" x14ac:dyDescent="0.25">
      <c r="A507" s="74"/>
      <c r="C507" t="s">
        <v>303</v>
      </c>
      <c r="D507" s="27">
        <f>D506/D456</f>
        <v>2.5</v>
      </c>
      <c r="E507" t="s">
        <v>20</v>
      </c>
    </row>
    <row r="508" spans="1:6" x14ac:dyDescent="0.25">
      <c r="A508" s="74"/>
      <c r="C508" t="s">
        <v>301</v>
      </c>
      <c r="D508" s="27" t="b">
        <f>D505&lt;D507</f>
        <v>1</v>
      </c>
    </row>
    <row r="509" spans="1:6" x14ac:dyDescent="0.25">
      <c r="A509" s="74"/>
      <c r="B509" t="s">
        <v>955</v>
      </c>
      <c r="C509" t="s">
        <v>954</v>
      </c>
      <c r="D509" s="51">
        <f>D480/(D488+D489+D490)</f>
        <v>4.807692307692308E-2</v>
      </c>
    </row>
    <row r="510" spans="1:6" x14ac:dyDescent="0.25">
      <c r="A510" s="74"/>
      <c r="B510" t="s">
        <v>956</v>
      </c>
      <c r="C510" t="s">
        <v>959</v>
      </c>
      <c r="D510" s="54">
        <v>2E-8</v>
      </c>
      <c r="E510" t="s">
        <v>154</v>
      </c>
      <c r="F510" t="s">
        <v>979</v>
      </c>
    </row>
    <row r="511" spans="1:6" x14ac:dyDescent="0.25">
      <c r="A511" s="74"/>
      <c r="B511" t="s">
        <v>957</v>
      </c>
      <c r="C511" t="s">
        <v>958</v>
      </c>
      <c r="D511" s="1">
        <v>5.0000000000000001E-9</v>
      </c>
      <c r="E511" t="s">
        <v>323</v>
      </c>
    </row>
    <row r="512" spans="1:6" x14ac:dyDescent="0.25">
      <c r="A512" s="74"/>
      <c r="B512" t="s">
        <v>970</v>
      </c>
      <c r="C512" t="s">
        <v>960</v>
      </c>
      <c r="D512" s="1">
        <f xml:space="preserve"> D510*D509/D511</f>
        <v>0.19230769230769232</v>
      </c>
      <c r="E512" t="s">
        <v>21</v>
      </c>
    </row>
    <row r="513" spans="1:6" x14ac:dyDescent="0.25">
      <c r="A513" s="74"/>
      <c r="B513" t="s">
        <v>901</v>
      </c>
      <c r="C513" t="s">
        <v>328</v>
      </c>
      <c r="D513" s="51">
        <f>D474*D485*D457</f>
        <v>1.12E-2</v>
      </c>
      <c r="E513" t="s">
        <v>22</v>
      </c>
    </row>
    <row r="514" spans="1:6" x14ac:dyDescent="0.25">
      <c r="A514" s="74"/>
      <c r="D514" s="54"/>
      <c r="E514" t="s">
        <v>324</v>
      </c>
    </row>
    <row r="515" spans="1:6" x14ac:dyDescent="0.25">
      <c r="A515" s="74"/>
      <c r="B515" t="s">
        <v>962</v>
      </c>
      <c r="C515" t="s">
        <v>963</v>
      </c>
      <c r="D515" s="54">
        <v>2.4999999999999999E-8</v>
      </c>
      <c r="E515" t="s">
        <v>323</v>
      </c>
      <c r="F515" t="s">
        <v>978</v>
      </c>
    </row>
    <row r="516" spans="1:6" x14ac:dyDescent="0.25">
      <c r="A516" s="74"/>
      <c r="B516" t="s">
        <v>961</v>
      </c>
      <c r="C516" t="s">
        <v>977</v>
      </c>
      <c r="D516" s="55">
        <v>0.25</v>
      </c>
      <c r="E516" t="s">
        <v>20</v>
      </c>
    </row>
    <row r="517" spans="1:6" x14ac:dyDescent="0.25">
      <c r="A517" s="74"/>
      <c r="B517" t="s">
        <v>967</v>
      </c>
      <c r="C517" t="s">
        <v>964</v>
      </c>
      <c r="D517" s="55">
        <f>D510*D516/D515</f>
        <v>0.2</v>
      </c>
      <c r="E517" t="s">
        <v>21</v>
      </c>
    </row>
    <row r="518" spans="1:6" x14ac:dyDescent="0.25">
      <c r="A518" s="74"/>
      <c r="B518" t="s">
        <v>971</v>
      </c>
      <c r="C518" t="s">
        <v>968</v>
      </c>
      <c r="D518" s="56">
        <v>0.2</v>
      </c>
      <c r="E518" t="s">
        <v>21</v>
      </c>
    </row>
    <row r="519" spans="1:6" x14ac:dyDescent="0.25">
      <c r="A519" s="74"/>
      <c r="B519" t="s">
        <v>965</v>
      </c>
      <c r="C519" t="s">
        <v>969</v>
      </c>
      <c r="D519" s="52">
        <v>0.2</v>
      </c>
      <c r="E519" t="s">
        <v>21</v>
      </c>
    </row>
    <row r="520" spans="1:6" x14ac:dyDescent="0.25">
      <c r="A520" s="74"/>
      <c r="B520" t="s">
        <v>972</v>
      </c>
      <c r="D520" s="27" t="b">
        <f>D518&gt;=D512</f>
        <v>1</v>
      </c>
    </row>
    <row r="521" spans="1:6" x14ac:dyDescent="0.25">
      <c r="A521" s="74"/>
      <c r="B521" t="s">
        <v>966</v>
      </c>
      <c r="D521" s="27" t="b">
        <f>D519&lt;=D517</f>
        <v>1</v>
      </c>
    </row>
    <row r="522" spans="1:6" x14ac:dyDescent="0.25">
      <c r="A522" s="74"/>
      <c r="B522" t="s">
        <v>880</v>
      </c>
      <c r="D522" s="27">
        <f>D458</f>
        <v>44.1</v>
      </c>
      <c r="E522" t="s">
        <v>21</v>
      </c>
    </row>
    <row r="523" spans="1:6" x14ac:dyDescent="0.25">
      <c r="A523" s="74"/>
      <c r="B523" t="s">
        <v>879</v>
      </c>
      <c r="D523" s="27">
        <f>D459</f>
        <v>22.598870056497173</v>
      </c>
      <c r="E523" t="s">
        <v>20</v>
      </c>
    </row>
    <row r="524" spans="1:6" x14ac:dyDescent="0.25">
      <c r="A524" s="74"/>
      <c r="B524" t="s">
        <v>900</v>
      </c>
      <c r="D524" s="51">
        <f>0.5*D522*D523*(D500+D501)*D43</f>
        <v>1.4137182203389828E-4</v>
      </c>
      <c r="E524" t="s">
        <v>22</v>
      </c>
    </row>
    <row r="525" spans="1:6" x14ac:dyDescent="0.25">
      <c r="A525" s="74"/>
      <c r="B525" t="s">
        <v>902</v>
      </c>
      <c r="C525" t="s">
        <v>903</v>
      </c>
      <c r="D525" s="51">
        <f>D465+D524</f>
        <v>1.9578589285054044</v>
      </c>
      <c r="E525" t="s">
        <v>22</v>
      </c>
    </row>
    <row r="526" spans="1:6" x14ac:dyDescent="0.25">
      <c r="A526" s="74"/>
      <c r="B526" t="s">
        <v>904</v>
      </c>
      <c r="C526" t="s">
        <v>905</v>
      </c>
      <c r="D526" s="51">
        <f>4*D525</f>
        <v>7.8314357140216178</v>
      </c>
      <c r="E526" t="s">
        <v>22</v>
      </c>
    </row>
    <row r="527" spans="1:6" x14ac:dyDescent="0.25">
      <c r="A527" s="74"/>
      <c r="B527" t="s">
        <v>311</v>
      </c>
      <c r="D527" s="52">
        <v>1000</v>
      </c>
      <c r="E527" s="8" t="s">
        <v>24</v>
      </c>
    </row>
    <row r="528" spans="1:6" x14ac:dyDescent="0.25">
      <c r="A528" s="74"/>
      <c r="B528" t="s">
        <v>314</v>
      </c>
      <c r="D528" s="52">
        <v>2.5</v>
      </c>
      <c r="E528" t="s">
        <v>21</v>
      </c>
    </row>
    <row r="529" spans="1:5" x14ac:dyDescent="0.25">
      <c r="A529" s="74"/>
      <c r="B529" t="s">
        <v>315</v>
      </c>
      <c r="C529" t="s">
        <v>906</v>
      </c>
      <c r="D529" s="52">
        <v>210</v>
      </c>
      <c r="E529" t="s">
        <v>20</v>
      </c>
    </row>
    <row r="530" spans="1:5" x14ac:dyDescent="0.25">
      <c r="A530" s="74"/>
      <c r="B530" t="s">
        <v>312</v>
      </c>
      <c r="C530" t="s">
        <v>313</v>
      </c>
      <c r="D530" s="51">
        <f>-D527*(D474/D485)*LN(D528/D485)</f>
        <v>6.1527378490753689E-6</v>
      </c>
      <c r="E530" t="s">
        <v>323</v>
      </c>
    </row>
    <row r="531" spans="1:5" x14ac:dyDescent="0.25">
      <c r="A531" s="74"/>
      <c r="C531" t="s">
        <v>326</v>
      </c>
      <c r="D531" s="51">
        <f>D459+(D458*D530/D463)</f>
        <v>28.141813433314283</v>
      </c>
      <c r="E531" t="s">
        <v>20</v>
      </c>
    </row>
    <row r="532" spans="1:5" x14ac:dyDescent="0.25">
      <c r="A532" s="74"/>
      <c r="B532" t="s">
        <v>317</v>
      </c>
      <c r="D532" s="52">
        <v>60</v>
      </c>
      <c r="E532" t="s">
        <v>20</v>
      </c>
    </row>
    <row r="533" spans="1:5" x14ac:dyDescent="0.25">
      <c r="A533" s="74"/>
      <c r="C533" t="s">
        <v>319</v>
      </c>
      <c r="D533" s="27" t="b">
        <f>D531&lt;D529</f>
        <v>1</v>
      </c>
    </row>
    <row r="534" spans="1:5" x14ac:dyDescent="0.25">
      <c r="A534" s="74"/>
      <c r="C534" t="s">
        <v>318</v>
      </c>
      <c r="D534" s="27" t="b">
        <f>D531&lt;D532</f>
        <v>1</v>
      </c>
    </row>
    <row r="535" spans="1:5" x14ac:dyDescent="0.25">
      <c r="A535" s="74"/>
      <c r="B535" t="s">
        <v>320</v>
      </c>
      <c r="C535" t="s">
        <v>321</v>
      </c>
      <c r="D535" s="27">
        <f>0.5*POWER(D485, 2)/D527</f>
        <v>9.8000000000000004E-2</v>
      </c>
      <c r="E535" t="s">
        <v>22</v>
      </c>
    </row>
    <row r="536" spans="1:5" x14ac:dyDescent="0.25">
      <c r="A536" s="74"/>
      <c r="B536" s="35" t="s">
        <v>917</v>
      </c>
      <c r="C536" t="s">
        <v>918</v>
      </c>
      <c r="D536" s="52">
        <v>9.6999999999999993</v>
      </c>
    </row>
    <row r="537" spans="1:5" x14ac:dyDescent="0.25">
      <c r="A537" s="74"/>
      <c r="B537" s="35" t="s">
        <v>931</v>
      </c>
      <c r="C537" t="s">
        <v>919</v>
      </c>
      <c r="D537" s="51">
        <f>D486-D536</f>
        <v>3.3499999999999996</v>
      </c>
    </row>
    <row r="538" spans="1:5" x14ac:dyDescent="0.25">
      <c r="A538" s="74"/>
      <c r="B538" t="s">
        <v>926</v>
      </c>
      <c r="C538" t="s">
        <v>927</v>
      </c>
      <c r="D538" s="27">
        <v>2</v>
      </c>
    </row>
    <row r="539" spans="1:5" x14ac:dyDescent="0.25">
      <c r="A539" s="74"/>
      <c r="B539" s="35"/>
      <c r="C539" t="s">
        <v>934</v>
      </c>
      <c r="D539" s="51" t="b">
        <f>D537&gt;=D538</f>
        <v>1</v>
      </c>
    </row>
    <row r="540" spans="1:5" x14ac:dyDescent="0.25">
      <c r="A540" s="74"/>
      <c r="B540" t="s">
        <v>930</v>
      </c>
      <c r="D540" s="52">
        <v>9.6999999999999993</v>
      </c>
    </row>
    <row r="541" spans="1:5" x14ac:dyDescent="0.25">
      <c r="A541" s="74"/>
      <c r="B541" t="s">
        <v>928</v>
      </c>
      <c r="C541" t="s">
        <v>929</v>
      </c>
      <c r="D541" s="51">
        <f xml:space="preserve"> D476</f>
        <v>14</v>
      </c>
    </row>
    <row r="542" spans="1:5" ht="15" customHeight="1" x14ac:dyDescent="0.25">
      <c r="A542" s="74"/>
      <c r="B542" s="35" t="s">
        <v>932</v>
      </c>
      <c r="C542" t="s">
        <v>933</v>
      </c>
      <c r="D542" s="51">
        <f>D541-D540</f>
        <v>4.3000000000000007</v>
      </c>
    </row>
    <row r="543" spans="1:5" ht="15" customHeight="1" x14ac:dyDescent="0.25">
      <c r="A543" s="74"/>
      <c r="C543" t="s">
        <v>935</v>
      </c>
      <c r="D543" s="27" t="b">
        <f>D542&gt;=D538</f>
        <v>1</v>
      </c>
    </row>
    <row r="544" spans="1:5" ht="15" customHeight="1" x14ac:dyDescent="0.25">
      <c r="A544" s="48"/>
      <c r="D544" s="27"/>
    </row>
    <row r="545" spans="1:5" x14ac:dyDescent="0.25">
      <c r="A545" s="74" t="s">
        <v>680</v>
      </c>
      <c r="B545" t="s">
        <v>322</v>
      </c>
      <c r="D545" s="1">
        <f>D445</f>
        <v>3.2603164267398674</v>
      </c>
      <c r="E545" t="s">
        <v>22</v>
      </c>
    </row>
    <row r="546" spans="1:5" x14ac:dyDescent="0.25">
      <c r="A546" s="74"/>
      <c r="C546" t="s">
        <v>681</v>
      </c>
      <c r="D546">
        <v>0.9</v>
      </c>
      <c r="E546" s="34" t="s">
        <v>682</v>
      </c>
    </row>
    <row r="547" spans="1:5" x14ac:dyDescent="0.25">
      <c r="A547" s="74"/>
      <c r="C547" t="s">
        <v>683</v>
      </c>
      <c r="D547">
        <v>0.15</v>
      </c>
      <c r="E547" s="35" t="s">
        <v>133</v>
      </c>
    </row>
    <row r="548" spans="1:5" x14ac:dyDescent="0.25">
      <c r="A548" s="74"/>
      <c r="C548" t="s">
        <v>684</v>
      </c>
      <c r="D548" s="1">
        <v>1.4999999999999999E-4</v>
      </c>
      <c r="E548" s="36" t="s">
        <v>207</v>
      </c>
    </row>
    <row r="549" spans="1:5" x14ac:dyDescent="0.25">
      <c r="A549" s="74"/>
      <c r="B549" t="s">
        <v>686</v>
      </c>
      <c r="C549" t="s">
        <v>687</v>
      </c>
      <c r="D549">
        <f>D547/(1000*D546*D548)</f>
        <v>1.1111111111111112</v>
      </c>
      <c r="E549" s="35"/>
    </row>
    <row r="550" spans="1:5" x14ac:dyDescent="0.25">
      <c r="A550" s="74"/>
      <c r="B550" t="s">
        <v>688</v>
      </c>
      <c r="C550" t="s">
        <v>689</v>
      </c>
      <c r="D550">
        <f>3.5+0.5</f>
        <v>4</v>
      </c>
      <c r="E550" s="35"/>
    </row>
    <row r="551" spans="1:5" x14ac:dyDescent="0.25">
      <c r="A551" s="74"/>
      <c r="B551" t="s">
        <v>690</v>
      </c>
      <c r="C551" t="s">
        <v>691</v>
      </c>
      <c r="D551">
        <v>6.6665999999999999</v>
      </c>
      <c r="E551" s="34"/>
    </row>
    <row r="552" spans="1:5" x14ac:dyDescent="0.25">
      <c r="A552" s="74"/>
      <c r="C552" t="s">
        <v>685</v>
      </c>
      <c r="D552" s="27">
        <f>D549+D550+D551</f>
        <v>11.77771111111111</v>
      </c>
      <c r="E552" s="34"/>
    </row>
    <row r="553" spans="1:5" x14ac:dyDescent="0.25">
      <c r="A553" s="74"/>
      <c r="B553" t="s">
        <v>693</v>
      </c>
      <c r="C553" t="s">
        <v>692</v>
      </c>
      <c r="D553" s="51">
        <f>D552*D545</f>
        <v>38.399065004952206</v>
      </c>
      <c r="E553" s="34"/>
    </row>
    <row r="554" spans="1:5" x14ac:dyDescent="0.25">
      <c r="A554" s="74"/>
      <c r="C554" t="s">
        <v>694</v>
      </c>
      <c r="D554">
        <v>35</v>
      </c>
      <c r="E554" s="34"/>
    </row>
    <row r="555" spans="1:5" x14ac:dyDescent="0.25">
      <c r="A555" s="74"/>
      <c r="C555" t="s">
        <v>695</v>
      </c>
      <c r="D555" s="51">
        <f>D554+D553</f>
        <v>73.399065004952206</v>
      </c>
      <c r="E555" s="34"/>
    </row>
    <row r="556" spans="1:5" x14ac:dyDescent="0.25">
      <c r="A556" s="74"/>
      <c r="C556" t="s">
        <v>696</v>
      </c>
      <c r="D556">
        <v>150</v>
      </c>
      <c r="E556" s="34"/>
    </row>
    <row r="557" spans="1:5" x14ac:dyDescent="0.25">
      <c r="A557" s="74"/>
      <c r="C557" t="s">
        <v>697</v>
      </c>
      <c r="D557" s="27" t="b">
        <f>D555&lt;D556/D4</f>
        <v>1</v>
      </c>
    </row>
    <row r="558" spans="1:5" x14ac:dyDescent="0.25">
      <c r="A558" s="74" t="s">
        <v>698</v>
      </c>
    </row>
    <row r="559" spans="1:5" x14ac:dyDescent="0.25">
      <c r="A559" s="74"/>
    </row>
    <row r="560" spans="1:5" x14ac:dyDescent="0.25">
      <c r="A560" s="74"/>
    </row>
    <row r="561" spans="1:4" x14ac:dyDescent="0.25">
      <c r="A561" s="74"/>
    </row>
    <row r="562" spans="1:4" x14ac:dyDescent="0.25">
      <c r="A562" s="73" t="s">
        <v>330</v>
      </c>
      <c r="B562" t="s">
        <v>39</v>
      </c>
      <c r="C562" t="s">
        <v>41</v>
      </c>
      <c r="D562">
        <f>D110</f>
        <v>0.5</v>
      </c>
    </row>
    <row r="563" spans="1:4" x14ac:dyDescent="0.25">
      <c r="A563" s="73"/>
      <c r="B563" t="s">
        <v>47</v>
      </c>
      <c r="D563">
        <f>D3</f>
        <v>16000</v>
      </c>
    </row>
    <row r="564" spans="1:4" x14ac:dyDescent="0.25">
      <c r="A564" s="73"/>
      <c r="B564" t="s">
        <v>231</v>
      </c>
      <c r="D564">
        <f>D234</f>
        <v>22.598870056497173</v>
      </c>
    </row>
    <row r="565" spans="1:4" x14ac:dyDescent="0.25">
      <c r="A565" s="73"/>
      <c r="C565" t="s">
        <v>334</v>
      </c>
      <c r="D565">
        <v>2</v>
      </c>
    </row>
    <row r="566" spans="1:4" x14ac:dyDescent="0.25">
      <c r="A566" s="73"/>
      <c r="C566" t="s">
        <v>336</v>
      </c>
      <c r="D566">
        <f>D565*D564</f>
        <v>45.197740112994346</v>
      </c>
    </row>
    <row r="567" spans="1:4" x14ac:dyDescent="0.25">
      <c r="A567" s="73"/>
      <c r="B567" t="s">
        <v>331</v>
      </c>
      <c r="C567" t="s">
        <v>332</v>
      </c>
      <c r="D567">
        <v>1E-3</v>
      </c>
    </row>
    <row r="568" spans="1:4" x14ac:dyDescent="0.25">
      <c r="A568" s="73"/>
      <c r="B568" t="s">
        <v>333</v>
      </c>
      <c r="C568" t="s">
        <v>335</v>
      </c>
      <c r="D568">
        <f>D567*D564</f>
        <v>2.2598870056497175E-2</v>
      </c>
    </row>
    <row r="569" spans="1:4" x14ac:dyDescent="0.25">
      <c r="A569" s="73"/>
      <c r="B569" t="s">
        <v>383</v>
      </c>
      <c r="C569" t="s">
        <v>384</v>
      </c>
      <c r="D569">
        <f>POWER(D564, 2)*D567/3</f>
        <v>0.17023630927681485</v>
      </c>
    </row>
    <row r="570" spans="1:4" x14ac:dyDescent="0.25">
      <c r="A570" s="73"/>
      <c r="B570" t="s">
        <v>338</v>
      </c>
      <c r="C570" t="s">
        <v>337</v>
      </c>
      <c r="D570">
        <f>POWER(D566, 2)*D567/3</f>
        <v>0.6809452371072594</v>
      </c>
    </row>
    <row r="571" spans="1:4" x14ac:dyDescent="0.25">
      <c r="A571" s="73"/>
      <c r="B571" t="s">
        <v>339</v>
      </c>
      <c r="C571" t="s">
        <v>335</v>
      </c>
      <c r="D571">
        <f>D564*D567</f>
        <v>2.2598870056497175E-2</v>
      </c>
    </row>
    <row r="572" spans="1:4" x14ac:dyDescent="0.25">
      <c r="A572" s="73"/>
      <c r="B572" t="s">
        <v>340</v>
      </c>
      <c r="C572" t="s">
        <v>341</v>
      </c>
      <c r="D572">
        <f>D566*D567</f>
        <v>4.519774011299435E-2</v>
      </c>
    </row>
    <row r="573" spans="1:4" x14ac:dyDescent="0.25">
      <c r="A573" s="73"/>
      <c r="C573" t="s">
        <v>342</v>
      </c>
      <c r="D573">
        <f>2.5</f>
        <v>2.5</v>
      </c>
    </row>
    <row r="574" spans="1:4" x14ac:dyDescent="0.25">
      <c r="A574" s="73"/>
      <c r="B574" t="s">
        <v>373</v>
      </c>
      <c r="C574" t="s">
        <v>374</v>
      </c>
      <c r="D574" s="4" t="s">
        <v>375</v>
      </c>
    </row>
    <row r="575" spans="1:4" x14ac:dyDescent="0.25">
      <c r="A575" s="73"/>
      <c r="B575" t="s">
        <v>347</v>
      </c>
      <c r="C575" t="s">
        <v>346</v>
      </c>
      <c r="D575" s="1">
        <v>2.5000000000000001E-4</v>
      </c>
    </row>
    <row r="576" spans="1:4" x14ac:dyDescent="0.25">
      <c r="A576" s="73"/>
      <c r="B576" t="s">
        <v>348</v>
      </c>
      <c r="C576" t="s">
        <v>349</v>
      </c>
      <c r="D576" s="1">
        <v>5.0000000000000001E-9</v>
      </c>
    </row>
    <row r="577" spans="1:5" x14ac:dyDescent="0.25">
      <c r="A577" s="73"/>
      <c r="B577" t="s">
        <v>351</v>
      </c>
      <c r="C577" t="s">
        <v>350</v>
      </c>
      <c r="D577" s="1">
        <v>10000000</v>
      </c>
      <c r="E577" t="s">
        <v>68</v>
      </c>
    </row>
    <row r="578" spans="1:5" x14ac:dyDescent="0.25">
      <c r="A578" s="73"/>
      <c r="B578" t="s">
        <v>352</v>
      </c>
      <c r="C578" t="s">
        <v>353</v>
      </c>
      <c r="D578" s="25">
        <v>7000</v>
      </c>
      <c r="E578" t="s">
        <v>357</v>
      </c>
    </row>
    <row r="579" spans="1:5" x14ac:dyDescent="0.25">
      <c r="A579" s="73"/>
      <c r="B579" t="s">
        <v>354</v>
      </c>
      <c r="C579" t="s">
        <v>355</v>
      </c>
      <c r="D579" s="1">
        <f>D578*1000</f>
        <v>7000000</v>
      </c>
      <c r="E579" t="s">
        <v>356</v>
      </c>
    </row>
    <row r="580" spans="1:5" x14ac:dyDescent="0.25">
      <c r="A580" s="73"/>
      <c r="B580" s="26" t="s">
        <v>358</v>
      </c>
      <c r="C580" t="s">
        <v>359</v>
      </c>
      <c r="D580" s="26">
        <v>70</v>
      </c>
      <c r="E580" t="s">
        <v>360</v>
      </c>
    </row>
    <row r="581" spans="1:5" x14ac:dyDescent="0.25">
      <c r="A581" s="73"/>
      <c r="C581" t="s">
        <v>361</v>
      </c>
      <c r="D581">
        <f>D573/D572</f>
        <v>55.3125</v>
      </c>
    </row>
    <row r="582" spans="1:5" x14ac:dyDescent="0.25">
      <c r="A582" s="73"/>
      <c r="B582" t="s">
        <v>376</v>
      </c>
      <c r="C582" t="s">
        <v>364</v>
      </c>
      <c r="D582">
        <f>D581-1</f>
        <v>54.3125</v>
      </c>
    </row>
    <row r="583" spans="1:5" x14ac:dyDescent="0.25">
      <c r="A583" s="73"/>
      <c r="B583" t="s">
        <v>377</v>
      </c>
      <c r="D583">
        <f>20*LOG10(D582)</f>
        <v>34.697995875854836</v>
      </c>
    </row>
    <row r="584" spans="1:5" x14ac:dyDescent="0.25">
      <c r="A584" s="73"/>
      <c r="B584" t="s">
        <v>343</v>
      </c>
      <c r="D584">
        <v>56000</v>
      </c>
    </row>
    <row r="585" spans="1:5" x14ac:dyDescent="0.25">
      <c r="A585" s="73"/>
      <c r="B585" t="s">
        <v>345</v>
      </c>
      <c r="D585">
        <f>D584/D582</f>
        <v>1031.0701956271575</v>
      </c>
    </row>
    <row r="586" spans="1:5" x14ac:dyDescent="0.25">
      <c r="A586" s="73"/>
      <c r="B586" t="s">
        <v>344</v>
      </c>
      <c r="C586" t="s">
        <v>362</v>
      </c>
      <c r="D586">
        <v>1000</v>
      </c>
    </row>
    <row r="587" spans="1:5" x14ac:dyDescent="0.25">
      <c r="A587" s="73"/>
      <c r="B587" t="s">
        <v>378</v>
      </c>
      <c r="C587" t="s">
        <v>363</v>
      </c>
      <c r="D587">
        <f>1+(D584/D586)</f>
        <v>57</v>
      </c>
    </row>
    <row r="588" spans="1:5" x14ac:dyDescent="0.25">
      <c r="A588" s="73"/>
      <c r="C588" t="s">
        <v>394</v>
      </c>
      <c r="D588">
        <v>1E-3</v>
      </c>
    </row>
    <row r="589" spans="1:5" x14ac:dyDescent="0.25">
      <c r="A589" s="73"/>
      <c r="B589" t="s">
        <v>395</v>
      </c>
      <c r="D589">
        <f>D584*(1+D588)</f>
        <v>56055.999999999993</v>
      </c>
    </row>
    <row r="590" spans="1:5" x14ac:dyDescent="0.25">
      <c r="A590" s="73"/>
      <c r="B590" t="s">
        <v>396</v>
      </c>
      <c r="D590">
        <f>D584*(1-D588)</f>
        <v>55944</v>
      </c>
    </row>
    <row r="591" spans="1:5" x14ac:dyDescent="0.25">
      <c r="A591" s="73"/>
      <c r="B591" t="s">
        <v>397</v>
      </c>
      <c r="D591">
        <f>D586*(1+D588)</f>
        <v>1000.9999999999999</v>
      </c>
    </row>
    <row r="592" spans="1:5" x14ac:dyDescent="0.25">
      <c r="A592" s="73"/>
      <c r="B592" t="s">
        <v>398</v>
      </c>
      <c r="D592">
        <f>D586*(1-D588)</f>
        <v>999</v>
      </c>
    </row>
    <row r="593" spans="1:5" x14ac:dyDescent="0.25">
      <c r="A593" s="73"/>
      <c r="B593" t="s">
        <v>392</v>
      </c>
      <c r="C593" t="s">
        <v>393</v>
      </c>
      <c r="D593">
        <f>1+(D589/D592)</f>
        <v>57.112112112112108</v>
      </c>
    </row>
    <row r="594" spans="1:5" x14ac:dyDescent="0.25">
      <c r="A594" s="73"/>
      <c r="B594" t="s">
        <v>399</v>
      </c>
      <c r="C594" t="s">
        <v>393</v>
      </c>
      <c r="D594">
        <f>1+(D590/D591)</f>
        <v>56.888111888111894</v>
      </c>
    </row>
    <row r="595" spans="1:5" x14ac:dyDescent="0.25">
      <c r="A595" s="73"/>
      <c r="C595" t="s">
        <v>400</v>
      </c>
      <c r="D595">
        <f>MAX(ABS((D593-D587)/D587), ABS((D594-D587)/D587))</f>
        <v>1.9668791598615406E-3</v>
      </c>
    </row>
    <row r="596" spans="1:5" x14ac:dyDescent="0.25">
      <c r="A596" s="73"/>
      <c r="C596" t="s">
        <v>401</v>
      </c>
      <c r="D596">
        <f>100*D595</f>
        <v>0.19668791598615407</v>
      </c>
      <c r="E596" t="s">
        <v>162</v>
      </c>
    </row>
    <row r="597" spans="1:5" x14ac:dyDescent="0.25">
      <c r="A597" s="73"/>
      <c r="B597" t="s">
        <v>379</v>
      </c>
      <c r="D597">
        <f>20*LOG10(D587)</f>
        <v>35.117497113449829</v>
      </c>
    </row>
    <row r="598" spans="1:5" x14ac:dyDescent="0.25">
      <c r="A598" s="73"/>
      <c r="C598" t="s">
        <v>368</v>
      </c>
      <c r="D598" t="b">
        <f>ABS((D587-D581)/D581)&lt;0.02</f>
        <v>0</v>
      </c>
    </row>
    <row r="599" spans="1:5" x14ac:dyDescent="0.25">
      <c r="A599" s="73"/>
      <c r="C599" t="s">
        <v>380</v>
      </c>
      <c r="D599" t="b">
        <f>D580&gt;D597</f>
        <v>1</v>
      </c>
    </row>
    <row r="600" spans="1:5" x14ac:dyDescent="0.25">
      <c r="A600" s="73"/>
      <c r="B600" t="s">
        <v>366</v>
      </c>
      <c r="C600" t="s">
        <v>365</v>
      </c>
      <c r="D600" s="1">
        <f>D575/D567</f>
        <v>0.25</v>
      </c>
    </row>
    <row r="601" spans="1:5" x14ac:dyDescent="0.25">
      <c r="A601" s="73"/>
      <c r="C601" t="s">
        <v>381</v>
      </c>
      <c r="D601" s="1">
        <f>D564/20</f>
        <v>1.1299435028248586</v>
      </c>
    </row>
    <row r="602" spans="1:5" x14ac:dyDescent="0.25">
      <c r="A602" s="73"/>
      <c r="C602" t="s">
        <v>382</v>
      </c>
      <c r="D602" s="1" t="b">
        <f>D600&lt;D601</f>
        <v>1</v>
      </c>
    </row>
    <row r="603" spans="1:5" x14ac:dyDescent="0.25">
      <c r="A603" s="73"/>
      <c r="B603" t="s">
        <v>367</v>
      </c>
      <c r="D603">
        <f>D577/D587</f>
        <v>175438.59649122806</v>
      </c>
    </row>
    <row r="604" spans="1:5" x14ac:dyDescent="0.25">
      <c r="A604" s="73"/>
      <c r="C604" t="s">
        <v>372</v>
      </c>
      <c r="D604">
        <f>D563*D587</f>
        <v>912000</v>
      </c>
    </row>
    <row r="605" spans="1:5" x14ac:dyDescent="0.25">
      <c r="A605" s="73"/>
      <c r="C605" t="s">
        <v>369</v>
      </c>
      <c r="D605" t="b">
        <f>D603&gt;=D3</f>
        <v>1</v>
      </c>
    </row>
    <row r="606" spans="1:5" x14ac:dyDescent="0.25">
      <c r="A606" s="73"/>
    </row>
    <row r="607" spans="1:5" x14ac:dyDescent="0.25">
      <c r="A607" s="73"/>
      <c r="C607" t="s">
        <v>370</v>
      </c>
      <c r="D607">
        <f>D573*D563/D562</f>
        <v>80000</v>
      </c>
      <c r="E607" t="s">
        <v>356</v>
      </c>
    </row>
    <row r="608" spans="1:5" x14ac:dyDescent="0.25">
      <c r="A608" s="73"/>
      <c r="C608" t="s">
        <v>370</v>
      </c>
      <c r="D608">
        <f>D607/1000</f>
        <v>80</v>
      </c>
      <c r="E608" t="s">
        <v>357</v>
      </c>
    </row>
    <row r="609" spans="1:5" x14ac:dyDescent="0.25">
      <c r="A609" s="73"/>
      <c r="C609" t="s">
        <v>371</v>
      </c>
      <c r="D609" t="b">
        <f>D607&lt;=D579</f>
        <v>1</v>
      </c>
    </row>
    <row r="610" spans="1:5" x14ac:dyDescent="0.25">
      <c r="A610" s="73"/>
      <c r="B610" t="s">
        <v>385</v>
      </c>
      <c r="D610">
        <f>(D584*D586)/(D584+D586)</f>
        <v>982.45614035087715</v>
      </c>
    </row>
    <row r="611" spans="1:5" x14ac:dyDescent="0.25">
      <c r="A611" s="73"/>
      <c r="B611" t="s">
        <v>386</v>
      </c>
      <c r="D611">
        <f>D567</f>
        <v>1E-3</v>
      </c>
    </row>
    <row r="612" spans="1:5" x14ac:dyDescent="0.25">
      <c r="A612" s="73"/>
    </row>
    <row r="613" spans="1:5" x14ac:dyDescent="0.25">
      <c r="A613" s="73"/>
    </row>
    <row r="614" spans="1:5" x14ac:dyDescent="0.25">
      <c r="A614" s="73"/>
      <c r="B614" t="s">
        <v>388</v>
      </c>
      <c r="C614" s="27" t="s">
        <v>387</v>
      </c>
      <c r="D614">
        <f>D576*(D610-D611)</f>
        <v>4.9122757017543856E-6</v>
      </c>
      <c r="E614" t="s">
        <v>21</v>
      </c>
    </row>
    <row r="615" spans="1:5" x14ac:dyDescent="0.25">
      <c r="A615" s="73"/>
      <c r="B615" t="s">
        <v>389</v>
      </c>
      <c r="C615" t="s">
        <v>390</v>
      </c>
      <c r="D615" s="1">
        <f>D587*D575</f>
        <v>1.4250000000000001E-2</v>
      </c>
    </row>
    <row r="616" spans="1:5" x14ac:dyDescent="0.25">
      <c r="A616" s="73"/>
      <c r="B616" t="s">
        <v>391</v>
      </c>
      <c r="D616" s="1">
        <f>D615+D614</f>
        <v>1.4254912275701755E-2</v>
      </c>
    </row>
    <row r="617" spans="1:5" x14ac:dyDescent="0.25">
      <c r="A617" s="73"/>
      <c r="B617" t="s">
        <v>402</v>
      </c>
      <c r="C617" t="s">
        <v>403</v>
      </c>
      <c r="D617">
        <f>D567*D587</f>
        <v>5.7000000000000002E-2</v>
      </c>
    </row>
    <row r="618" spans="1:5" x14ac:dyDescent="0.25">
      <c r="A618" s="73"/>
      <c r="B618" t="s">
        <v>404</v>
      </c>
      <c r="D618">
        <f>D617*D595</f>
        <v>1.1211211211210782E-4</v>
      </c>
    </row>
    <row r="619" spans="1:5" x14ac:dyDescent="0.25">
      <c r="A619" s="73"/>
      <c r="B619" t="s">
        <v>405</v>
      </c>
      <c r="D619" s="1">
        <f>D618+D616</f>
        <v>1.4367024387813862E-2</v>
      </c>
    </row>
    <row r="620" spans="1:5" x14ac:dyDescent="0.25">
      <c r="A620" s="73"/>
      <c r="B620" t="s">
        <v>406</v>
      </c>
      <c r="D620" s="1">
        <f>(D618*D564)+D616</f>
        <v>1.6788519329082721E-2</v>
      </c>
    </row>
    <row r="621" spans="1:5" x14ac:dyDescent="0.25">
      <c r="A621" s="73"/>
      <c r="B621" t="s">
        <v>407</v>
      </c>
      <c r="D621" s="1">
        <f>(D618*D566)+D616</f>
        <v>1.9322126382463688E-2</v>
      </c>
    </row>
    <row r="622" spans="1:5" x14ac:dyDescent="0.25">
      <c r="A622" s="73"/>
      <c r="C622" t="s">
        <v>408</v>
      </c>
      <c r="D622">
        <f>1/D617</f>
        <v>17.543859649122805</v>
      </c>
    </row>
    <row r="623" spans="1:5" x14ac:dyDescent="0.25">
      <c r="A623" s="73"/>
      <c r="B623" t="s">
        <v>409</v>
      </c>
      <c r="D623" s="1">
        <f>D619*D620</f>
        <v>2.4120106663621586E-4</v>
      </c>
    </row>
    <row r="624" spans="1:5" x14ac:dyDescent="0.25">
      <c r="A624" s="73"/>
      <c r="B624" t="s">
        <v>410</v>
      </c>
      <c r="D624" s="1">
        <f>D620*D622</f>
        <v>0.29453542682601264</v>
      </c>
    </row>
    <row r="625" spans="1:5" x14ac:dyDescent="0.25">
      <c r="A625" s="73"/>
      <c r="B625" t="s">
        <v>411</v>
      </c>
      <c r="D625" s="1">
        <f>D621*D622</f>
        <v>0.33898467337655586</v>
      </c>
    </row>
    <row r="626" spans="1:5" x14ac:dyDescent="0.25">
      <c r="A626" s="73"/>
      <c r="B626" t="s">
        <v>409</v>
      </c>
      <c r="D626" s="1">
        <f>D623*100</f>
        <v>2.4120106663621587E-2</v>
      </c>
      <c r="E626" t="s">
        <v>162</v>
      </c>
    </row>
    <row r="627" spans="1:5" x14ac:dyDescent="0.25">
      <c r="A627" s="73"/>
      <c r="B627" t="s">
        <v>410</v>
      </c>
      <c r="D627" s="1">
        <f>(D624/D564)*100</f>
        <v>1.3033192637051061</v>
      </c>
      <c r="E627" t="s">
        <v>162</v>
      </c>
    </row>
    <row r="628" spans="1:5" x14ac:dyDescent="0.25">
      <c r="A628" s="73"/>
      <c r="B628" t="s">
        <v>411</v>
      </c>
      <c r="D628">
        <f>(D625/D566)*100</f>
        <v>0.75000358984562998</v>
      </c>
      <c r="E628" t="s">
        <v>162</v>
      </c>
    </row>
    <row r="629" spans="1:5" x14ac:dyDescent="0.25">
      <c r="A629" s="44"/>
    </row>
    <row r="630" spans="1:5" x14ac:dyDescent="0.25">
      <c r="A630" s="74" t="s">
        <v>1009</v>
      </c>
      <c r="B630" t="s">
        <v>831</v>
      </c>
      <c r="C630" t="s">
        <v>804</v>
      </c>
      <c r="D630">
        <f>D114</f>
        <v>22.598870056497173</v>
      </c>
      <c r="E630" t="s">
        <v>20</v>
      </c>
    </row>
    <row r="631" spans="1:5" x14ac:dyDescent="0.25">
      <c r="A631" s="74"/>
      <c r="B631" t="s">
        <v>830</v>
      </c>
      <c r="D631" s="27">
        <f>D630/SQRT(3)</f>
        <v>13.047463710500017</v>
      </c>
      <c r="E631" t="s">
        <v>20</v>
      </c>
    </row>
    <row r="632" spans="1:5" ht="15.75" x14ac:dyDescent="0.3">
      <c r="A632" s="74"/>
      <c r="B632" s="46" t="s">
        <v>806</v>
      </c>
      <c r="C632" t="s">
        <v>805</v>
      </c>
      <c r="D632" s="52">
        <f xml:space="preserve"> 40</f>
        <v>40</v>
      </c>
      <c r="E632" t="s">
        <v>20</v>
      </c>
    </row>
    <row r="633" spans="1:5" ht="15.75" x14ac:dyDescent="0.3">
      <c r="A633" s="74"/>
      <c r="B633" s="46" t="s">
        <v>808</v>
      </c>
      <c r="C633" t="s">
        <v>807</v>
      </c>
      <c r="D633" s="9">
        <f>D632/SQRT(3)</f>
        <v>23.094010767585033</v>
      </c>
      <c r="E633" t="s">
        <v>20</v>
      </c>
    </row>
    <row r="634" spans="1:5" ht="15.75" x14ac:dyDescent="0.3">
      <c r="A634" s="74"/>
      <c r="B634" s="46" t="s">
        <v>793</v>
      </c>
      <c r="C634" t="s">
        <v>794</v>
      </c>
      <c r="D634" s="7">
        <f>D3</f>
        <v>16000</v>
      </c>
      <c r="E634" t="s">
        <v>68</v>
      </c>
    </row>
    <row r="635" spans="1:5" ht="15.75" x14ac:dyDescent="0.3">
      <c r="A635" s="74"/>
      <c r="B635" s="46" t="s">
        <v>795</v>
      </c>
      <c r="C635" t="s">
        <v>796</v>
      </c>
      <c r="D635" s="67">
        <v>200</v>
      </c>
    </row>
    <row r="636" spans="1:5" ht="15.75" x14ac:dyDescent="0.3">
      <c r="A636" s="74"/>
      <c r="B636" s="46" t="s">
        <v>820</v>
      </c>
      <c r="D636" s="9">
        <f>D630/D635</f>
        <v>0.11299435028248586</v>
      </c>
      <c r="E636" t="s">
        <v>20</v>
      </c>
    </row>
    <row r="637" spans="1:5" x14ac:dyDescent="0.25">
      <c r="A637" s="74"/>
      <c r="B637" t="s">
        <v>809</v>
      </c>
      <c r="D637" s="9">
        <f>D632/D635</f>
        <v>0.2</v>
      </c>
      <c r="E637" t="s">
        <v>20</v>
      </c>
    </row>
    <row r="638" spans="1:5" x14ac:dyDescent="0.25">
      <c r="A638" s="74"/>
      <c r="B638" t="s">
        <v>829</v>
      </c>
      <c r="D638" s="9">
        <f>D631/D635</f>
        <v>6.523731855250009E-2</v>
      </c>
      <c r="E638" t="s">
        <v>20</v>
      </c>
    </row>
    <row r="639" spans="1:5" x14ac:dyDescent="0.25">
      <c r="A639" s="74"/>
      <c r="B639" t="s">
        <v>810</v>
      </c>
      <c r="D639" s="9">
        <f>D633/D635</f>
        <v>0.11547005383792516</v>
      </c>
      <c r="E639" t="s">
        <v>20</v>
      </c>
    </row>
    <row r="640" spans="1:5" x14ac:dyDescent="0.25">
      <c r="A640" s="74"/>
      <c r="B640" t="s">
        <v>797</v>
      </c>
      <c r="C640" t="s">
        <v>811</v>
      </c>
      <c r="D640" s="67">
        <v>2</v>
      </c>
      <c r="E640" t="s">
        <v>21</v>
      </c>
    </row>
    <row r="641" spans="1:5" x14ac:dyDescent="0.25">
      <c r="A641" s="74"/>
      <c r="B641" t="s">
        <v>798</v>
      </c>
      <c r="C641" t="s">
        <v>799</v>
      </c>
      <c r="D641" s="52">
        <v>1.05</v>
      </c>
      <c r="E641" t="s">
        <v>21</v>
      </c>
    </row>
    <row r="642" spans="1:5" x14ac:dyDescent="0.25">
      <c r="A642" s="74"/>
      <c r="B642" t="s">
        <v>801</v>
      </c>
      <c r="C642" t="s">
        <v>800</v>
      </c>
      <c r="D642" s="27">
        <f>(D640)/D637</f>
        <v>10</v>
      </c>
      <c r="E642" s="8" t="s">
        <v>24</v>
      </c>
    </row>
    <row r="643" spans="1:5" x14ac:dyDescent="0.25">
      <c r="A643" s="74"/>
      <c r="B643" t="s">
        <v>802</v>
      </c>
      <c r="C643" t="s">
        <v>803</v>
      </c>
      <c r="D643" s="52">
        <f>D642</f>
        <v>10</v>
      </c>
      <c r="E643" s="8" t="s">
        <v>24</v>
      </c>
    </row>
    <row r="644" spans="1:5" x14ac:dyDescent="0.25">
      <c r="A644" s="74"/>
      <c r="B644" t="s">
        <v>815</v>
      </c>
      <c r="C644" t="s">
        <v>814</v>
      </c>
      <c r="D644" s="27">
        <f xml:space="preserve"> D637*D643</f>
        <v>2</v>
      </c>
      <c r="E644" t="s">
        <v>21</v>
      </c>
    </row>
    <row r="645" spans="1:5" x14ac:dyDescent="0.25">
      <c r="A645" s="74"/>
    </row>
    <row r="646" spans="1:5" x14ac:dyDescent="0.25">
      <c r="A646" s="74"/>
      <c r="B646" t="s">
        <v>817</v>
      </c>
      <c r="C646" t="s">
        <v>812</v>
      </c>
      <c r="D646" s="27">
        <f xml:space="preserve"> POWER(D637, 2)*D643</f>
        <v>0.40000000000000008</v>
      </c>
      <c r="E646" t="s">
        <v>22</v>
      </c>
    </row>
    <row r="647" spans="1:5" x14ac:dyDescent="0.25">
      <c r="A647" s="74"/>
      <c r="B647" t="s">
        <v>825</v>
      </c>
      <c r="C647" t="s">
        <v>828</v>
      </c>
      <c r="D647" s="27">
        <f>POWER(D639, 2)*D643</f>
        <v>0.13333333333333336</v>
      </c>
      <c r="E647" t="s">
        <v>22</v>
      </c>
    </row>
    <row r="648" spans="1:5" x14ac:dyDescent="0.25">
      <c r="A648" s="74"/>
      <c r="B648" t="s">
        <v>819</v>
      </c>
      <c r="C648" t="s">
        <v>818</v>
      </c>
      <c r="D648" s="27">
        <f>POWER(D636, 2)*D643</f>
        <v>0.12767723195761113</v>
      </c>
      <c r="E648" t="s">
        <v>22</v>
      </c>
    </row>
    <row r="649" spans="1:5" x14ac:dyDescent="0.25">
      <c r="A649" s="74"/>
      <c r="B649" t="s">
        <v>826</v>
      </c>
      <c r="C649" t="s">
        <v>827</v>
      </c>
      <c r="D649" s="27">
        <f>POWER(D638, 2)*D643</f>
        <v>4.255907731920372E-2</v>
      </c>
      <c r="E649" t="s">
        <v>22</v>
      </c>
    </row>
    <row r="650" spans="1:5" x14ac:dyDescent="0.25">
      <c r="A650" s="74"/>
      <c r="B650" t="s">
        <v>816</v>
      </c>
      <c r="C650" t="s">
        <v>813</v>
      </c>
      <c r="D650" s="27">
        <f>D641*D637</f>
        <v>0.21000000000000002</v>
      </c>
      <c r="E650" t="s">
        <v>22</v>
      </c>
    </row>
    <row r="651" spans="1:5" x14ac:dyDescent="0.25">
      <c r="A651" s="74"/>
      <c r="B651" t="s">
        <v>821</v>
      </c>
      <c r="C651" t="s">
        <v>822</v>
      </c>
      <c r="D651" s="27">
        <f>D641*D636</f>
        <v>0.11864406779661016</v>
      </c>
    </row>
    <row r="652" spans="1:5" x14ac:dyDescent="0.25">
      <c r="A652" s="74"/>
      <c r="D652" s="27"/>
    </row>
    <row r="653" spans="1:5" x14ac:dyDescent="0.25">
      <c r="A653" s="74"/>
      <c r="B653" t="s">
        <v>832</v>
      </c>
      <c r="C653" t="s">
        <v>833</v>
      </c>
      <c r="D653" s="27">
        <f>D643+(2*(D641/D637))</f>
        <v>20.5</v>
      </c>
      <c r="E653" s="8" t="s">
        <v>24</v>
      </c>
    </row>
    <row r="654" spans="1:5" x14ac:dyDescent="0.25">
      <c r="A654" s="74"/>
      <c r="B654" t="s">
        <v>823</v>
      </c>
      <c r="C654" t="s">
        <v>824</v>
      </c>
      <c r="D654" s="27">
        <f>D636*D643</f>
        <v>1.1299435028248586</v>
      </c>
      <c r="E654" t="s">
        <v>21</v>
      </c>
    </row>
    <row r="655" spans="1:5" x14ac:dyDescent="0.25">
      <c r="A655" s="74"/>
      <c r="B655" t="s">
        <v>834</v>
      </c>
      <c r="C655" t="s">
        <v>835</v>
      </c>
      <c r="D655" s="27">
        <f>D637</f>
        <v>0.2</v>
      </c>
    </row>
    <row r="656" spans="1:5" x14ac:dyDescent="0.25">
      <c r="A656" s="74"/>
      <c r="B656" t="s">
        <v>836</v>
      </c>
      <c r="C656" t="s">
        <v>837</v>
      </c>
      <c r="D656" t="s">
        <v>510</v>
      </c>
    </row>
    <row r="657" spans="1:102" x14ac:dyDescent="0.25">
      <c r="A657" s="74"/>
      <c r="B657" t="s">
        <v>838</v>
      </c>
      <c r="C657" t="s">
        <v>839</v>
      </c>
    </row>
    <row r="658" spans="1:102" x14ac:dyDescent="0.25">
      <c r="A658" s="74"/>
      <c r="B658" t="s">
        <v>840</v>
      </c>
      <c r="C658" t="s">
        <v>841</v>
      </c>
      <c r="D658" s="52">
        <v>100</v>
      </c>
      <c r="E658" s="8" t="s">
        <v>24</v>
      </c>
    </row>
    <row r="659" spans="1:102" x14ac:dyDescent="0.25">
      <c r="A659" s="74"/>
      <c r="B659" t="s">
        <v>842</v>
      </c>
      <c r="D659">
        <f xml:space="preserve"> (1/D634)/2</f>
        <v>3.1250000000000001E-5</v>
      </c>
      <c r="E659" s="8"/>
    </row>
    <row r="660" spans="1:102" x14ac:dyDescent="0.25">
      <c r="A660" s="74"/>
      <c r="B660" t="s">
        <v>843</v>
      </c>
      <c r="C660" t="s">
        <v>844</v>
      </c>
      <c r="D660">
        <v>100</v>
      </c>
      <c r="E660" s="8"/>
    </row>
    <row r="661" spans="1:102" x14ac:dyDescent="0.25">
      <c r="A661" s="74"/>
      <c r="B661" t="s">
        <v>693</v>
      </c>
      <c r="C661" t="s">
        <v>845</v>
      </c>
      <c r="D661">
        <f>D659/D660</f>
        <v>3.1250000000000003E-7</v>
      </c>
      <c r="E661" s="8"/>
    </row>
    <row r="662" spans="1:102" x14ac:dyDescent="0.25">
      <c r="A662" s="74"/>
      <c r="B662" t="s">
        <v>848</v>
      </c>
      <c r="C662">
        <f>D632</f>
        <v>40</v>
      </c>
      <c r="D662">
        <f>D632</f>
        <v>40</v>
      </c>
      <c r="E662" s="8">
        <f>D662</f>
        <v>40</v>
      </c>
      <c r="F662">
        <f>E662</f>
        <v>40</v>
      </c>
      <c r="G662">
        <f t="shared" ref="G662:BR662" si="35">F662</f>
        <v>40</v>
      </c>
      <c r="H662">
        <f t="shared" si="35"/>
        <v>40</v>
      </c>
      <c r="I662">
        <f t="shared" si="35"/>
        <v>40</v>
      </c>
      <c r="J662">
        <f t="shared" si="35"/>
        <v>40</v>
      </c>
      <c r="K662">
        <f t="shared" si="35"/>
        <v>40</v>
      </c>
      <c r="L662">
        <f t="shared" si="35"/>
        <v>40</v>
      </c>
      <c r="M662">
        <f t="shared" si="35"/>
        <v>40</v>
      </c>
      <c r="N662">
        <f t="shared" si="35"/>
        <v>40</v>
      </c>
      <c r="O662">
        <f t="shared" si="35"/>
        <v>40</v>
      </c>
      <c r="P662">
        <f t="shared" si="35"/>
        <v>40</v>
      </c>
      <c r="Q662">
        <f t="shared" si="35"/>
        <v>40</v>
      </c>
      <c r="R662">
        <f t="shared" si="35"/>
        <v>40</v>
      </c>
      <c r="S662">
        <f t="shared" si="35"/>
        <v>40</v>
      </c>
      <c r="T662">
        <f t="shared" si="35"/>
        <v>40</v>
      </c>
      <c r="U662">
        <f t="shared" si="35"/>
        <v>40</v>
      </c>
      <c r="V662">
        <f t="shared" si="35"/>
        <v>40</v>
      </c>
      <c r="W662">
        <f t="shared" si="35"/>
        <v>40</v>
      </c>
      <c r="X662">
        <f t="shared" si="35"/>
        <v>40</v>
      </c>
      <c r="Y662">
        <f t="shared" si="35"/>
        <v>40</v>
      </c>
      <c r="Z662">
        <f t="shared" si="35"/>
        <v>40</v>
      </c>
      <c r="AA662">
        <f t="shared" si="35"/>
        <v>40</v>
      </c>
      <c r="AB662">
        <f t="shared" si="35"/>
        <v>40</v>
      </c>
      <c r="AC662">
        <f t="shared" si="35"/>
        <v>40</v>
      </c>
      <c r="AD662">
        <f t="shared" si="35"/>
        <v>40</v>
      </c>
      <c r="AE662">
        <f t="shared" si="35"/>
        <v>40</v>
      </c>
      <c r="AF662">
        <f t="shared" si="35"/>
        <v>40</v>
      </c>
      <c r="AG662">
        <f t="shared" si="35"/>
        <v>40</v>
      </c>
      <c r="AH662">
        <f t="shared" si="35"/>
        <v>40</v>
      </c>
      <c r="AI662">
        <f t="shared" si="35"/>
        <v>40</v>
      </c>
      <c r="AJ662">
        <f t="shared" si="35"/>
        <v>40</v>
      </c>
      <c r="AK662">
        <f t="shared" si="35"/>
        <v>40</v>
      </c>
      <c r="AL662">
        <f t="shared" si="35"/>
        <v>40</v>
      </c>
      <c r="AM662">
        <f t="shared" si="35"/>
        <v>40</v>
      </c>
      <c r="AN662">
        <f t="shared" si="35"/>
        <v>40</v>
      </c>
      <c r="AO662">
        <f t="shared" si="35"/>
        <v>40</v>
      </c>
      <c r="AP662">
        <f t="shared" si="35"/>
        <v>40</v>
      </c>
      <c r="AQ662">
        <f t="shared" si="35"/>
        <v>40</v>
      </c>
      <c r="AR662">
        <f t="shared" si="35"/>
        <v>40</v>
      </c>
      <c r="AS662">
        <f t="shared" si="35"/>
        <v>40</v>
      </c>
      <c r="AT662">
        <f t="shared" si="35"/>
        <v>40</v>
      </c>
      <c r="AU662">
        <f t="shared" si="35"/>
        <v>40</v>
      </c>
      <c r="AV662">
        <f t="shared" si="35"/>
        <v>40</v>
      </c>
      <c r="AW662">
        <f t="shared" si="35"/>
        <v>40</v>
      </c>
      <c r="AX662">
        <f t="shared" si="35"/>
        <v>40</v>
      </c>
      <c r="AY662">
        <f t="shared" si="35"/>
        <v>40</v>
      </c>
      <c r="AZ662">
        <f t="shared" si="35"/>
        <v>40</v>
      </c>
      <c r="BA662">
        <f t="shared" si="35"/>
        <v>40</v>
      </c>
      <c r="BB662">
        <f t="shared" si="35"/>
        <v>40</v>
      </c>
      <c r="BC662">
        <f t="shared" si="35"/>
        <v>40</v>
      </c>
      <c r="BD662">
        <f t="shared" si="35"/>
        <v>40</v>
      </c>
      <c r="BE662">
        <f t="shared" si="35"/>
        <v>40</v>
      </c>
      <c r="BF662">
        <f t="shared" si="35"/>
        <v>40</v>
      </c>
      <c r="BG662">
        <f t="shared" si="35"/>
        <v>40</v>
      </c>
      <c r="BH662">
        <f t="shared" si="35"/>
        <v>40</v>
      </c>
      <c r="BI662">
        <f t="shared" si="35"/>
        <v>40</v>
      </c>
      <c r="BJ662">
        <f t="shared" si="35"/>
        <v>40</v>
      </c>
      <c r="BK662">
        <f t="shared" si="35"/>
        <v>40</v>
      </c>
      <c r="BL662">
        <f t="shared" si="35"/>
        <v>40</v>
      </c>
      <c r="BM662">
        <f t="shared" si="35"/>
        <v>40</v>
      </c>
      <c r="BN662">
        <f t="shared" si="35"/>
        <v>40</v>
      </c>
      <c r="BO662">
        <f t="shared" si="35"/>
        <v>40</v>
      </c>
      <c r="BP662">
        <f t="shared" si="35"/>
        <v>40</v>
      </c>
      <c r="BQ662">
        <f t="shared" si="35"/>
        <v>40</v>
      </c>
      <c r="BR662">
        <f t="shared" si="35"/>
        <v>40</v>
      </c>
      <c r="BS662">
        <f t="shared" ref="BS662:CX662" si="36">BR662</f>
        <v>40</v>
      </c>
      <c r="BT662">
        <f t="shared" si="36"/>
        <v>40</v>
      </c>
      <c r="BU662">
        <f t="shared" si="36"/>
        <v>40</v>
      </c>
      <c r="BV662">
        <f t="shared" si="36"/>
        <v>40</v>
      </c>
      <c r="BW662">
        <f t="shared" si="36"/>
        <v>40</v>
      </c>
      <c r="BX662">
        <f t="shared" si="36"/>
        <v>40</v>
      </c>
      <c r="BY662">
        <f t="shared" si="36"/>
        <v>40</v>
      </c>
      <c r="BZ662">
        <f t="shared" si="36"/>
        <v>40</v>
      </c>
      <c r="CA662">
        <f t="shared" si="36"/>
        <v>40</v>
      </c>
      <c r="CB662">
        <f t="shared" si="36"/>
        <v>40</v>
      </c>
      <c r="CC662">
        <f t="shared" si="36"/>
        <v>40</v>
      </c>
      <c r="CD662">
        <f t="shared" si="36"/>
        <v>40</v>
      </c>
      <c r="CE662">
        <f t="shared" si="36"/>
        <v>40</v>
      </c>
      <c r="CF662">
        <f t="shared" si="36"/>
        <v>40</v>
      </c>
      <c r="CG662">
        <f t="shared" si="36"/>
        <v>40</v>
      </c>
      <c r="CH662">
        <f t="shared" si="36"/>
        <v>40</v>
      </c>
      <c r="CI662">
        <f t="shared" si="36"/>
        <v>40</v>
      </c>
      <c r="CJ662">
        <f t="shared" si="36"/>
        <v>40</v>
      </c>
      <c r="CK662">
        <f t="shared" si="36"/>
        <v>40</v>
      </c>
      <c r="CL662">
        <f t="shared" si="36"/>
        <v>40</v>
      </c>
      <c r="CM662">
        <f t="shared" si="36"/>
        <v>40</v>
      </c>
      <c r="CN662">
        <f t="shared" si="36"/>
        <v>40</v>
      </c>
      <c r="CO662">
        <f t="shared" si="36"/>
        <v>40</v>
      </c>
      <c r="CP662">
        <f t="shared" si="36"/>
        <v>40</v>
      </c>
      <c r="CQ662">
        <f t="shared" si="36"/>
        <v>40</v>
      </c>
      <c r="CR662">
        <f t="shared" si="36"/>
        <v>40</v>
      </c>
      <c r="CS662">
        <f t="shared" si="36"/>
        <v>40</v>
      </c>
      <c r="CT662">
        <f t="shared" si="36"/>
        <v>40</v>
      </c>
      <c r="CU662">
        <f t="shared" si="36"/>
        <v>40</v>
      </c>
      <c r="CV662">
        <f t="shared" si="36"/>
        <v>40</v>
      </c>
      <c r="CW662">
        <f t="shared" si="36"/>
        <v>40</v>
      </c>
      <c r="CX662">
        <f t="shared" si="36"/>
        <v>40</v>
      </c>
    </row>
    <row r="663" spans="1:102" x14ac:dyDescent="0.25">
      <c r="A663" s="74"/>
      <c r="B663" t="s">
        <v>846</v>
      </c>
      <c r="C663">
        <v>1</v>
      </c>
      <c r="D663">
        <v>2</v>
      </c>
      <c r="E663" s="8">
        <v>3</v>
      </c>
      <c r="F663">
        <v>4</v>
      </c>
      <c r="G663" s="8">
        <v>5</v>
      </c>
      <c r="H663">
        <v>6</v>
      </c>
      <c r="I663" s="8">
        <v>7</v>
      </c>
      <c r="J663">
        <v>8</v>
      </c>
      <c r="K663" s="8">
        <v>9</v>
      </c>
      <c r="L663">
        <v>10</v>
      </c>
      <c r="M663" s="8">
        <v>11</v>
      </c>
      <c r="N663">
        <v>12</v>
      </c>
      <c r="O663" s="8">
        <v>13</v>
      </c>
      <c r="P663">
        <v>14</v>
      </c>
      <c r="Q663" s="8">
        <v>15</v>
      </c>
      <c r="R663">
        <v>16</v>
      </c>
      <c r="S663" s="8">
        <v>17</v>
      </c>
      <c r="T663">
        <v>18</v>
      </c>
      <c r="U663" s="8">
        <v>19</v>
      </c>
      <c r="V663">
        <v>20</v>
      </c>
      <c r="W663" s="8">
        <v>21</v>
      </c>
      <c r="X663">
        <v>22</v>
      </c>
      <c r="Y663" s="8">
        <v>23</v>
      </c>
      <c r="Z663">
        <v>24</v>
      </c>
      <c r="AA663" s="8">
        <v>25</v>
      </c>
      <c r="AB663">
        <v>26</v>
      </c>
      <c r="AC663" s="8">
        <v>27</v>
      </c>
      <c r="AD663">
        <v>28</v>
      </c>
      <c r="AE663" s="8">
        <v>29</v>
      </c>
      <c r="AF663">
        <v>30</v>
      </c>
      <c r="AG663" s="8">
        <v>31</v>
      </c>
      <c r="AH663">
        <v>32</v>
      </c>
      <c r="AI663" s="8">
        <v>33</v>
      </c>
      <c r="AJ663">
        <v>34</v>
      </c>
      <c r="AK663" s="8">
        <v>35</v>
      </c>
      <c r="AL663">
        <v>36</v>
      </c>
      <c r="AM663" s="8">
        <v>37</v>
      </c>
      <c r="AN663">
        <v>38</v>
      </c>
      <c r="AO663" s="8">
        <v>39</v>
      </c>
      <c r="AP663">
        <v>40</v>
      </c>
      <c r="AQ663" s="8">
        <v>41</v>
      </c>
      <c r="AR663">
        <v>42</v>
      </c>
      <c r="AS663" s="8">
        <v>43</v>
      </c>
      <c r="AT663">
        <v>44</v>
      </c>
      <c r="AU663" s="8">
        <v>45</v>
      </c>
      <c r="AV663">
        <v>46</v>
      </c>
      <c r="AW663" s="8">
        <v>47</v>
      </c>
      <c r="AX663">
        <v>48</v>
      </c>
      <c r="AY663" s="8">
        <v>49</v>
      </c>
      <c r="AZ663">
        <v>50</v>
      </c>
      <c r="BA663" s="8">
        <v>51</v>
      </c>
      <c r="BB663">
        <v>52</v>
      </c>
      <c r="BC663" s="8">
        <v>53</v>
      </c>
      <c r="BD663">
        <v>54</v>
      </c>
      <c r="BE663" s="8">
        <v>55</v>
      </c>
      <c r="BF663">
        <v>56</v>
      </c>
      <c r="BG663" s="8">
        <v>57</v>
      </c>
      <c r="BH663">
        <v>58</v>
      </c>
      <c r="BI663" s="8">
        <v>59</v>
      </c>
      <c r="BJ663">
        <v>60</v>
      </c>
      <c r="BK663" s="8">
        <v>61</v>
      </c>
      <c r="BL663">
        <v>62</v>
      </c>
      <c r="BM663" s="8">
        <v>63</v>
      </c>
      <c r="BN663">
        <v>64</v>
      </c>
      <c r="BO663" s="8">
        <v>65</v>
      </c>
      <c r="BP663">
        <v>66</v>
      </c>
      <c r="BQ663" s="8">
        <v>67</v>
      </c>
      <c r="BR663">
        <v>68</v>
      </c>
      <c r="BS663" s="8">
        <v>69</v>
      </c>
      <c r="BT663">
        <v>70</v>
      </c>
      <c r="BU663" s="8">
        <v>71</v>
      </c>
      <c r="BV663">
        <v>72</v>
      </c>
      <c r="BW663" s="8">
        <v>73</v>
      </c>
      <c r="BX663">
        <v>74</v>
      </c>
      <c r="BY663" s="8">
        <v>75</v>
      </c>
      <c r="BZ663">
        <v>76</v>
      </c>
      <c r="CA663" s="8">
        <v>77</v>
      </c>
      <c r="CB663">
        <v>78</v>
      </c>
      <c r="CC663" s="8">
        <v>79</v>
      </c>
      <c r="CD663">
        <v>80</v>
      </c>
      <c r="CE663" s="8">
        <v>81</v>
      </c>
      <c r="CF663">
        <v>82</v>
      </c>
      <c r="CG663" s="8">
        <v>83</v>
      </c>
      <c r="CH663">
        <v>84</v>
      </c>
      <c r="CI663" s="8">
        <v>85</v>
      </c>
      <c r="CJ663">
        <v>86</v>
      </c>
      <c r="CK663" s="8">
        <v>87</v>
      </c>
      <c r="CL663">
        <v>88</v>
      </c>
      <c r="CM663" s="8">
        <v>89</v>
      </c>
      <c r="CN663">
        <v>90</v>
      </c>
      <c r="CO663" s="8">
        <v>91</v>
      </c>
      <c r="CP663">
        <v>92</v>
      </c>
      <c r="CQ663" s="8">
        <v>93</v>
      </c>
      <c r="CR663">
        <v>94</v>
      </c>
      <c r="CS663" s="8">
        <v>95</v>
      </c>
      <c r="CT663">
        <v>96</v>
      </c>
      <c r="CU663" s="8">
        <v>97</v>
      </c>
      <c r="CV663">
        <v>98</v>
      </c>
      <c r="CW663" s="8">
        <v>99</v>
      </c>
      <c r="CX663">
        <v>100</v>
      </c>
    </row>
    <row r="664" spans="1:102" x14ac:dyDescent="0.25">
      <c r="A664" s="74"/>
      <c r="B664" t="s">
        <v>847</v>
      </c>
      <c r="C664">
        <f>(C663/50)*C662</f>
        <v>0.8</v>
      </c>
      <c r="D664">
        <f>(D663/50)*D662</f>
        <v>1.6</v>
      </c>
      <c r="E664">
        <f t="shared" ref="E664:AZ664" si="37">(E663/50)*E662</f>
        <v>2.4</v>
      </c>
      <c r="F664">
        <f t="shared" si="37"/>
        <v>3.2</v>
      </c>
      <c r="G664">
        <f t="shared" si="37"/>
        <v>4</v>
      </c>
      <c r="H664">
        <f t="shared" si="37"/>
        <v>4.8</v>
      </c>
      <c r="I664">
        <f t="shared" si="37"/>
        <v>5.6000000000000005</v>
      </c>
      <c r="J664">
        <f t="shared" si="37"/>
        <v>6.4</v>
      </c>
      <c r="K664">
        <f t="shared" si="37"/>
        <v>7.1999999999999993</v>
      </c>
      <c r="L664">
        <f t="shared" si="37"/>
        <v>8</v>
      </c>
      <c r="M664">
        <f t="shared" si="37"/>
        <v>8.8000000000000007</v>
      </c>
      <c r="N664">
        <f t="shared" si="37"/>
        <v>9.6</v>
      </c>
      <c r="O664">
        <f t="shared" si="37"/>
        <v>10.4</v>
      </c>
      <c r="P664">
        <f t="shared" si="37"/>
        <v>11.200000000000001</v>
      </c>
      <c r="Q664">
        <f t="shared" si="37"/>
        <v>12</v>
      </c>
      <c r="R664">
        <f t="shared" si="37"/>
        <v>12.8</v>
      </c>
      <c r="S664">
        <f t="shared" si="37"/>
        <v>13.600000000000001</v>
      </c>
      <c r="T664">
        <f t="shared" si="37"/>
        <v>14.399999999999999</v>
      </c>
      <c r="U664">
        <f t="shared" si="37"/>
        <v>15.2</v>
      </c>
      <c r="V664">
        <f t="shared" si="37"/>
        <v>16</v>
      </c>
      <c r="W664">
        <f t="shared" si="37"/>
        <v>16.8</v>
      </c>
      <c r="X664">
        <f t="shared" si="37"/>
        <v>17.600000000000001</v>
      </c>
      <c r="Y664">
        <f t="shared" si="37"/>
        <v>18.400000000000002</v>
      </c>
      <c r="Z664">
        <f t="shared" si="37"/>
        <v>19.2</v>
      </c>
      <c r="AA664">
        <f t="shared" si="37"/>
        <v>20</v>
      </c>
      <c r="AB664">
        <f t="shared" si="37"/>
        <v>20.8</v>
      </c>
      <c r="AC664">
        <f t="shared" si="37"/>
        <v>21.6</v>
      </c>
      <c r="AD664">
        <f t="shared" si="37"/>
        <v>22.400000000000002</v>
      </c>
      <c r="AE664">
        <f t="shared" si="37"/>
        <v>23.2</v>
      </c>
      <c r="AF664">
        <f t="shared" si="37"/>
        <v>24</v>
      </c>
      <c r="AG664">
        <f t="shared" si="37"/>
        <v>24.8</v>
      </c>
      <c r="AH664">
        <f t="shared" si="37"/>
        <v>25.6</v>
      </c>
      <c r="AI664">
        <f t="shared" si="37"/>
        <v>26.400000000000002</v>
      </c>
      <c r="AJ664">
        <f t="shared" si="37"/>
        <v>27.200000000000003</v>
      </c>
      <c r="AK664">
        <f t="shared" si="37"/>
        <v>28</v>
      </c>
      <c r="AL664">
        <f t="shared" si="37"/>
        <v>28.799999999999997</v>
      </c>
      <c r="AM664">
        <f t="shared" si="37"/>
        <v>29.6</v>
      </c>
      <c r="AN664">
        <f t="shared" si="37"/>
        <v>30.4</v>
      </c>
      <c r="AO664">
        <f t="shared" si="37"/>
        <v>31.200000000000003</v>
      </c>
      <c r="AP664">
        <f t="shared" si="37"/>
        <v>32</v>
      </c>
      <c r="AQ664">
        <f t="shared" si="37"/>
        <v>32.799999999999997</v>
      </c>
      <c r="AR664">
        <f t="shared" si="37"/>
        <v>33.6</v>
      </c>
      <c r="AS664">
        <f t="shared" si="37"/>
        <v>34.4</v>
      </c>
      <c r="AT664">
        <f t="shared" si="37"/>
        <v>35.200000000000003</v>
      </c>
      <c r="AU664">
        <f t="shared" si="37"/>
        <v>36</v>
      </c>
      <c r="AV664">
        <f t="shared" si="37"/>
        <v>36.800000000000004</v>
      </c>
      <c r="AW664">
        <f t="shared" si="37"/>
        <v>37.599999999999994</v>
      </c>
      <c r="AX664">
        <f t="shared" si="37"/>
        <v>38.4</v>
      </c>
      <c r="AY664">
        <f t="shared" si="37"/>
        <v>39.200000000000003</v>
      </c>
      <c r="AZ664">
        <f t="shared" si="37"/>
        <v>40</v>
      </c>
      <c r="BA664">
        <f>(((100-BA663)/50)*BA662)</f>
        <v>39.200000000000003</v>
      </c>
      <c r="BB664">
        <f t="shared" ref="BB664:BD664" si="38">(((100-BB663)/50)*BB662)</f>
        <v>38.4</v>
      </c>
      <c r="BC664">
        <f t="shared" si="38"/>
        <v>37.599999999999994</v>
      </c>
      <c r="BD664">
        <f t="shared" si="38"/>
        <v>36.800000000000004</v>
      </c>
      <c r="BE664">
        <f t="shared" ref="BE664" si="39">(((100-BE663)/50)*BE662)</f>
        <v>36</v>
      </c>
      <c r="BF664">
        <f t="shared" ref="BF664:BG664" si="40">(((100-BF663)/50)*BF662)</f>
        <v>35.200000000000003</v>
      </c>
      <c r="BG664">
        <f t="shared" si="40"/>
        <v>34.4</v>
      </c>
      <c r="BH664">
        <f t="shared" ref="BH664" si="41">(((100-BH663)/50)*BH662)</f>
        <v>33.6</v>
      </c>
      <c r="BI664">
        <f t="shared" ref="BI664:BJ664" si="42">(((100-BI663)/50)*BI662)</f>
        <v>32.799999999999997</v>
      </c>
      <c r="BJ664">
        <f t="shared" si="42"/>
        <v>32</v>
      </c>
      <c r="BK664">
        <f t="shared" ref="BK664" si="43">(((100-BK663)/50)*BK662)</f>
        <v>31.200000000000003</v>
      </c>
      <c r="BL664">
        <f t="shared" ref="BL664:BM664" si="44">(((100-BL663)/50)*BL662)</f>
        <v>30.4</v>
      </c>
      <c r="BM664">
        <f t="shared" si="44"/>
        <v>29.6</v>
      </c>
      <c r="BN664">
        <f t="shared" ref="BN664" si="45">(((100-BN663)/50)*BN662)</f>
        <v>28.799999999999997</v>
      </c>
      <c r="BO664">
        <f t="shared" ref="BO664:BP664" si="46">(((100-BO663)/50)*BO662)</f>
        <v>28</v>
      </c>
      <c r="BP664">
        <f t="shared" si="46"/>
        <v>27.200000000000003</v>
      </c>
      <c r="BQ664">
        <f t="shared" ref="BQ664" si="47">(((100-BQ663)/50)*BQ662)</f>
        <v>26.400000000000002</v>
      </c>
      <c r="BR664">
        <f t="shared" ref="BR664:BS664" si="48">(((100-BR663)/50)*BR662)</f>
        <v>25.6</v>
      </c>
      <c r="BS664">
        <f t="shared" si="48"/>
        <v>24.8</v>
      </c>
      <c r="BT664">
        <f t="shared" ref="BT664" si="49">(((100-BT663)/50)*BT662)</f>
        <v>24</v>
      </c>
      <c r="BU664">
        <f t="shared" ref="BU664:BV664" si="50">(((100-BU663)/50)*BU662)</f>
        <v>23.2</v>
      </c>
      <c r="BV664">
        <f t="shared" si="50"/>
        <v>22.400000000000002</v>
      </c>
      <c r="BW664">
        <f t="shared" ref="BW664" si="51">(((100-BW663)/50)*BW662)</f>
        <v>21.6</v>
      </c>
      <c r="BX664">
        <f t="shared" ref="BX664:BY664" si="52">(((100-BX663)/50)*BX662)</f>
        <v>20.8</v>
      </c>
      <c r="BY664">
        <f t="shared" si="52"/>
        <v>20</v>
      </c>
      <c r="BZ664">
        <f t="shared" ref="BZ664" si="53">(((100-BZ663)/50)*BZ662)</f>
        <v>19.2</v>
      </c>
      <c r="CA664">
        <f t="shared" ref="CA664:CB664" si="54">(((100-CA663)/50)*CA662)</f>
        <v>18.400000000000002</v>
      </c>
      <c r="CB664">
        <f t="shared" si="54"/>
        <v>17.600000000000001</v>
      </c>
      <c r="CC664">
        <f t="shared" ref="CC664" si="55">(((100-CC663)/50)*CC662)</f>
        <v>16.8</v>
      </c>
      <c r="CD664">
        <f t="shared" ref="CD664:CE664" si="56">(((100-CD663)/50)*CD662)</f>
        <v>16</v>
      </c>
      <c r="CE664">
        <f t="shared" si="56"/>
        <v>15.2</v>
      </c>
      <c r="CF664">
        <f t="shared" ref="CF664" si="57">(((100-CF663)/50)*CF662)</f>
        <v>14.399999999999999</v>
      </c>
      <c r="CG664">
        <f t="shared" ref="CG664:CH664" si="58">(((100-CG663)/50)*CG662)</f>
        <v>13.600000000000001</v>
      </c>
      <c r="CH664">
        <f t="shared" si="58"/>
        <v>12.8</v>
      </c>
      <c r="CI664">
        <f t="shared" ref="CI664" si="59">(((100-CI663)/50)*CI662)</f>
        <v>12</v>
      </c>
      <c r="CJ664">
        <f t="shared" ref="CJ664:CK664" si="60">(((100-CJ663)/50)*CJ662)</f>
        <v>11.200000000000001</v>
      </c>
      <c r="CK664">
        <f t="shared" si="60"/>
        <v>10.4</v>
      </c>
      <c r="CL664">
        <f t="shared" ref="CL664" si="61">(((100-CL663)/50)*CL662)</f>
        <v>9.6</v>
      </c>
      <c r="CM664">
        <f t="shared" ref="CM664:CN664" si="62">(((100-CM663)/50)*CM662)</f>
        <v>8.8000000000000007</v>
      </c>
      <c r="CN664">
        <f t="shared" si="62"/>
        <v>8</v>
      </c>
      <c r="CO664">
        <f t="shared" ref="CO664" si="63">(((100-CO663)/50)*CO662)</f>
        <v>7.1999999999999993</v>
      </c>
      <c r="CP664">
        <f t="shared" ref="CP664:CQ664" si="64">(((100-CP663)/50)*CP662)</f>
        <v>6.4</v>
      </c>
      <c r="CQ664">
        <f t="shared" si="64"/>
        <v>5.6000000000000005</v>
      </c>
      <c r="CR664">
        <f t="shared" ref="CR664" si="65">(((100-CR663)/50)*CR662)</f>
        <v>4.8</v>
      </c>
      <c r="CS664">
        <f t="shared" ref="CS664:CT664" si="66">(((100-CS663)/50)*CS662)</f>
        <v>4</v>
      </c>
      <c r="CT664">
        <f t="shared" si="66"/>
        <v>3.2</v>
      </c>
      <c r="CU664">
        <f t="shared" ref="CU664" si="67">(((100-CU663)/50)*CU662)</f>
        <v>2.4</v>
      </c>
      <c r="CV664">
        <f t="shared" ref="CV664:CW664" si="68">(((100-CV663)/50)*CV662)</f>
        <v>1.6</v>
      </c>
      <c r="CW664">
        <f t="shared" si="68"/>
        <v>0.8</v>
      </c>
      <c r="CX664">
        <f t="shared" ref="CX664" si="69">(((100-CX663)/50)*CX662)</f>
        <v>0</v>
      </c>
    </row>
    <row r="665" spans="1:102" x14ac:dyDescent="0.25">
      <c r="A665" s="74"/>
      <c r="B665" t="s">
        <v>849</v>
      </c>
      <c r="C665">
        <f t="shared" ref="C665:AH665" si="70">C664/$D$635</f>
        <v>4.0000000000000001E-3</v>
      </c>
      <c r="D665">
        <f t="shared" si="70"/>
        <v>8.0000000000000002E-3</v>
      </c>
      <c r="E665">
        <f t="shared" si="70"/>
        <v>1.2E-2</v>
      </c>
      <c r="F665">
        <f t="shared" si="70"/>
        <v>1.6E-2</v>
      </c>
      <c r="G665">
        <f t="shared" si="70"/>
        <v>0.02</v>
      </c>
      <c r="H665">
        <f t="shared" si="70"/>
        <v>2.4E-2</v>
      </c>
      <c r="I665">
        <f t="shared" si="70"/>
        <v>2.8000000000000004E-2</v>
      </c>
      <c r="J665">
        <f t="shared" si="70"/>
        <v>3.2000000000000001E-2</v>
      </c>
      <c r="K665">
        <f t="shared" si="70"/>
        <v>3.5999999999999997E-2</v>
      </c>
      <c r="L665">
        <f t="shared" si="70"/>
        <v>0.04</v>
      </c>
      <c r="M665">
        <f t="shared" si="70"/>
        <v>4.4000000000000004E-2</v>
      </c>
      <c r="N665">
        <f t="shared" si="70"/>
        <v>4.8000000000000001E-2</v>
      </c>
      <c r="O665">
        <f t="shared" si="70"/>
        <v>5.2000000000000005E-2</v>
      </c>
      <c r="P665">
        <f t="shared" si="70"/>
        <v>5.6000000000000008E-2</v>
      </c>
      <c r="Q665">
        <f t="shared" si="70"/>
        <v>0.06</v>
      </c>
      <c r="R665">
        <f t="shared" si="70"/>
        <v>6.4000000000000001E-2</v>
      </c>
      <c r="S665">
        <f t="shared" si="70"/>
        <v>6.8000000000000005E-2</v>
      </c>
      <c r="T665">
        <f t="shared" si="70"/>
        <v>7.1999999999999995E-2</v>
      </c>
      <c r="U665">
        <f t="shared" si="70"/>
        <v>7.5999999999999998E-2</v>
      </c>
      <c r="V665">
        <f t="shared" si="70"/>
        <v>0.08</v>
      </c>
      <c r="W665">
        <f t="shared" si="70"/>
        <v>8.4000000000000005E-2</v>
      </c>
      <c r="X665">
        <f t="shared" si="70"/>
        <v>8.8000000000000009E-2</v>
      </c>
      <c r="Y665">
        <f t="shared" si="70"/>
        <v>9.2000000000000012E-2</v>
      </c>
      <c r="Z665">
        <f t="shared" si="70"/>
        <v>9.6000000000000002E-2</v>
      </c>
      <c r="AA665">
        <f t="shared" si="70"/>
        <v>0.1</v>
      </c>
      <c r="AB665">
        <f t="shared" si="70"/>
        <v>0.10400000000000001</v>
      </c>
      <c r="AC665">
        <f t="shared" si="70"/>
        <v>0.10800000000000001</v>
      </c>
      <c r="AD665">
        <f t="shared" si="70"/>
        <v>0.11200000000000002</v>
      </c>
      <c r="AE665">
        <f t="shared" si="70"/>
        <v>0.11599999999999999</v>
      </c>
      <c r="AF665">
        <f t="shared" si="70"/>
        <v>0.12</v>
      </c>
      <c r="AG665">
        <f t="shared" si="70"/>
        <v>0.124</v>
      </c>
      <c r="AH665">
        <f t="shared" si="70"/>
        <v>0.128</v>
      </c>
      <c r="AI665">
        <f t="shared" ref="AI665:BN665" si="71">AI664/$D$635</f>
        <v>0.13200000000000001</v>
      </c>
      <c r="AJ665">
        <f t="shared" si="71"/>
        <v>0.13600000000000001</v>
      </c>
      <c r="AK665">
        <f t="shared" si="71"/>
        <v>0.14000000000000001</v>
      </c>
      <c r="AL665">
        <f t="shared" si="71"/>
        <v>0.14399999999999999</v>
      </c>
      <c r="AM665">
        <f t="shared" si="71"/>
        <v>0.14800000000000002</v>
      </c>
      <c r="AN665">
        <f t="shared" si="71"/>
        <v>0.152</v>
      </c>
      <c r="AO665">
        <f t="shared" si="71"/>
        <v>0.15600000000000003</v>
      </c>
      <c r="AP665">
        <f t="shared" si="71"/>
        <v>0.16</v>
      </c>
      <c r="AQ665">
        <f t="shared" si="71"/>
        <v>0.16399999999999998</v>
      </c>
      <c r="AR665">
        <f t="shared" si="71"/>
        <v>0.16800000000000001</v>
      </c>
      <c r="AS665">
        <f t="shared" si="71"/>
        <v>0.17199999999999999</v>
      </c>
      <c r="AT665">
        <f t="shared" si="71"/>
        <v>0.17600000000000002</v>
      </c>
      <c r="AU665">
        <f t="shared" si="71"/>
        <v>0.18</v>
      </c>
      <c r="AV665">
        <f t="shared" si="71"/>
        <v>0.18400000000000002</v>
      </c>
      <c r="AW665">
        <f t="shared" si="71"/>
        <v>0.18799999999999997</v>
      </c>
      <c r="AX665">
        <f t="shared" si="71"/>
        <v>0.192</v>
      </c>
      <c r="AY665">
        <f t="shared" si="71"/>
        <v>0.19600000000000001</v>
      </c>
      <c r="AZ665">
        <f t="shared" si="71"/>
        <v>0.2</v>
      </c>
      <c r="BA665">
        <f t="shared" si="71"/>
        <v>0.19600000000000001</v>
      </c>
      <c r="BB665">
        <f t="shared" si="71"/>
        <v>0.192</v>
      </c>
      <c r="BC665">
        <f t="shared" si="71"/>
        <v>0.18799999999999997</v>
      </c>
      <c r="BD665">
        <f t="shared" si="71"/>
        <v>0.18400000000000002</v>
      </c>
      <c r="BE665">
        <f t="shared" si="71"/>
        <v>0.18</v>
      </c>
      <c r="BF665">
        <f t="shared" si="71"/>
        <v>0.17600000000000002</v>
      </c>
      <c r="BG665">
        <f t="shared" si="71"/>
        <v>0.17199999999999999</v>
      </c>
      <c r="BH665">
        <f t="shared" si="71"/>
        <v>0.16800000000000001</v>
      </c>
      <c r="BI665">
        <f t="shared" si="71"/>
        <v>0.16399999999999998</v>
      </c>
      <c r="BJ665">
        <f t="shared" si="71"/>
        <v>0.16</v>
      </c>
      <c r="BK665">
        <f t="shared" si="71"/>
        <v>0.15600000000000003</v>
      </c>
      <c r="BL665">
        <f t="shared" si="71"/>
        <v>0.152</v>
      </c>
      <c r="BM665">
        <f t="shared" si="71"/>
        <v>0.14800000000000002</v>
      </c>
      <c r="BN665">
        <f t="shared" si="71"/>
        <v>0.14399999999999999</v>
      </c>
      <c r="BO665">
        <f t="shared" ref="BO665" si="72">BO664/$D$635</f>
        <v>0.14000000000000001</v>
      </c>
      <c r="BP665">
        <f t="shared" ref="BP665:CX665" si="73">BP664/$D$635</f>
        <v>0.13600000000000001</v>
      </c>
      <c r="BQ665">
        <f t="shared" si="73"/>
        <v>0.13200000000000001</v>
      </c>
      <c r="BR665">
        <f t="shared" si="73"/>
        <v>0.128</v>
      </c>
      <c r="BS665">
        <f t="shared" si="73"/>
        <v>0.124</v>
      </c>
      <c r="BT665">
        <f t="shared" si="73"/>
        <v>0.12</v>
      </c>
      <c r="BU665">
        <f t="shared" si="73"/>
        <v>0.11599999999999999</v>
      </c>
      <c r="BV665">
        <f t="shared" si="73"/>
        <v>0.11200000000000002</v>
      </c>
      <c r="BW665">
        <f t="shared" si="73"/>
        <v>0.10800000000000001</v>
      </c>
      <c r="BX665">
        <f t="shared" si="73"/>
        <v>0.10400000000000001</v>
      </c>
      <c r="BY665">
        <f t="shared" si="73"/>
        <v>0.1</v>
      </c>
      <c r="BZ665">
        <f t="shared" si="73"/>
        <v>9.6000000000000002E-2</v>
      </c>
      <c r="CA665">
        <f t="shared" si="73"/>
        <v>9.2000000000000012E-2</v>
      </c>
      <c r="CB665">
        <f t="shared" si="73"/>
        <v>8.8000000000000009E-2</v>
      </c>
      <c r="CC665">
        <f t="shared" si="73"/>
        <v>8.4000000000000005E-2</v>
      </c>
      <c r="CD665">
        <f t="shared" si="73"/>
        <v>0.08</v>
      </c>
      <c r="CE665">
        <f t="shared" si="73"/>
        <v>7.5999999999999998E-2</v>
      </c>
      <c r="CF665">
        <f t="shared" si="73"/>
        <v>7.1999999999999995E-2</v>
      </c>
      <c r="CG665">
        <f t="shared" si="73"/>
        <v>6.8000000000000005E-2</v>
      </c>
      <c r="CH665">
        <f t="shared" si="73"/>
        <v>6.4000000000000001E-2</v>
      </c>
      <c r="CI665">
        <f t="shared" si="73"/>
        <v>0.06</v>
      </c>
      <c r="CJ665">
        <f t="shared" si="73"/>
        <v>5.6000000000000008E-2</v>
      </c>
      <c r="CK665">
        <f t="shared" si="73"/>
        <v>5.2000000000000005E-2</v>
      </c>
      <c r="CL665">
        <f t="shared" si="73"/>
        <v>4.8000000000000001E-2</v>
      </c>
      <c r="CM665">
        <f t="shared" si="73"/>
        <v>4.4000000000000004E-2</v>
      </c>
      <c r="CN665">
        <f t="shared" si="73"/>
        <v>0.04</v>
      </c>
      <c r="CO665">
        <f t="shared" si="73"/>
        <v>3.5999999999999997E-2</v>
      </c>
      <c r="CP665">
        <f t="shared" si="73"/>
        <v>3.2000000000000001E-2</v>
      </c>
      <c r="CQ665">
        <f t="shared" si="73"/>
        <v>2.8000000000000004E-2</v>
      </c>
      <c r="CR665">
        <f t="shared" si="73"/>
        <v>2.4E-2</v>
      </c>
      <c r="CS665">
        <f t="shared" si="73"/>
        <v>0.02</v>
      </c>
      <c r="CT665">
        <f t="shared" si="73"/>
        <v>1.6E-2</v>
      </c>
      <c r="CU665">
        <f t="shared" si="73"/>
        <v>1.2E-2</v>
      </c>
      <c r="CV665">
        <f t="shared" si="73"/>
        <v>8.0000000000000002E-3</v>
      </c>
      <c r="CW665">
        <f t="shared" si="73"/>
        <v>4.0000000000000001E-3</v>
      </c>
      <c r="CX665">
        <f t="shared" si="73"/>
        <v>0</v>
      </c>
    </row>
    <row r="666" spans="1:102" x14ac:dyDescent="0.25">
      <c r="A666" s="74"/>
      <c r="B666" t="s">
        <v>850</v>
      </c>
      <c r="C666">
        <f>(($D$641*2)+(C665*($D$643+$D$645)))*$D$661</f>
        <v>6.6875000000000006E-7</v>
      </c>
      <c r="D666">
        <f>(($D$641*2)+(D665*($D$643+$D$645)))*$D$661</f>
        <v>6.8125000000000015E-7</v>
      </c>
      <c r="E666">
        <f t="shared" ref="E666:BP666" si="74">(($D$641*2)+(E665*($D$643+$D$645)))*$D$661</f>
        <v>6.9375000000000013E-7</v>
      </c>
      <c r="F666">
        <f t="shared" si="74"/>
        <v>7.0625000000000012E-7</v>
      </c>
      <c r="G666">
        <f t="shared" si="74"/>
        <v>7.1875000000000011E-7</v>
      </c>
      <c r="H666">
        <f t="shared" si="74"/>
        <v>7.3124999999999999E-7</v>
      </c>
      <c r="I666">
        <f t="shared" si="74"/>
        <v>7.4375000000000008E-7</v>
      </c>
      <c r="J666">
        <f t="shared" si="74"/>
        <v>7.5625000000000007E-7</v>
      </c>
      <c r="K666">
        <f t="shared" si="74"/>
        <v>7.6875000000000005E-7</v>
      </c>
      <c r="L666">
        <f t="shared" si="74"/>
        <v>7.8125000000000004E-7</v>
      </c>
      <c r="M666">
        <f t="shared" si="74"/>
        <v>7.9375000000000002E-7</v>
      </c>
      <c r="N666">
        <f t="shared" si="74"/>
        <v>8.0625000000000012E-7</v>
      </c>
      <c r="O666">
        <f t="shared" si="74"/>
        <v>8.187500000000001E-7</v>
      </c>
      <c r="P666">
        <f t="shared" si="74"/>
        <v>8.3125000000000009E-7</v>
      </c>
      <c r="Q666">
        <f t="shared" si="74"/>
        <v>8.4375000000000007E-7</v>
      </c>
      <c r="R666">
        <f t="shared" si="74"/>
        <v>8.5625000000000017E-7</v>
      </c>
      <c r="S666">
        <f t="shared" si="74"/>
        <v>8.6875000000000015E-7</v>
      </c>
      <c r="T666">
        <f t="shared" si="74"/>
        <v>8.8125000000000014E-7</v>
      </c>
      <c r="U666">
        <f t="shared" si="74"/>
        <v>8.9375000000000012E-7</v>
      </c>
      <c r="V666">
        <f t="shared" si="74"/>
        <v>9.0625000000000022E-7</v>
      </c>
      <c r="W666">
        <f t="shared" si="74"/>
        <v>9.187500000000002E-7</v>
      </c>
      <c r="X666">
        <f t="shared" si="74"/>
        <v>9.3125000000000019E-7</v>
      </c>
      <c r="Y666">
        <f t="shared" si="74"/>
        <v>9.4375000000000018E-7</v>
      </c>
      <c r="Z666">
        <f t="shared" si="74"/>
        <v>9.5625000000000016E-7</v>
      </c>
      <c r="AA666">
        <f t="shared" si="74"/>
        <v>9.6875000000000004E-7</v>
      </c>
      <c r="AB666">
        <f t="shared" si="74"/>
        <v>9.8125000000000013E-7</v>
      </c>
      <c r="AC666">
        <f t="shared" si="74"/>
        <v>9.9375000000000023E-7</v>
      </c>
      <c r="AD666">
        <f t="shared" si="74"/>
        <v>1.0062500000000001E-6</v>
      </c>
      <c r="AE666">
        <f t="shared" si="74"/>
        <v>1.01875E-6</v>
      </c>
      <c r="AF666">
        <f t="shared" si="74"/>
        <v>1.0312500000000001E-6</v>
      </c>
      <c r="AG666">
        <f t="shared" si="74"/>
        <v>1.04375E-6</v>
      </c>
      <c r="AH666">
        <f t="shared" si="74"/>
        <v>1.0562500000000001E-6</v>
      </c>
      <c r="AI666">
        <f t="shared" si="74"/>
        <v>1.0687500000000001E-6</v>
      </c>
      <c r="AJ666">
        <f t="shared" si="74"/>
        <v>1.08125E-6</v>
      </c>
      <c r="AK666">
        <f t="shared" si="74"/>
        <v>1.0937500000000001E-6</v>
      </c>
      <c r="AL666">
        <f t="shared" si="74"/>
        <v>1.10625E-6</v>
      </c>
      <c r="AM666">
        <f t="shared" si="74"/>
        <v>1.1187500000000001E-6</v>
      </c>
      <c r="AN666">
        <f t="shared" si="74"/>
        <v>1.1312500000000002E-6</v>
      </c>
      <c r="AO666">
        <f t="shared" si="74"/>
        <v>1.1437500000000001E-6</v>
      </c>
      <c r="AP666">
        <f t="shared" si="74"/>
        <v>1.1562500000000002E-6</v>
      </c>
      <c r="AQ666">
        <f t="shared" si="74"/>
        <v>1.16875E-6</v>
      </c>
      <c r="AR666">
        <f t="shared" si="74"/>
        <v>1.1812500000000001E-6</v>
      </c>
      <c r="AS666">
        <f t="shared" si="74"/>
        <v>1.19375E-6</v>
      </c>
      <c r="AT666">
        <f t="shared" si="74"/>
        <v>1.2062500000000001E-6</v>
      </c>
      <c r="AU666">
        <f t="shared" si="74"/>
        <v>1.21875E-6</v>
      </c>
      <c r="AV666">
        <f t="shared" si="74"/>
        <v>1.2312500000000003E-6</v>
      </c>
      <c r="AW666">
        <f t="shared" si="74"/>
        <v>1.24375E-6</v>
      </c>
      <c r="AX666">
        <f t="shared" si="74"/>
        <v>1.25625E-6</v>
      </c>
      <c r="AY666">
        <f t="shared" si="74"/>
        <v>1.2687500000000003E-6</v>
      </c>
      <c r="AZ666">
        <f t="shared" si="74"/>
        <v>1.28125E-6</v>
      </c>
      <c r="BA666">
        <f t="shared" si="74"/>
        <v>1.2687500000000003E-6</v>
      </c>
      <c r="BB666">
        <f t="shared" si="74"/>
        <v>1.25625E-6</v>
      </c>
      <c r="BC666">
        <f t="shared" si="74"/>
        <v>1.24375E-6</v>
      </c>
      <c r="BD666">
        <f t="shared" si="74"/>
        <v>1.2312500000000003E-6</v>
      </c>
      <c r="BE666">
        <f t="shared" si="74"/>
        <v>1.21875E-6</v>
      </c>
      <c r="BF666">
        <f t="shared" si="74"/>
        <v>1.2062500000000001E-6</v>
      </c>
      <c r="BG666">
        <f t="shared" si="74"/>
        <v>1.19375E-6</v>
      </c>
      <c r="BH666">
        <f t="shared" si="74"/>
        <v>1.1812500000000001E-6</v>
      </c>
      <c r="BI666">
        <f t="shared" si="74"/>
        <v>1.16875E-6</v>
      </c>
      <c r="BJ666">
        <f t="shared" si="74"/>
        <v>1.1562500000000002E-6</v>
      </c>
      <c r="BK666">
        <f t="shared" si="74"/>
        <v>1.1437500000000001E-6</v>
      </c>
      <c r="BL666">
        <f t="shared" si="74"/>
        <v>1.1312500000000002E-6</v>
      </c>
      <c r="BM666">
        <f t="shared" si="74"/>
        <v>1.1187500000000001E-6</v>
      </c>
      <c r="BN666">
        <f t="shared" si="74"/>
        <v>1.10625E-6</v>
      </c>
      <c r="BO666">
        <f t="shared" si="74"/>
        <v>1.0937500000000001E-6</v>
      </c>
      <c r="BP666">
        <f t="shared" si="74"/>
        <v>1.08125E-6</v>
      </c>
      <c r="BQ666">
        <f t="shared" ref="BQ666:CX666" si="75">(($D$641*2)+(BQ665*($D$643+$D$645)))*$D$661</f>
        <v>1.0687500000000001E-6</v>
      </c>
      <c r="BR666">
        <f t="shared" si="75"/>
        <v>1.0562500000000001E-6</v>
      </c>
      <c r="BS666">
        <f t="shared" si="75"/>
        <v>1.04375E-6</v>
      </c>
      <c r="BT666">
        <f t="shared" si="75"/>
        <v>1.0312500000000001E-6</v>
      </c>
      <c r="BU666">
        <f t="shared" si="75"/>
        <v>1.01875E-6</v>
      </c>
      <c r="BV666">
        <f t="shared" si="75"/>
        <v>1.0062500000000001E-6</v>
      </c>
      <c r="BW666">
        <f t="shared" si="75"/>
        <v>9.9375000000000023E-7</v>
      </c>
      <c r="BX666">
        <f t="shared" si="75"/>
        <v>9.8125000000000013E-7</v>
      </c>
      <c r="BY666">
        <f t="shared" si="75"/>
        <v>9.6875000000000004E-7</v>
      </c>
      <c r="BZ666">
        <f t="shared" si="75"/>
        <v>9.5625000000000016E-7</v>
      </c>
      <c r="CA666">
        <f t="shared" si="75"/>
        <v>9.4375000000000018E-7</v>
      </c>
      <c r="CB666">
        <f t="shared" si="75"/>
        <v>9.3125000000000019E-7</v>
      </c>
      <c r="CC666">
        <f t="shared" si="75"/>
        <v>9.187500000000002E-7</v>
      </c>
      <c r="CD666">
        <f t="shared" si="75"/>
        <v>9.0625000000000022E-7</v>
      </c>
      <c r="CE666">
        <f t="shared" si="75"/>
        <v>8.9375000000000012E-7</v>
      </c>
      <c r="CF666">
        <f t="shared" si="75"/>
        <v>8.8125000000000014E-7</v>
      </c>
      <c r="CG666">
        <f t="shared" si="75"/>
        <v>8.6875000000000015E-7</v>
      </c>
      <c r="CH666">
        <f t="shared" si="75"/>
        <v>8.5625000000000017E-7</v>
      </c>
      <c r="CI666">
        <f t="shared" si="75"/>
        <v>8.4375000000000007E-7</v>
      </c>
      <c r="CJ666">
        <f t="shared" si="75"/>
        <v>8.3125000000000009E-7</v>
      </c>
      <c r="CK666">
        <f t="shared" si="75"/>
        <v>8.187500000000001E-7</v>
      </c>
      <c r="CL666">
        <f t="shared" si="75"/>
        <v>8.0625000000000012E-7</v>
      </c>
      <c r="CM666">
        <f t="shared" si="75"/>
        <v>7.9375000000000002E-7</v>
      </c>
      <c r="CN666">
        <f t="shared" si="75"/>
        <v>7.8125000000000004E-7</v>
      </c>
      <c r="CO666">
        <f t="shared" si="75"/>
        <v>7.6875000000000005E-7</v>
      </c>
      <c r="CP666">
        <f t="shared" si="75"/>
        <v>7.5625000000000007E-7</v>
      </c>
      <c r="CQ666">
        <f t="shared" si="75"/>
        <v>7.4375000000000008E-7</v>
      </c>
      <c r="CR666">
        <f t="shared" si="75"/>
        <v>7.3124999999999999E-7</v>
      </c>
      <c r="CS666">
        <f t="shared" si="75"/>
        <v>7.1875000000000011E-7</v>
      </c>
      <c r="CT666">
        <f t="shared" si="75"/>
        <v>7.0625000000000012E-7</v>
      </c>
      <c r="CU666">
        <f t="shared" si="75"/>
        <v>6.9375000000000013E-7</v>
      </c>
      <c r="CV666">
        <f t="shared" si="75"/>
        <v>6.8125000000000015E-7</v>
      </c>
      <c r="CW666">
        <f t="shared" si="75"/>
        <v>6.6875000000000006E-7</v>
      </c>
      <c r="CX666">
        <f t="shared" si="75"/>
        <v>6.5625000000000007E-7</v>
      </c>
    </row>
    <row r="667" spans="1:102" x14ac:dyDescent="0.25">
      <c r="A667" s="74"/>
      <c r="B667" t="s">
        <v>851</v>
      </c>
      <c r="C667" s="27">
        <f>SUM(C666:CX666)</f>
        <v>9.6874999999999969E-5</v>
      </c>
    </row>
    <row r="668" spans="1:102" x14ac:dyDescent="0.25">
      <c r="A668" s="74"/>
      <c r="B668" t="s">
        <v>852</v>
      </c>
      <c r="C668" s="27">
        <f>791/1000000</f>
        <v>7.9100000000000004E-4</v>
      </c>
    </row>
    <row r="669" spans="1:102" x14ac:dyDescent="0.25">
      <c r="A669" s="74"/>
      <c r="C669" t="s">
        <v>853</v>
      </c>
      <c r="D669" s="27" t="b">
        <f>C667&lt;=C668</f>
        <v>1</v>
      </c>
    </row>
    <row r="670" spans="1:102" x14ac:dyDescent="0.25">
      <c r="A670" s="45"/>
    </row>
    <row r="671" spans="1:102" x14ac:dyDescent="0.25">
      <c r="A671" s="45"/>
      <c r="E671" s="8"/>
    </row>
    <row r="672" spans="1:102" x14ac:dyDescent="0.25">
      <c r="A672" s="73" t="s">
        <v>431</v>
      </c>
      <c r="B672" t="s">
        <v>47</v>
      </c>
      <c r="C672" t="s">
        <v>46</v>
      </c>
      <c r="D672">
        <f>D3</f>
        <v>16000</v>
      </c>
    </row>
    <row r="673" spans="1:4" x14ac:dyDescent="0.25">
      <c r="A673" s="73"/>
      <c r="B673" t="s">
        <v>40</v>
      </c>
      <c r="C673" t="s">
        <v>414</v>
      </c>
      <c r="D673">
        <f>D114</f>
        <v>22.598870056497173</v>
      </c>
    </row>
    <row r="674" spans="1:4" x14ac:dyDescent="0.25">
      <c r="A674" s="73"/>
      <c r="B674" t="s">
        <v>39</v>
      </c>
      <c r="C674" t="s">
        <v>415</v>
      </c>
      <c r="D674">
        <f>D110</f>
        <v>0.5</v>
      </c>
    </row>
    <row r="675" spans="1:4" x14ac:dyDescent="0.25">
      <c r="A675" s="73"/>
      <c r="B675" t="s">
        <v>412</v>
      </c>
      <c r="C675" t="s">
        <v>413</v>
      </c>
      <c r="D675">
        <f>0.5*D673/D672</f>
        <v>7.0621468926553661E-4</v>
      </c>
    </row>
    <row r="676" spans="1:4" x14ac:dyDescent="0.25">
      <c r="A676" s="73"/>
      <c r="B676" t="s">
        <v>416</v>
      </c>
      <c r="D676">
        <v>0.5</v>
      </c>
    </row>
    <row r="677" spans="1:4" x14ac:dyDescent="0.25">
      <c r="A677" s="73"/>
      <c r="B677" t="s">
        <v>422</v>
      </c>
      <c r="D677">
        <f>D675/D676</f>
        <v>1.4124293785310732E-3</v>
      </c>
    </row>
    <row r="678" spans="1:4" x14ac:dyDescent="0.25">
      <c r="A678" s="73"/>
      <c r="C678" t="s">
        <v>417</v>
      </c>
      <c r="D678">
        <v>10</v>
      </c>
    </row>
    <row r="679" spans="1:4" x14ac:dyDescent="0.25">
      <c r="A679" s="73"/>
      <c r="B679" t="s">
        <v>421</v>
      </c>
      <c r="D679">
        <f>D678*D677</f>
        <v>1.4124293785310733E-2</v>
      </c>
    </row>
    <row r="680" spans="1:4" x14ac:dyDescent="0.25">
      <c r="A680" s="73"/>
      <c r="B680" t="s">
        <v>446</v>
      </c>
      <c r="C680" t="s">
        <v>447</v>
      </c>
      <c r="D680">
        <f>3*D702</f>
        <v>132.30000000000001</v>
      </c>
    </row>
    <row r="681" spans="1:4" x14ac:dyDescent="0.25">
      <c r="A681" s="73"/>
      <c r="B681" t="s">
        <v>448</v>
      </c>
      <c r="D681" s="1">
        <v>1E-3</v>
      </c>
    </row>
    <row r="682" spans="1:4" x14ac:dyDescent="0.25">
      <c r="A682" s="73"/>
      <c r="B682" t="s">
        <v>449</v>
      </c>
      <c r="D682">
        <v>20</v>
      </c>
    </row>
    <row r="683" spans="1:4" x14ac:dyDescent="0.25">
      <c r="A683" s="73"/>
      <c r="B683" t="s">
        <v>452</v>
      </c>
      <c r="C683" t="s">
        <v>453</v>
      </c>
      <c r="D683" s="29">
        <v>1.7000000000000001E-2</v>
      </c>
    </row>
    <row r="684" spans="1:4" x14ac:dyDescent="0.25">
      <c r="A684" s="73"/>
      <c r="B684" t="s">
        <v>454</v>
      </c>
      <c r="D684">
        <f>D683/D682</f>
        <v>8.5000000000000006E-4</v>
      </c>
    </row>
    <row r="685" spans="1:4" x14ac:dyDescent="0.25">
      <c r="A685" s="73"/>
      <c r="B685" t="s">
        <v>427</v>
      </c>
      <c r="C685" t="s">
        <v>428</v>
      </c>
      <c r="D685" s="1">
        <f>D681*D682</f>
        <v>0.02</v>
      </c>
    </row>
    <row r="686" spans="1:4" x14ac:dyDescent="0.25">
      <c r="A686" s="73"/>
      <c r="C686" t="s">
        <v>450</v>
      </c>
      <c r="D686" s="1">
        <f>0.2</f>
        <v>0.2</v>
      </c>
    </row>
    <row r="687" spans="1:4" x14ac:dyDescent="0.25">
      <c r="A687" s="73"/>
      <c r="B687" t="s">
        <v>451</v>
      </c>
      <c r="D687" s="1">
        <f>D685*(1-D686)</f>
        <v>1.6E-2</v>
      </c>
    </row>
    <row r="688" spans="1:4" x14ac:dyDescent="0.25">
      <c r="A688" s="73"/>
      <c r="B688" t="s">
        <v>487</v>
      </c>
      <c r="D688" s="1">
        <f>D684*D673</f>
        <v>1.9209039548022597E-2</v>
      </c>
    </row>
    <row r="689" spans="1:4" x14ac:dyDescent="0.25">
      <c r="A689" s="73"/>
      <c r="B689" t="s">
        <v>488</v>
      </c>
      <c r="D689" s="1">
        <f>D675/D685</f>
        <v>3.531073446327683E-2</v>
      </c>
    </row>
    <row r="690" spans="1:4" x14ac:dyDescent="0.25">
      <c r="A690" s="73"/>
      <c r="B690" t="s">
        <v>489</v>
      </c>
      <c r="D690" s="1">
        <f>D688+D689</f>
        <v>5.4519774011299427E-2</v>
      </c>
    </row>
    <row r="691" spans="1:4" x14ac:dyDescent="0.25">
      <c r="A691" s="73"/>
      <c r="B691" t="s">
        <v>455</v>
      </c>
      <c r="D691" s="1">
        <f>POWER(D688, 2)/D684</f>
        <v>0.43410258865587781</v>
      </c>
    </row>
    <row r="692" spans="1:4" x14ac:dyDescent="0.25">
      <c r="A692" s="73"/>
      <c r="B692" t="s">
        <v>456</v>
      </c>
      <c r="D692" s="1">
        <f>D691/D682</f>
        <v>2.1705129432793891E-2</v>
      </c>
    </row>
    <row r="693" spans="1:4" x14ac:dyDescent="0.25">
      <c r="A693" s="73"/>
      <c r="B693" t="s">
        <v>425</v>
      </c>
      <c r="C693" t="s">
        <v>419</v>
      </c>
      <c r="D693">
        <v>500</v>
      </c>
    </row>
    <row r="694" spans="1:4" x14ac:dyDescent="0.25">
      <c r="A694" s="73"/>
      <c r="B694" t="s">
        <v>423</v>
      </c>
      <c r="C694" t="s">
        <v>424</v>
      </c>
      <c r="D694">
        <f>1/(POWER(2*PI()*D693, 2)*D679)</f>
        <v>7.1735398018775158E-6</v>
      </c>
    </row>
    <row r="695" spans="1:4" x14ac:dyDescent="0.25">
      <c r="A695" s="73"/>
      <c r="B695" t="s">
        <v>420</v>
      </c>
      <c r="C695" t="s">
        <v>457</v>
      </c>
      <c r="D695" s="1">
        <v>2.1999999999999999E-5</v>
      </c>
    </row>
    <row r="696" spans="1:4" x14ac:dyDescent="0.25">
      <c r="A696" s="73"/>
      <c r="B696" t="s">
        <v>458</v>
      </c>
      <c r="D696" s="1">
        <f>D2*2/D5</f>
        <v>11.299435028248586</v>
      </c>
    </row>
    <row r="697" spans="1:4" x14ac:dyDescent="0.25">
      <c r="A697" s="73"/>
      <c r="B697" t="s">
        <v>459</v>
      </c>
      <c r="D697" s="1">
        <f>2*D696</f>
        <v>22.598870056497173</v>
      </c>
    </row>
    <row r="698" spans="1:4" x14ac:dyDescent="0.25">
      <c r="A698" s="73"/>
      <c r="B698" t="s">
        <v>418</v>
      </c>
      <c r="C698" t="s">
        <v>426</v>
      </c>
      <c r="D698" s="1">
        <f>1/(2*PI()*POWER(D685*D695, 0.5))</f>
        <v>239.93510443917407</v>
      </c>
    </row>
    <row r="699" spans="1:4" x14ac:dyDescent="0.25">
      <c r="A699" s="73"/>
      <c r="B699" t="s">
        <v>429</v>
      </c>
      <c r="D699" s="1">
        <f>40*LOG10(D672/D698)</f>
        <v>72.961047570285331</v>
      </c>
    </row>
    <row r="700" spans="1:4" x14ac:dyDescent="0.25">
      <c r="A700" s="73"/>
      <c r="C700" t="s">
        <v>430</v>
      </c>
      <c r="D700">
        <f>POWER(D7, 2)*0.5*D685</f>
        <v>19.448100000000004</v>
      </c>
    </row>
    <row r="701" spans="1:4" x14ac:dyDescent="0.25">
      <c r="A701" s="73"/>
      <c r="B701" t="s">
        <v>432</v>
      </c>
      <c r="C701" t="s">
        <v>433</v>
      </c>
      <c r="D701">
        <v>33</v>
      </c>
    </row>
    <row r="702" spans="1:4" x14ac:dyDescent="0.25">
      <c r="A702" s="73"/>
      <c r="B702" t="s">
        <v>38</v>
      </c>
      <c r="D702">
        <f>D7</f>
        <v>44.1</v>
      </c>
    </row>
    <row r="703" spans="1:4" x14ac:dyDescent="0.25">
      <c r="A703" s="73"/>
    </row>
    <row r="704" spans="1:4" x14ac:dyDescent="0.25">
      <c r="A704" s="73"/>
      <c r="B704" t="s">
        <v>435</v>
      </c>
      <c r="D704" s="1">
        <f>((-D701)+POWER(POWER(D701, 2)-(4*D695/D685), 0.5))/(2*D695)</f>
        <v>-1.5151530456139737</v>
      </c>
    </row>
    <row r="705" spans="1:4" x14ac:dyDescent="0.25">
      <c r="A705" s="73"/>
      <c r="B705" t="s">
        <v>436</v>
      </c>
      <c r="D705" s="1">
        <f>((-D701)-POWER(POWER(D701, 2)-(4*D695/D685), 0.5))/(2*D695)</f>
        <v>-1499998.4848469547</v>
      </c>
    </row>
    <row r="706" spans="1:4" x14ac:dyDescent="0.25">
      <c r="A706" s="73"/>
      <c r="B706" t="s">
        <v>437</v>
      </c>
      <c r="D706" s="1">
        <f>LN(D705/D704)/(D704-D705)</f>
        <v>9.2036573945350537E-6</v>
      </c>
    </row>
    <row r="707" spans="1:4" x14ac:dyDescent="0.25">
      <c r="A707" s="73"/>
      <c r="B707" t="s">
        <v>231</v>
      </c>
      <c r="D707" s="1">
        <f>(D702/(D695*(D704-D705)))*(EXP(D704*D706)-EXP(D705*D706))</f>
        <v>1.3363463508162678</v>
      </c>
    </row>
    <row r="708" spans="1:4" x14ac:dyDescent="0.25">
      <c r="A708" s="73"/>
      <c r="B708" t="s">
        <v>438</v>
      </c>
      <c r="D708" s="1">
        <f>D701*POWER(D707, 2)</f>
        <v>58.932111788218542</v>
      </c>
    </row>
    <row r="709" spans="1:4" x14ac:dyDescent="0.25">
      <c r="A709" s="73"/>
      <c r="C709" t="s">
        <v>434</v>
      </c>
      <c r="D709" s="1">
        <f>D708*D4</f>
        <v>70.71853414586225</v>
      </c>
    </row>
    <row r="710" spans="1:4" x14ac:dyDescent="0.25">
      <c r="A710" s="73"/>
      <c r="B710" t="s">
        <v>440</v>
      </c>
      <c r="C710" t="s">
        <v>439</v>
      </c>
      <c r="D710" t="b">
        <f>(POWER(D701, 2)/(4*POWER(D695, 2)))&lt;(1/(D695*D685))</f>
        <v>0</v>
      </c>
    </row>
    <row r="711" spans="1:4" x14ac:dyDescent="0.25">
      <c r="A711" s="73"/>
      <c r="B711" t="s">
        <v>441</v>
      </c>
      <c r="D711" s="1">
        <f>D701/(2*D695)</f>
        <v>750000</v>
      </c>
    </row>
    <row r="712" spans="1:4" x14ac:dyDescent="0.25">
      <c r="A712" s="73"/>
      <c r="B712" t="s">
        <v>442</v>
      </c>
      <c r="D712" s="1">
        <f>1/POWER(D695*D685, 0.5)</f>
        <v>1507.5567228888181</v>
      </c>
    </row>
    <row r="713" spans="1:4" x14ac:dyDescent="0.25">
      <c r="A713" s="73"/>
      <c r="B713" t="s">
        <v>443</v>
      </c>
      <c r="D713" t="str">
        <f>IF(D710, POWER(POWER(D712, 2)-POWER(D711, 2), 0.5),"NA")</f>
        <v>NA</v>
      </c>
    </row>
    <row r="714" spans="1:4" x14ac:dyDescent="0.25">
      <c r="A714" s="73"/>
      <c r="C714" t="s">
        <v>444</v>
      </c>
      <c r="D714" s="1" t="str">
        <f>IF(D710, 100*EXP(-PI()*D711/D713), "Not Under-damped")</f>
        <v>Not Under-damped</v>
      </c>
    </row>
    <row r="715" spans="1:4" x14ac:dyDescent="0.25">
      <c r="A715" s="73"/>
      <c r="B715" t="s">
        <v>445</v>
      </c>
      <c r="D715" s="1">
        <f>5/MIN(ABS(D704), ABS(D705))</f>
        <v>3.2999966666561322</v>
      </c>
    </row>
    <row r="716" spans="1:4" x14ac:dyDescent="0.25">
      <c r="A716" s="73"/>
      <c r="B716" t="s">
        <v>463</v>
      </c>
      <c r="C716" t="s">
        <v>460</v>
      </c>
      <c r="D716">
        <v>1600</v>
      </c>
    </row>
    <row r="717" spans="1:4" x14ac:dyDescent="0.25">
      <c r="A717" s="73"/>
      <c r="C717" t="s">
        <v>461</v>
      </c>
      <c r="D717">
        <v>0.1</v>
      </c>
    </row>
    <row r="718" spans="1:4" x14ac:dyDescent="0.25">
      <c r="A718" s="73"/>
      <c r="B718" t="s">
        <v>462</v>
      </c>
      <c r="D718">
        <f>D716*(1-D717)</f>
        <v>1440</v>
      </c>
    </row>
    <row r="719" spans="1:4" x14ac:dyDescent="0.25">
      <c r="A719" s="73"/>
      <c r="B719" t="s">
        <v>464</v>
      </c>
      <c r="D719">
        <f>D716*(1+D717)</f>
        <v>1760.0000000000002</v>
      </c>
    </row>
    <row r="720" spans="1:4" x14ac:dyDescent="0.25">
      <c r="A720" s="73"/>
      <c r="B720" t="s">
        <v>465</v>
      </c>
      <c r="D720">
        <v>24</v>
      </c>
    </row>
    <row r="721" spans="1:4" x14ac:dyDescent="0.25">
      <c r="A721" s="73"/>
      <c r="B721" t="s">
        <v>466</v>
      </c>
      <c r="D721">
        <v>1.4999999999999999E-2</v>
      </c>
    </row>
    <row r="722" spans="1:4" x14ac:dyDescent="0.25">
      <c r="A722" s="73"/>
      <c r="C722" t="s">
        <v>467</v>
      </c>
      <c r="D722" t="b">
        <f>(D720/D716)=D721</f>
        <v>1</v>
      </c>
    </row>
    <row r="723" spans="1:4" x14ac:dyDescent="0.25">
      <c r="A723" s="73"/>
      <c r="B723" t="s">
        <v>468</v>
      </c>
      <c r="C723" t="s">
        <v>469</v>
      </c>
      <c r="D723">
        <f>1.3*D720</f>
        <v>31.200000000000003</v>
      </c>
    </row>
    <row r="724" spans="1:4" x14ac:dyDescent="0.25">
      <c r="A724" s="73"/>
      <c r="B724" t="s">
        <v>470</v>
      </c>
      <c r="C724" t="s">
        <v>471</v>
      </c>
      <c r="D724">
        <f>0.75*D720</f>
        <v>18</v>
      </c>
    </row>
    <row r="725" spans="1:4" x14ac:dyDescent="0.25">
      <c r="A725" s="73"/>
      <c r="B725" t="s">
        <v>472</v>
      </c>
      <c r="D725">
        <f>D724/D719</f>
        <v>1.0227272727272725E-2</v>
      </c>
    </row>
    <row r="726" spans="1:4" x14ac:dyDescent="0.25">
      <c r="A726" s="73"/>
      <c r="B726" t="s">
        <v>473</v>
      </c>
      <c r="D726">
        <f>D723/D719</f>
        <v>1.7727272727272727E-2</v>
      </c>
    </row>
    <row r="727" spans="1:4" x14ac:dyDescent="0.25">
      <c r="A727" s="73"/>
      <c r="B727" t="s">
        <v>479</v>
      </c>
      <c r="D727">
        <v>1330</v>
      </c>
    </row>
    <row r="728" spans="1:4" x14ac:dyDescent="0.25">
      <c r="A728" s="73"/>
      <c r="C728" t="s">
        <v>483</v>
      </c>
      <c r="D728">
        <v>0.05</v>
      </c>
    </row>
    <row r="729" spans="1:4" x14ac:dyDescent="0.25">
      <c r="A729" s="73"/>
      <c r="B729" t="s">
        <v>484</v>
      </c>
      <c r="D729">
        <f>D727*(1-D728)</f>
        <v>1263.5</v>
      </c>
    </row>
    <row r="730" spans="1:4" x14ac:dyDescent="0.25">
      <c r="A730" s="73"/>
      <c r="B730" t="s">
        <v>485</v>
      </c>
      <c r="D730">
        <f>D727*(1+D728)</f>
        <v>1396.5</v>
      </c>
    </row>
    <row r="731" spans="1:4" x14ac:dyDescent="0.25">
      <c r="A731" s="73"/>
      <c r="C731" t="s">
        <v>476</v>
      </c>
      <c r="D731">
        <f>D6/(D716+D727)</f>
        <v>1.3003412969283274E-2</v>
      </c>
    </row>
    <row r="732" spans="1:4" x14ac:dyDescent="0.25">
      <c r="A732" s="73"/>
      <c r="C732" t="s">
        <v>477</v>
      </c>
      <c r="D732">
        <f>D5/(D718+D730)</f>
        <v>1.2480169222633529E-2</v>
      </c>
    </row>
    <row r="733" spans="1:4" x14ac:dyDescent="0.25">
      <c r="A733" s="73"/>
      <c r="C733" t="s">
        <v>478</v>
      </c>
      <c r="D733">
        <f>D7/(D718+D729)</f>
        <v>1.6312187904568152E-2</v>
      </c>
    </row>
    <row r="734" spans="1:4" x14ac:dyDescent="0.25">
      <c r="A734" s="73"/>
      <c r="C734" t="s">
        <v>480</v>
      </c>
      <c r="D734" t="b">
        <f>AND((D731&gt;D725), (D733&lt;D726))</f>
        <v>1</v>
      </c>
    </row>
    <row r="735" spans="1:4" x14ac:dyDescent="0.25">
      <c r="A735" s="73"/>
    </row>
    <row r="736" spans="1:4" x14ac:dyDescent="0.25">
      <c r="A736" s="73"/>
      <c r="B736" t="s">
        <v>481</v>
      </c>
      <c r="D736">
        <f xml:space="preserve"> POWER(D733, 2)*D727</f>
        <v>0.35389634073113957</v>
      </c>
    </row>
    <row r="737" spans="1:4" x14ac:dyDescent="0.25">
      <c r="A737" s="73"/>
      <c r="B737" t="s">
        <v>486</v>
      </c>
      <c r="D737">
        <f>POWER(D731, 2)*D716</f>
        <v>0.27054199815955915</v>
      </c>
    </row>
    <row r="738" spans="1:4" x14ac:dyDescent="0.25">
      <c r="A738" s="73"/>
      <c r="B738" t="s">
        <v>482</v>
      </c>
      <c r="D738">
        <f>POWER(D732, 2)*D719</f>
        <v>0.27412813793300184</v>
      </c>
    </row>
    <row r="739" spans="1:4" x14ac:dyDescent="0.25">
      <c r="A739" s="73"/>
      <c r="C739" t="s">
        <v>606</v>
      </c>
      <c r="D739" s="1">
        <f>0.5*D695*POWER(D740, 2)</f>
        <v>3.0311171733454588E-4</v>
      </c>
    </row>
    <row r="740" spans="1:4" x14ac:dyDescent="0.25">
      <c r="A740" s="73"/>
      <c r="C740" t="s">
        <v>607</v>
      </c>
      <c r="D740">
        <f>D2/D6</f>
        <v>5.2493438320209984</v>
      </c>
    </row>
    <row r="741" spans="1:4" x14ac:dyDescent="0.25">
      <c r="A741" s="73"/>
      <c r="C741" t="s">
        <v>608</v>
      </c>
      <c r="D741">
        <f>D6</f>
        <v>38.099999999999994</v>
      </c>
    </row>
    <row r="742" spans="1:4" x14ac:dyDescent="0.25">
      <c r="A742" s="73"/>
      <c r="C742" t="s">
        <v>609</v>
      </c>
      <c r="D742">
        <f>POWER(((0.5*D685*POWER(D741, 2))+D739)*2/D685, 0.5)</f>
        <v>38.100397782329424</v>
      </c>
    </row>
    <row r="743" spans="1:4" x14ac:dyDescent="0.25">
      <c r="A743" s="73"/>
      <c r="B743" t="s">
        <v>716</v>
      </c>
      <c r="C743" t="s">
        <v>715</v>
      </c>
      <c r="D743" s="1">
        <f>0.5*D685*POWER(D7, 2)</f>
        <v>19.448100000000004</v>
      </c>
    </row>
    <row r="744" spans="1:4" x14ac:dyDescent="0.25">
      <c r="A744" t="s">
        <v>714</v>
      </c>
      <c r="B744" t="s">
        <v>717</v>
      </c>
      <c r="C744" t="s">
        <v>718</v>
      </c>
      <c r="D744">
        <f>(0.06*0.022*0.0018)+(2*(0.06*0.0129*0.001))+(0.06*0.0091*0.0018)</f>
        <v>4.9067999999999993E-6</v>
      </c>
    </row>
    <row r="745" spans="1:4" x14ac:dyDescent="0.25">
      <c r="B745" t="s">
        <v>719</v>
      </c>
      <c r="C745" t="s">
        <v>720</v>
      </c>
      <c r="D745">
        <v>850</v>
      </c>
    </row>
    <row r="746" spans="1:4" x14ac:dyDescent="0.25">
      <c r="B746" t="s">
        <v>721</v>
      </c>
      <c r="C746" t="s">
        <v>722</v>
      </c>
      <c r="D746">
        <v>2700</v>
      </c>
    </row>
    <row r="747" spans="1:4" x14ac:dyDescent="0.25">
      <c r="B747" t="s">
        <v>693</v>
      </c>
      <c r="D747">
        <f>D743/(D746*D744*D745)</f>
        <v>1.7270150907024588</v>
      </c>
    </row>
    <row r="748" spans="1:4" x14ac:dyDescent="0.25">
      <c r="B748" t="s">
        <v>723</v>
      </c>
      <c r="C748" t="s">
        <v>730</v>
      </c>
      <c r="D748">
        <v>0.2</v>
      </c>
    </row>
    <row r="749" spans="1:4" x14ac:dyDescent="0.25">
      <c r="B749" t="s">
        <v>728</v>
      </c>
      <c r="C749" t="s">
        <v>727</v>
      </c>
      <c r="D749">
        <f>D745*D744*D746</f>
        <v>11.261106</v>
      </c>
    </row>
    <row r="750" spans="1:4" x14ac:dyDescent="0.25">
      <c r="B750" t="s">
        <v>734</v>
      </c>
      <c r="C750" t="s">
        <v>733</v>
      </c>
      <c r="D750">
        <f>0.022*0.06</f>
        <v>1.3199999999999998E-3</v>
      </c>
    </row>
    <row r="751" spans="1:4" x14ac:dyDescent="0.25">
      <c r="B751" t="s">
        <v>735</v>
      </c>
      <c r="C751" t="s">
        <v>736</v>
      </c>
      <c r="D751">
        <f>0.002</f>
        <v>2E-3</v>
      </c>
    </row>
    <row r="752" spans="1:4" x14ac:dyDescent="0.25">
      <c r="B752" t="s">
        <v>724</v>
      </c>
      <c r="C752" t="s">
        <v>725</v>
      </c>
      <c r="D752">
        <v>0.5</v>
      </c>
    </row>
    <row r="753" spans="1:10" x14ac:dyDescent="0.25">
      <c r="B753" t="s">
        <v>729</v>
      </c>
      <c r="C753" t="s">
        <v>726</v>
      </c>
      <c r="D753">
        <f>4.605*D749/D752</f>
        <v>103.71478626000001</v>
      </c>
    </row>
    <row r="754" spans="1:10" x14ac:dyDescent="0.25">
      <c r="B754" t="s">
        <v>731</v>
      </c>
      <c r="C754" t="s">
        <v>732</v>
      </c>
      <c r="D754">
        <f>D751/(D748*D750)</f>
        <v>7.575757575757577</v>
      </c>
    </row>
    <row r="755" spans="1:10" x14ac:dyDescent="0.25">
      <c r="B755" t="s">
        <v>737</v>
      </c>
      <c r="D755">
        <f>D749*D747/D753</f>
        <v>0.18751521071687935</v>
      </c>
    </row>
    <row r="756" spans="1:10" x14ac:dyDescent="0.25">
      <c r="B756" t="s">
        <v>738</v>
      </c>
      <c r="D756">
        <f>D755*D754</f>
        <v>1.4205697781581772</v>
      </c>
    </row>
    <row r="757" spans="1:10" x14ac:dyDescent="0.25">
      <c r="A757" s="37"/>
      <c r="C757" t="s">
        <v>614</v>
      </c>
      <c r="D757" t="s">
        <v>615</v>
      </c>
      <c r="E757" t="s">
        <v>617</v>
      </c>
      <c r="F757" t="s">
        <v>616</v>
      </c>
      <c r="G757" t="s">
        <v>618</v>
      </c>
    </row>
    <row r="758" spans="1:10" x14ac:dyDescent="0.25">
      <c r="A758" s="73" t="s">
        <v>610</v>
      </c>
      <c r="C758" t="s">
        <v>611</v>
      </c>
      <c r="D758">
        <f>D2/D5</f>
        <v>5.6497175141242932</v>
      </c>
      <c r="E758">
        <f>11*0.01</f>
        <v>0.11</v>
      </c>
      <c r="F758">
        <v>1</v>
      </c>
      <c r="G758">
        <v>22</v>
      </c>
      <c r="H758">
        <v>10</v>
      </c>
      <c r="I758">
        <v>10</v>
      </c>
      <c r="J758">
        <v>10</v>
      </c>
    </row>
    <row r="759" spans="1:10" x14ac:dyDescent="0.25">
      <c r="A759" s="73"/>
      <c r="C759" t="s">
        <v>612</v>
      </c>
      <c r="D759">
        <v>2</v>
      </c>
      <c r="E759">
        <v>2</v>
      </c>
      <c r="F759">
        <v>2</v>
      </c>
      <c r="G759">
        <v>2</v>
      </c>
      <c r="H759">
        <v>2</v>
      </c>
      <c r="I759">
        <v>2</v>
      </c>
      <c r="J759">
        <v>2</v>
      </c>
    </row>
    <row r="760" spans="1:10" x14ac:dyDescent="0.25">
      <c r="A760" s="73"/>
      <c r="C760" t="s">
        <v>613</v>
      </c>
      <c r="D760">
        <v>5</v>
      </c>
      <c r="E760">
        <v>5</v>
      </c>
      <c r="F760">
        <v>5</v>
      </c>
      <c r="G760">
        <v>5</v>
      </c>
      <c r="H760">
        <v>5</v>
      </c>
      <c r="I760">
        <v>5</v>
      </c>
      <c r="J760">
        <v>5</v>
      </c>
    </row>
    <row r="761" spans="1:10" x14ac:dyDescent="0.25">
      <c r="A761" s="73"/>
      <c r="C761" t="s">
        <v>621</v>
      </c>
      <c r="D761">
        <f>0.0254*POWER(D758/(0.048*POWER(D760, 0.44)), 1/0.725)/(D759*1.378)</f>
        <v>2.4923433704232472</v>
      </c>
      <c r="E761">
        <f t="shared" ref="E761:G761" si="76">0.0254*POWER(E758/(0.048*POWER(E760, 0.44)), 1/0.725)/(E759*1.378)</f>
        <v>1.0892125473680554E-2</v>
      </c>
      <c r="F761">
        <f t="shared" si="76"/>
        <v>0.22873341897835012</v>
      </c>
      <c r="G761">
        <f t="shared" si="76"/>
        <v>16.253508114154439</v>
      </c>
      <c r="H761">
        <f t="shared" ref="H761" si="77">0.0254*POWER(H758/(0.048*POWER(H760, 0.44)), 1/0.725)/(H759*1.378)</f>
        <v>5.4782262733389961</v>
      </c>
      <c r="I761">
        <f t="shared" ref="I761:J761" si="78">0.0254*POWER(I758/(0.048*POWER(I760, 0.44)), 1/0.725)/(I759*1.378)</f>
        <v>5.4782262733389961</v>
      </c>
      <c r="J761">
        <f t="shared" si="78"/>
        <v>5.4782262733389961</v>
      </c>
    </row>
    <row r="762" spans="1:10" x14ac:dyDescent="0.25">
      <c r="A762" s="73"/>
      <c r="C762" t="s">
        <v>622</v>
      </c>
      <c r="D762">
        <f>0.0254*POWER(D758/(0.024*POWER(D760, 0.44)), 1/0.725)/(D759*1.378)</f>
        <v>6.4836813405534928</v>
      </c>
      <c r="E762">
        <f t="shared" ref="E762:I762" si="79">0.0254*POWER(E758/(0.024*POWER(E760, 0.44)), 1/0.725)/(E759*1.378)</f>
        <v>2.8335209157266786E-2</v>
      </c>
      <c r="F762">
        <f t="shared" si="79"/>
        <v>0.59503622903255293</v>
      </c>
      <c r="G762">
        <f t="shared" si="79"/>
        <v>42.282523559497292</v>
      </c>
      <c r="H762">
        <f t="shared" si="79"/>
        <v>14.251276083899347</v>
      </c>
      <c r="I762">
        <f t="shared" si="79"/>
        <v>14.251276083899347</v>
      </c>
    </row>
    <row r="763" spans="1:10" x14ac:dyDescent="0.25">
      <c r="A763" s="73"/>
      <c r="C763" t="s">
        <v>620</v>
      </c>
      <c r="D763">
        <v>8</v>
      </c>
      <c r="E763">
        <v>1</v>
      </c>
      <c r="F763">
        <v>1</v>
      </c>
      <c r="G763">
        <v>8</v>
      </c>
      <c r="H763">
        <v>8</v>
      </c>
    </row>
    <row r="764" spans="1:10" x14ac:dyDescent="0.25">
      <c r="A764" s="73"/>
      <c r="C764" t="s">
        <v>625</v>
      </c>
      <c r="D764">
        <f>POWER(D758/POWER(D763*(D759*1.378)/0.0254, 0.725)/0.048, 1/0.44)</f>
        <v>0.7318559619713908</v>
      </c>
      <c r="E764">
        <f t="shared" ref="E764:H764" si="80">POWER(E758/POWER(E763*(E759*1.378)/0.0254, 0.725)/0.048, 1/0.44)</f>
        <v>2.9151906392472556E-3</v>
      </c>
      <c r="F764">
        <f t="shared" si="80"/>
        <v>0.43986554940209394</v>
      </c>
      <c r="G764">
        <f t="shared" si="80"/>
        <v>16.078094835159579</v>
      </c>
      <c r="H764">
        <f t="shared" si="80"/>
        <v>2.6791758539545092</v>
      </c>
    </row>
    <row r="765" spans="1:10" x14ac:dyDescent="0.25">
      <c r="A765" s="73"/>
      <c r="C765" t="s">
        <v>624</v>
      </c>
      <c r="D765">
        <f>POWER(D758/POWER(D763*(D759*1.378)/0.0254, 0.725)/0.024, 1/0.44)</f>
        <v>3.5365898499283999</v>
      </c>
      <c r="E765">
        <f t="shared" ref="E765:H765" si="81">POWER(E758/POWER(E763*(E759*1.378)/0.0254, 0.725)/0.024, 1/0.44)</f>
        <v>1.4087244158805046E-2</v>
      </c>
      <c r="F765">
        <f t="shared" si="81"/>
        <v>2.1255877087593311</v>
      </c>
      <c r="G765">
        <f t="shared" si="81"/>
        <v>77.695106625959824</v>
      </c>
      <c r="H765">
        <f t="shared" si="81"/>
        <v>12.946736275462857</v>
      </c>
    </row>
    <row r="766" spans="1:10" x14ac:dyDescent="0.25">
      <c r="A766" s="73"/>
      <c r="C766" t="s">
        <v>619</v>
      </c>
      <c r="D766">
        <v>100</v>
      </c>
      <c r="E766">
        <v>200</v>
      </c>
      <c r="F766">
        <v>120</v>
      </c>
      <c r="G766">
        <v>100</v>
      </c>
      <c r="H766">
        <v>100</v>
      </c>
    </row>
    <row r="767" spans="1:10" x14ac:dyDescent="0.25">
      <c r="A767" s="73"/>
      <c r="C767" t="s">
        <v>194</v>
      </c>
      <c r="D767">
        <f>(0.0000000168)*(D766/1000)/((D763/1000)*0.0000348*D759)</f>
        <v>3.0172413793103452E-3</v>
      </c>
      <c r="E767">
        <f>(0.0000000168)*(E766/1000)/((E763/1000)*0.0000348*E759)</f>
        <v>4.8275862068965524E-2</v>
      </c>
      <c r="F767">
        <f>(0.0000000168)*(F766/1000)/((F763/1000)*0.0000348*F759)</f>
        <v>2.8965517241379312E-2</v>
      </c>
      <c r="G767">
        <f>(0.0000000168)*(G766/1000)/((G763/1000)*0.0000348*G759)</f>
        <v>3.0172413793103452E-3</v>
      </c>
      <c r="H767">
        <f>(0.0000000168)*(H766/1000)/((H763/1000)*0.0000348*H759)</f>
        <v>3.0172413793103452E-3</v>
      </c>
    </row>
    <row r="768" spans="1:10" x14ac:dyDescent="0.25">
      <c r="A768" s="73"/>
      <c r="C768" t="s">
        <v>623</v>
      </c>
      <c r="D768">
        <f>POWER(D758, 2)*D767</f>
        <v>9.6308256864577377E-2</v>
      </c>
      <c r="E768">
        <f>POWER(E758, 2)*E767</f>
        <v>5.8413793103448278E-4</v>
      </c>
      <c r="F768">
        <f>POWER(F758, 2)*F767</f>
        <v>2.8965517241379312E-2</v>
      </c>
      <c r="G768">
        <f>POWER(G758, 2)*G767</f>
        <v>1.460344827586207</v>
      </c>
      <c r="H768">
        <f>POWER(H758, 2)*H767</f>
        <v>0.30172413793103453</v>
      </c>
    </row>
    <row r="769" spans="1:8" x14ac:dyDescent="0.25">
      <c r="A769" s="73"/>
      <c r="C769" t="s">
        <v>626</v>
      </c>
      <c r="D769">
        <f>D758*D767</f>
        <v>1.7046561465030197E-2</v>
      </c>
      <c r="E769">
        <f t="shared" ref="E769:H769" si="82">E758*E767</f>
        <v>5.3103448275862077E-3</v>
      </c>
      <c r="F769">
        <f t="shared" si="82"/>
        <v>2.8965517241379312E-2</v>
      </c>
      <c r="G769">
        <f t="shared" si="82"/>
        <v>6.6379310344827594E-2</v>
      </c>
      <c r="H769">
        <f t="shared" si="82"/>
        <v>3.0172413793103453E-2</v>
      </c>
    </row>
    <row r="770" spans="1:8" x14ac:dyDescent="0.25">
      <c r="A770" s="73"/>
    </row>
    <row r="771" spans="1:8" x14ac:dyDescent="0.25">
      <c r="A771" s="37"/>
    </row>
    <row r="772" spans="1:8" x14ac:dyDescent="0.25">
      <c r="A772" s="37"/>
    </row>
    <row r="776" spans="1:8" x14ac:dyDescent="0.25">
      <c r="A776" s="74" t="s">
        <v>699</v>
      </c>
      <c r="C776" t="s">
        <v>4</v>
      </c>
      <c r="D776">
        <v>1.2</v>
      </c>
    </row>
    <row r="777" spans="1:8" x14ac:dyDescent="0.25">
      <c r="A777" s="74"/>
      <c r="C777" t="s">
        <v>1071</v>
      </c>
      <c r="D777" s="52">
        <v>2</v>
      </c>
    </row>
    <row r="778" spans="1:8" x14ac:dyDescent="0.25">
      <c r="A778" s="74"/>
      <c r="C778" t="s">
        <v>1072</v>
      </c>
      <c r="D778" s="52">
        <f>1.2*D8</f>
        <v>96000</v>
      </c>
    </row>
    <row r="779" spans="1:8" x14ac:dyDescent="0.25">
      <c r="A779" s="74"/>
      <c r="C779" t="s">
        <v>1074</v>
      </c>
      <c r="D779" s="52">
        <v>25000</v>
      </c>
    </row>
    <row r="780" spans="1:8" x14ac:dyDescent="0.25">
      <c r="A780" s="74"/>
      <c r="C780" t="s">
        <v>1073</v>
      </c>
      <c r="D780" s="54">
        <v>1000000000</v>
      </c>
    </row>
    <row r="781" spans="1:8" x14ac:dyDescent="0.25">
      <c r="A781" s="74"/>
      <c r="C781" t="s">
        <v>1076</v>
      </c>
      <c r="D781" s="52">
        <v>3.5</v>
      </c>
    </row>
    <row r="782" spans="1:8" x14ac:dyDescent="0.25">
      <c r="A782" s="74"/>
      <c r="C782" t="s">
        <v>1078</v>
      </c>
      <c r="D782" s="52">
        <f>D779/D776</f>
        <v>20833.333333333336</v>
      </c>
    </row>
    <row r="783" spans="1:8" x14ac:dyDescent="0.25">
      <c r="A783" s="74"/>
      <c r="C783" t="s">
        <v>1077</v>
      </c>
      <c r="D783">
        <f>D781/D776</f>
        <v>2.916666666666667</v>
      </c>
    </row>
    <row r="784" spans="1:8" x14ac:dyDescent="0.25">
      <c r="A784" s="74"/>
      <c r="C784" t="s">
        <v>1075</v>
      </c>
      <c r="D784" s="52">
        <f>CEILING(D778/D782, 1)</f>
        <v>5</v>
      </c>
    </row>
    <row r="785" spans="1:5" x14ac:dyDescent="0.25">
      <c r="A785" s="74"/>
      <c r="C785" t="s">
        <v>700</v>
      </c>
      <c r="D785" s="52">
        <v>6</v>
      </c>
    </row>
    <row r="786" spans="1:5" x14ac:dyDescent="0.25">
      <c r="A786" s="74"/>
      <c r="C786" t="s">
        <v>1081</v>
      </c>
      <c r="D786" s="83">
        <f>D778/D785</f>
        <v>16000</v>
      </c>
    </row>
    <row r="787" spans="1:5" x14ac:dyDescent="0.25">
      <c r="A787" s="74"/>
      <c r="C787" t="s">
        <v>212</v>
      </c>
      <c r="D787" s="51">
        <f>D780*D785</f>
        <v>6000000000</v>
      </c>
    </row>
    <row r="788" spans="1:5" x14ac:dyDescent="0.25">
      <c r="A788" s="74"/>
      <c r="C788" t="s">
        <v>701</v>
      </c>
      <c r="D788" s="27">
        <f>D778/D777</f>
        <v>48000</v>
      </c>
    </row>
    <row r="789" spans="1:5" x14ac:dyDescent="0.25">
      <c r="A789" s="74"/>
      <c r="C789" t="s">
        <v>702</v>
      </c>
      <c r="D789" s="27">
        <f>D787/D788</f>
        <v>125000</v>
      </c>
    </row>
    <row r="790" spans="1:5" x14ac:dyDescent="0.25">
      <c r="A790" s="74"/>
      <c r="C790" t="s">
        <v>739</v>
      </c>
      <c r="D790" s="54">
        <f>D789</f>
        <v>125000</v>
      </c>
    </row>
    <row r="791" spans="1:5" x14ac:dyDescent="0.25">
      <c r="A791" s="74"/>
      <c r="C791" t="s">
        <v>703</v>
      </c>
      <c r="D791" s="51">
        <f>D778/D787</f>
        <v>1.5999999999999999E-5</v>
      </c>
      <c r="E791" t="s">
        <v>20</v>
      </c>
    </row>
    <row r="792" spans="1:5" x14ac:dyDescent="0.25">
      <c r="A792" s="74"/>
      <c r="C792" t="s">
        <v>704</v>
      </c>
      <c r="D792" s="51">
        <f>POWER(D791, 2)*D780</f>
        <v>0.25600000000000001</v>
      </c>
    </row>
    <row r="793" spans="1:5" x14ac:dyDescent="0.25">
      <c r="A793" s="74"/>
      <c r="C793" t="s">
        <v>1080</v>
      </c>
      <c r="D793" s="51" t="b">
        <f>D786&lt;=D782</f>
        <v>1</v>
      </c>
    </row>
    <row r="794" spans="1:5" x14ac:dyDescent="0.25">
      <c r="A794" s="74"/>
      <c r="C794" t="s">
        <v>1079</v>
      </c>
      <c r="D794" s="51" t="b">
        <f>D792&lt;=D783</f>
        <v>1</v>
      </c>
    </row>
    <row r="795" spans="1:5" x14ac:dyDescent="0.25">
      <c r="A795" s="74"/>
      <c r="C795" t="s">
        <v>705</v>
      </c>
      <c r="D795" s="51">
        <f>D792*D785</f>
        <v>1.536</v>
      </c>
    </row>
    <row r="796" spans="1:5" x14ac:dyDescent="0.25">
      <c r="A796" s="74"/>
      <c r="C796" t="s">
        <v>706</v>
      </c>
      <c r="D796" s="51">
        <f>POWER(D791, 2)*D790</f>
        <v>3.1999999999999999E-5</v>
      </c>
    </row>
    <row r="798" spans="1:5" x14ac:dyDescent="0.25">
      <c r="A798" s="74" t="s">
        <v>699</v>
      </c>
      <c r="C798" t="s">
        <v>4</v>
      </c>
      <c r="D798">
        <v>1.2</v>
      </c>
    </row>
    <row r="799" spans="1:5" x14ac:dyDescent="0.25">
      <c r="A799" s="74"/>
      <c r="C799" t="s">
        <v>1071</v>
      </c>
      <c r="D799" s="52">
        <v>2</v>
      </c>
    </row>
    <row r="800" spans="1:5" x14ac:dyDescent="0.25">
      <c r="A800" s="74"/>
      <c r="C800" t="s">
        <v>1072</v>
      </c>
      <c r="D800" s="52">
        <f>1.2*D12</f>
        <v>16800</v>
      </c>
    </row>
    <row r="801" spans="1:4" x14ac:dyDescent="0.25">
      <c r="A801" s="74"/>
      <c r="C801" t="s">
        <v>1074</v>
      </c>
      <c r="D801" s="52">
        <v>25000</v>
      </c>
    </row>
    <row r="802" spans="1:4" x14ac:dyDescent="0.25">
      <c r="A802" s="74"/>
      <c r="C802" t="s">
        <v>1073</v>
      </c>
      <c r="D802" s="54">
        <v>100000000</v>
      </c>
    </row>
    <row r="803" spans="1:4" x14ac:dyDescent="0.25">
      <c r="A803" s="74"/>
      <c r="C803" t="s">
        <v>1076</v>
      </c>
      <c r="D803" s="52">
        <v>3.5</v>
      </c>
    </row>
    <row r="804" spans="1:4" x14ac:dyDescent="0.25">
      <c r="A804" s="74"/>
      <c r="C804" t="s">
        <v>1078</v>
      </c>
      <c r="D804" s="52">
        <f>D801/D798</f>
        <v>20833.333333333336</v>
      </c>
    </row>
    <row r="805" spans="1:4" x14ac:dyDescent="0.25">
      <c r="A805" s="74"/>
      <c r="C805" t="s">
        <v>1077</v>
      </c>
      <c r="D805">
        <f>D803/D798</f>
        <v>2.916666666666667</v>
      </c>
    </row>
    <row r="806" spans="1:4" x14ac:dyDescent="0.25">
      <c r="A806" s="74"/>
      <c r="C806" t="s">
        <v>1075</v>
      </c>
      <c r="D806" s="52">
        <f>CEILING(D800/D804, 1)</f>
        <v>1</v>
      </c>
    </row>
    <row r="807" spans="1:4" x14ac:dyDescent="0.25">
      <c r="A807" s="74"/>
      <c r="C807" t="s">
        <v>700</v>
      </c>
      <c r="D807" s="52">
        <v>2</v>
      </c>
    </row>
    <row r="808" spans="1:4" x14ac:dyDescent="0.25">
      <c r="A808" s="74"/>
      <c r="C808" t="s">
        <v>1081</v>
      </c>
      <c r="D808" s="83">
        <f>D800/D807</f>
        <v>8400</v>
      </c>
    </row>
    <row r="809" spans="1:4" x14ac:dyDescent="0.25">
      <c r="A809" s="74"/>
      <c r="C809" t="s">
        <v>212</v>
      </c>
      <c r="D809" s="51">
        <f>D802*D807</f>
        <v>200000000</v>
      </c>
    </row>
    <row r="810" spans="1:4" x14ac:dyDescent="0.25">
      <c r="A810" s="74"/>
      <c r="C810" t="s">
        <v>701</v>
      </c>
      <c r="D810" s="27">
        <f>D800/D799</f>
        <v>8400</v>
      </c>
    </row>
    <row r="811" spans="1:4" x14ac:dyDescent="0.25">
      <c r="A811" s="74"/>
      <c r="C811" t="s">
        <v>702</v>
      </c>
      <c r="D811" s="27">
        <f>D809/D810</f>
        <v>23809.523809523809</v>
      </c>
    </row>
    <row r="812" spans="1:4" x14ac:dyDescent="0.25">
      <c r="A812" s="74"/>
      <c r="C812" t="s">
        <v>739</v>
      </c>
      <c r="D812" s="54">
        <f>D811</f>
        <v>23809.523809523809</v>
      </c>
    </row>
    <row r="813" spans="1:4" x14ac:dyDescent="0.25">
      <c r="A813" s="74"/>
      <c r="C813" t="s">
        <v>703</v>
      </c>
      <c r="D813" s="51">
        <f>D800/D809</f>
        <v>8.3999999999999995E-5</v>
      </c>
    </row>
    <row r="814" spans="1:4" x14ac:dyDescent="0.25">
      <c r="A814" s="74"/>
      <c r="C814" t="s">
        <v>704</v>
      </c>
      <c r="D814" s="51">
        <f>POWER(D813,2)*D802</f>
        <v>0.7056</v>
      </c>
    </row>
    <row r="815" spans="1:4" x14ac:dyDescent="0.25">
      <c r="A815" s="74"/>
      <c r="C815" t="s">
        <v>1080</v>
      </c>
      <c r="D815" s="51" t="b">
        <f>D808&lt;=D804</f>
        <v>1</v>
      </c>
    </row>
    <row r="816" spans="1:4" x14ac:dyDescent="0.25">
      <c r="A816" s="74"/>
      <c r="C816" t="s">
        <v>1079</v>
      </c>
      <c r="D816" s="51" t="b">
        <f>D814&lt;=D805</f>
        <v>1</v>
      </c>
    </row>
    <row r="817" spans="1:5" x14ac:dyDescent="0.25">
      <c r="A817" s="74"/>
      <c r="C817" t="s">
        <v>705</v>
      </c>
      <c r="D817" s="51">
        <f>D814*D807</f>
        <v>1.4112</v>
      </c>
    </row>
    <row r="818" spans="1:5" x14ac:dyDescent="0.25">
      <c r="A818" s="74"/>
      <c r="C818" t="s">
        <v>706</v>
      </c>
      <c r="D818" s="51">
        <f>POWER(D813, 2)*D812</f>
        <v>1.6799999999999999E-4</v>
      </c>
    </row>
    <row r="819" spans="1:5" x14ac:dyDescent="0.25">
      <c r="A819" s="69"/>
      <c r="D819" s="51"/>
    </row>
    <row r="820" spans="1:5" x14ac:dyDescent="0.25">
      <c r="C820" t="s">
        <v>708</v>
      </c>
      <c r="D820">
        <v>3</v>
      </c>
    </row>
    <row r="821" spans="1:5" x14ac:dyDescent="0.25">
      <c r="A821" s="73" t="s">
        <v>707</v>
      </c>
      <c r="C821" t="s">
        <v>709</v>
      </c>
      <c r="D821">
        <v>550</v>
      </c>
      <c r="E821" t="s">
        <v>711</v>
      </c>
    </row>
    <row r="822" spans="1:5" x14ac:dyDescent="0.25">
      <c r="A822" s="73"/>
      <c r="C822" t="s">
        <v>710</v>
      </c>
      <c r="D822">
        <f>25.4*41.9*0.000001</f>
        <v>1.06426E-3</v>
      </c>
    </row>
    <row r="823" spans="1:5" x14ac:dyDescent="0.25">
      <c r="A823" s="73"/>
      <c r="C823" t="s">
        <v>712</v>
      </c>
      <c r="D823">
        <f>D822*D821*0.3048</f>
        <v>0.17841254640000004</v>
      </c>
      <c r="E823" t="s">
        <v>628</v>
      </c>
    </row>
    <row r="824" spans="1:5" x14ac:dyDescent="0.25">
      <c r="A824" s="73"/>
      <c r="C824" t="s">
        <v>713</v>
      </c>
      <c r="D824">
        <f>D823*50</f>
        <v>8.9206273200000012</v>
      </c>
    </row>
    <row r="825" spans="1:5" x14ac:dyDescent="0.25">
      <c r="A825" s="73"/>
    </row>
    <row r="826" spans="1:5" x14ac:dyDescent="0.25">
      <c r="A826" s="73"/>
    </row>
    <row r="827" spans="1:5" x14ac:dyDescent="0.25">
      <c r="A827" s="73"/>
    </row>
    <row r="828" spans="1:5" x14ac:dyDescent="0.25">
      <c r="A828" s="73"/>
    </row>
    <row r="829" spans="1:5" x14ac:dyDescent="0.25">
      <c r="A829" s="73"/>
    </row>
    <row r="830" spans="1:5" x14ac:dyDescent="0.25">
      <c r="A830" s="73"/>
    </row>
    <row r="831" spans="1:5" x14ac:dyDescent="0.25">
      <c r="A831" s="73"/>
    </row>
    <row r="832" spans="1:5" x14ac:dyDescent="0.25">
      <c r="A832" s="73"/>
    </row>
    <row r="833" spans="1:5" x14ac:dyDescent="0.25">
      <c r="A833" s="73"/>
    </row>
    <row r="834" spans="1:5" x14ac:dyDescent="0.25">
      <c r="C834" t="s">
        <v>741</v>
      </c>
      <c r="E834" s="1">
        <f>D67</f>
        <v>0.15679999999999999</v>
      </c>
    </row>
    <row r="835" spans="1:5" x14ac:dyDescent="0.25">
      <c r="A835" s="73" t="s">
        <v>740</v>
      </c>
      <c r="C835" t="s">
        <v>742</v>
      </c>
      <c r="E835">
        <f>D27</f>
        <v>0.7</v>
      </c>
    </row>
    <row r="836" spans="1:5" x14ac:dyDescent="0.25">
      <c r="A836" s="73"/>
      <c r="C836" t="s">
        <v>743</v>
      </c>
      <c r="E836" s="1">
        <f>D217+D218</f>
        <v>1.5361505115495317</v>
      </c>
    </row>
    <row r="837" spans="1:5" x14ac:dyDescent="0.25">
      <c r="A837" s="73"/>
      <c r="C837" t="s">
        <v>744</v>
      </c>
      <c r="E837" s="1">
        <f>E834+E835+E836</f>
        <v>2.3929505115495315</v>
      </c>
    </row>
    <row r="838" spans="1:5" x14ac:dyDescent="0.25">
      <c r="A838" s="73"/>
    </row>
    <row r="839" spans="1:5" x14ac:dyDescent="0.25">
      <c r="A839" s="73"/>
    </row>
    <row r="840" spans="1:5" x14ac:dyDescent="0.25">
      <c r="A840" s="73"/>
      <c r="C840" t="s">
        <v>4</v>
      </c>
      <c r="E840">
        <v>2</v>
      </c>
    </row>
    <row r="841" spans="1:5" x14ac:dyDescent="0.25">
      <c r="A841" s="73"/>
      <c r="C841" t="s">
        <v>629</v>
      </c>
      <c r="D841" t="s">
        <v>206</v>
      </c>
      <c r="E841">
        <v>0.17399999999999999</v>
      </c>
    </row>
    <row r="842" spans="1:5" x14ac:dyDescent="0.25">
      <c r="A842" s="73"/>
      <c r="C842" t="s">
        <v>630</v>
      </c>
      <c r="D842" t="s">
        <v>206</v>
      </c>
      <c r="E842">
        <v>0.5</v>
      </c>
    </row>
    <row r="843" spans="1:5" x14ac:dyDescent="0.25">
      <c r="A843" s="73"/>
      <c r="C843" t="s">
        <v>627</v>
      </c>
      <c r="D843" t="s">
        <v>638</v>
      </c>
      <c r="E843">
        <f>POWER(E841/2, 2)*PI()*E842</f>
        <v>1.1889357397510571E-2</v>
      </c>
    </row>
    <row r="844" spans="1:5" x14ac:dyDescent="0.25">
      <c r="A844" s="73"/>
      <c r="C844" t="s">
        <v>631</v>
      </c>
      <c r="E844" s="1">
        <f>E837</f>
        <v>2.3929505115495315</v>
      </c>
    </row>
    <row r="845" spans="1:5" x14ac:dyDescent="0.25">
      <c r="A845" s="73"/>
      <c r="C845" t="s">
        <v>636</v>
      </c>
      <c r="D845" t="s">
        <v>632</v>
      </c>
      <c r="E845">
        <v>2300</v>
      </c>
    </row>
    <row r="846" spans="1:5" x14ac:dyDescent="0.25">
      <c r="A846" s="73"/>
      <c r="C846" t="s">
        <v>633</v>
      </c>
      <c r="D846" t="s">
        <v>634</v>
      </c>
      <c r="E846">
        <v>20</v>
      </c>
    </row>
    <row r="847" spans="1:5" x14ac:dyDescent="0.25">
      <c r="A847" s="73"/>
      <c r="C847" t="s">
        <v>635</v>
      </c>
      <c r="D847" t="s">
        <v>637</v>
      </c>
      <c r="E847">
        <v>800</v>
      </c>
    </row>
    <row r="848" spans="1:5" x14ac:dyDescent="0.25">
      <c r="A848" s="73"/>
      <c r="C848" t="s">
        <v>639</v>
      </c>
      <c r="D848" t="s">
        <v>640</v>
      </c>
      <c r="E848">
        <f>E847*E843</f>
        <v>9.5114859180084572</v>
      </c>
    </row>
    <row r="849" spans="1:5" x14ac:dyDescent="0.25">
      <c r="A849" s="73"/>
      <c r="C849" t="s">
        <v>641</v>
      </c>
      <c r="D849" t="s">
        <v>642</v>
      </c>
      <c r="E849">
        <f>E845*E848*E846</f>
        <v>437528.35222838906</v>
      </c>
    </row>
    <row r="850" spans="1:5" x14ac:dyDescent="0.25">
      <c r="A850" s="73"/>
      <c r="C850" t="s">
        <v>643</v>
      </c>
      <c r="D850" t="s">
        <v>323</v>
      </c>
      <c r="E850">
        <f>E849/E844</f>
        <v>182840.53519563674</v>
      </c>
    </row>
    <row r="851" spans="1:5" x14ac:dyDescent="0.25">
      <c r="A851" s="73"/>
      <c r="C851" t="s">
        <v>644</v>
      </c>
      <c r="D851" t="s">
        <v>323</v>
      </c>
      <c r="E851">
        <f>E850/E840</f>
        <v>91420.267597818369</v>
      </c>
    </row>
    <row r="852" spans="1:5" x14ac:dyDescent="0.25">
      <c r="A852" s="73"/>
      <c r="C852" t="s">
        <v>645</v>
      </c>
      <c r="D852" t="s">
        <v>646</v>
      </c>
      <c r="E852">
        <f>E843/E851</f>
        <v>1.3005165823638758E-7</v>
      </c>
    </row>
    <row r="853" spans="1:5" x14ac:dyDescent="0.25">
      <c r="A853" s="73"/>
      <c r="C853" t="s">
        <v>645</v>
      </c>
      <c r="D853" t="s">
        <v>647</v>
      </c>
      <c r="E853">
        <f>(1000000)*E852</f>
        <v>0.13005165823638759</v>
      </c>
    </row>
    <row r="854" spans="1:5" x14ac:dyDescent="0.25">
      <c r="A854" s="73"/>
      <c r="C854" t="s">
        <v>648</v>
      </c>
      <c r="D854" t="s">
        <v>649</v>
      </c>
      <c r="E854">
        <v>0.1</v>
      </c>
    </row>
    <row r="855" spans="1:5" x14ac:dyDescent="0.25">
      <c r="A855" s="73"/>
      <c r="C855" t="s">
        <v>650</v>
      </c>
      <c r="D855" t="s">
        <v>207</v>
      </c>
      <c r="E855">
        <f>E852/E854</f>
        <v>1.3005165823638757E-6</v>
      </c>
    </row>
    <row r="856" spans="1:5" x14ac:dyDescent="0.25">
      <c r="A856" s="73"/>
      <c r="C856" t="s">
        <v>651</v>
      </c>
      <c r="D856" t="s">
        <v>206</v>
      </c>
      <c r="E856">
        <f>2*POWER(E855/PI(), 0.5)</f>
        <v>1.286805790027971E-3</v>
      </c>
    </row>
    <row r="857" spans="1:5" x14ac:dyDescent="0.25">
      <c r="A857" s="73"/>
      <c r="C857" t="s">
        <v>653</v>
      </c>
      <c r="D857" t="s">
        <v>206</v>
      </c>
      <c r="E857">
        <f>CEILING(E856, 0.001)</f>
        <v>2E-3</v>
      </c>
    </row>
    <row r="858" spans="1:5" x14ac:dyDescent="0.25">
      <c r="A858" s="73"/>
      <c r="C858" t="s">
        <v>652</v>
      </c>
      <c r="D858" t="s">
        <v>133</v>
      </c>
      <c r="E858">
        <f>E857*1000</f>
        <v>2</v>
      </c>
    </row>
    <row r="859" spans="1:5" x14ac:dyDescent="0.25">
      <c r="A859" s="73"/>
      <c r="C859" t="s">
        <v>658</v>
      </c>
      <c r="D859" t="s">
        <v>133</v>
      </c>
      <c r="E859">
        <v>9</v>
      </c>
    </row>
    <row r="860" spans="1:5" x14ac:dyDescent="0.25">
      <c r="A860" s="73"/>
      <c r="C860" t="s">
        <v>659</v>
      </c>
      <c r="E860">
        <f>E859/1000</f>
        <v>8.9999999999999993E-3</v>
      </c>
    </row>
    <row r="861" spans="1:5" x14ac:dyDescent="0.25">
      <c r="C861" t="s">
        <v>656</v>
      </c>
      <c r="E861">
        <f>0.00604</f>
        <v>6.0400000000000002E-3</v>
      </c>
    </row>
    <row r="862" spans="1:5" x14ac:dyDescent="0.25">
      <c r="C862" t="s">
        <v>655</v>
      </c>
      <c r="E862">
        <f>E861/E847</f>
        <v>7.5500000000000006E-6</v>
      </c>
    </row>
    <row r="863" spans="1:5" x14ac:dyDescent="0.25">
      <c r="C863" t="s">
        <v>654</v>
      </c>
      <c r="E863">
        <v>2300</v>
      </c>
    </row>
    <row r="864" spans="1:5" x14ac:dyDescent="0.25">
      <c r="C864" t="s">
        <v>657</v>
      </c>
      <c r="E864">
        <f>E847*E854*E860/E861</f>
        <v>119.20529801324503</v>
      </c>
    </row>
    <row r="865" spans="1:15" x14ac:dyDescent="0.25">
      <c r="C865" t="s">
        <v>660</v>
      </c>
      <c r="E865" t="b">
        <f>E864&lt;E863</f>
        <v>1</v>
      </c>
    </row>
    <row r="868" spans="1:15" x14ac:dyDescent="0.25">
      <c r="B868" t="s">
        <v>37</v>
      </c>
      <c r="C868" t="s">
        <v>43</v>
      </c>
      <c r="D868" t="s">
        <v>21</v>
      </c>
      <c r="E868">
        <f>D5</f>
        <v>35.400000000000006</v>
      </c>
    </row>
    <row r="869" spans="1:15" x14ac:dyDescent="0.25">
      <c r="A869" s="73" t="s">
        <v>761</v>
      </c>
      <c r="B869" t="s">
        <v>474</v>
      </c>
      <c r="C869" t="s">
        <v>475</v>
      </c>
      <c r="D869" t="s">
        <v>21</v>
      </c>
      <c r="E869">
        <f>D6</f>
        <v>38.099999999999994</v>
      </c>
    </row>
    <row r="870" spans="1:15" x14ac:dyDescent="0.25">
      <c r="A870" s="73"/>
      <c r="B870" t="s">
        <v>38</v>
      </c>
      <c r="C870" t="s">
        <v>42</v>
      </c>
      <c r="D870" t="s">
        <v>21</v>
      </c>
      <c r="E870">
        <f>D7</f>
        <v>44.1</v>
      </c>
    </row>
    <row r="871" spans="1:15" x14ac:dyDescent="0.25">
      <c r="A871" s="73"/>
      <c r="C871" t="s">
        <v>762</v>
      </c>
      <c r="D871" t="s">
        <v>20</v>
      </c>
      <c r="E871">
        <v>3</v>
      </c>
    </row>
    <row r="872" spans="1:15" x14ac:dyDescent="0.25">
      <c r="A872" s="73"/>
      <c r="C872" t="s">
        <v>763</v>
      </c>
      <c r="E872">
        <f>(E870/E871)</f>
        <v>14.700000000000001</v>
      </c>
    </row>
    <row r="873" spans="1:15" x14ac:dyDescent="0.25">
      <c r="A873" s="73"/>
      <c r="C873" t="s">
        <v>764</v>
      </c>
      <c r="E873">
        <f>E868/E871</f>
        <v>11.800000000000002</v>
      </c>
    </row>
    <row r="874" spans="1:15" ht="18.75" customHeight="1" x14ac:dyDescent="0.25">
      <c r="A874" s="73"/>
      <c r="C874" t="s">
        <v>765</v>
      </c>
      <c r="E874">
        <f>E869/E871</f>
        <v>12.699999999999998</v>
      </c>
    </row>
    <row r="875" spans="1:15" hidden="1" x14ac:dyDescent="0.25">
      <c r="A875" s="73"/>
      <c r="C875" t="s">
        <v>766</v>
      </c>
      <c r="E875">
        <f>12</f>
        <v>12</v>
      </c>
    </row>
    <row r="876" spans="1:15" ht="115.5" customHeight="1" x14ac:dyDescent="0.25">
      <c r="A876" s="73"/>
      <c r="C876" t="s">
        <v>767</v>
      </c>
      <c r="E876">
        <f>E870*E870/E875</f>
        <v>162.06750000000002</v>
      </c>
      <c r="G876" s="17" t="s">
        <v>194</v>
      </c>
      <c r="H876" s="43" t="s">
        <v>773</v>
      </c>
      <c r="I876" s="43" t="s">
        <v>776</v>
      </c>
      <c r="J876" s="43" t="s">
        <v>775</v>
      </c>
      <c r="K876" s="43" t="s">
        <v>774</v>
      </c>
      <c r="L876" s="43" t="s">
        <v>777</v>
      </c>
      <c r="M876" s="43" t="s">
        <v>778</v>
      </c>
      <c r="N876" s="43" t="s">
        <v>780</v>
      </c>
      <c r="O876" s="42"/>
    </row>
    <row r="877" spans="1:15" x14ac:dyDescent="0.25">
      <c r="A877" s="73"/>
      <c r="C877" t="s">
        <v>768</v>
      </c>
      <c r="E877">
        <f>6</f>
        <v>6</v>
      </c>
      <c r="G877" s="17">
        <v>1</v>
      </c>
      <c r="H877" s="17">
        <f>E870/G877</f>
        <v>44.1</v>
      </c>
      <c r="I877" s="17">
        <f>H877*H877*G877</f>
        <v>1944.8100000000002</v>
      </c>
      <c r="J877" s="17">
        <f>I877/2</f>
        <v>972.40500000000009</v>
      </c>
      <c r="K877" s="17">
        <f>E868/G877</f>
        <v>35.400000000000006</v>
      </c>
      <c r="L877" s="17">
        <f>E868*E868/G877</f>
        <v>1253.1600000000003</v>
      </c>
      <c r="M877" s="17">
        <f>L877/2</f>
        <v>626.58000000000015</v>
      </c>
      <c r="N877" s="42"/>
    </row>
    <row r="878" spans="1:15" x14ac:dyDescent="0.25">
      <c r="A878" s="73"/>
      <c r="C878" t="s">
        <v>769</v>
      </c>
      <c r="E878">
        <v>2</v>
      </c>
      <c r="G878" s="17">
        <v>2</v>
      </c>
      <c r="H878" s="17">
        <f>E870/G878</f>
        <v>22.05</v>
      </c>
      <c r="I878" s="17">
        <f t="shared" ref="I878:I891" si="83">H878*H878*G878</f>
        <v>972.40500000000009</v>
      </c>
      <c r="J878" s="17">
        <f>I878/2</f>
        <v>486.20250000000004</v>
      </c>
      <c r="K878" s="17">
        <f>E868/G878</f>
        <v>17.700000000000003</v>
      </c>
      <c r="L878" s="17">
        <f>E868*E868/G878</f>
        <v>626.58000000000015</v>
      </c>
      <c r="M878" s="17">
        <f>L878/2</f>
        <v>313.29000000000008</v>
      </c>
      <c r="N878" s="42"/>
    </row>
    <row r="879" spans="1:15" x14ac:dyDescent="0.25">
      <c r="A879" s="73"/>
      <c r="C879" t="s">
        <v>770</v>
      </c>
      <c r="E879">
        <f xml:space="preserve"> E877*E878</f>
        <v>12</v>
      </c>
      <c r="G879" s="17">
        <v>3</v>
      </c>
      <c r="H879" s="17">
        <f>E870/G879</f>
        <v>14.700000000000001</v>
      </c>
      <c r="I879" s="17">
        <f t="shared" si="83"/>
        <v>648.2700000000001</v>
      </c>
      <c r="J879" s="17">
        <f>I879/2</f>
        <v>324.13500000000005</v>
      </c>
      <c r="K879" s="17">
        <f>E868/G879</f>
        <v>11.800000000000002</v>
      </c>
      <c r="L879" s="17">
        <f>E868*E868/G879</f>
        <v>417.72000000000008</v>
      </c>
      <c r="M879" s="17">
        <f>L879/2</f>
        <v>208.86000000000004</v>
      </c>
    </row>
    <row r="880" spans="1:15" x14ac:dyDescent="0.25">
      <c r="A880" s="73"/>
      <c r="G880" s="17">
        <v>4</v>
      </c>
      <c r="H880" s="17">
        <f>E870/G880</f>
        <v>11.025</v>
      </c>
      <c r="I880" s="17">
        <f t="shared" si="83"/>
        <v>486.20250000000004</v>
      </c>
      <c r="J880" s="17">
        <f t="shared" ref="J880:J891" si="84">I880/2</f>
        <v>243.10125000000002</v>
      </c>
      <c r="K880" s="17">
        <f>E868/G880</f>
        <v>8.8500000000000014</v>
      </c>
      <c r="L880" s="17">
        <f>E868*E868/G880</f>
        <v>313.29000000000008</v>
      </c>
      <c r="M880" s="17">
        <f t="shared" ref="M880:M891" si="85">L880/2</f>
        <v>156.64500000000004</v>
      </c>
    </row>
    <row r="881" spans="1:14" x14ac:dyDescent="0.25">
      <c r="A881" s="73"/>
      <c r="C881" t="s">
        <v>771</v>
      </c>
      <c r="E881">
        <f>(POWER(E870,2))/(200*2)</f>
        <v>4.862025</v>
      </c>
      <c r="G881" s="17">
        <v>5</v>
      </c>
      <c r="H881" s="17">
        <f>E870/G881</f>
        <v>8.82</v>
      </c>
      <c r="I881" s="17">
        <f t="shared" si="83"/>
        <v>388.96199999999999</v>
      </c>
      <c r="J881" s="17">
        <f t="shared" si="84"/>
        <v>194.48099999999999</v>
      </c>
      <c r="K881" s="17">
        <f>E868/G881</f>
        <v>7.080000000000001</v>
      </c>
      <c r="L881" s="17">
        <f>E868*E868/G881</f>
        <v>250.63200000000006</v>
      </c>
      <c r="M881" s="17">
        <f t="shared" si="85"/>
        <v>125.31600000000003</v>
      </c>
      <c r="N881" t="s">
        <v>779</v>
      </c>
    </row>
    <row r="882" spans="1:14" x14ac:dyDescent="0.25">
      <c r="A882" s="73"/>
      <c r="C882" t="s">
        <v>772</v>
      </c>
      <c r="E882">
        <f>E870/E881</f>
        <v>9.0702947845804989</v>
      </c>
      <c r="G882" s="17">
        <v>6</v>
      </c>
      <c r="H882" s="17">
        <f>E870/G882</f>
        <v>7.3500000000000005</v>
      </c>
      <c r="I882" s="17">
        <f t="shared" si="83"/>
        <v>324.13500000000005</v>
      </c>
      <c r="J882" s="17">
        <f t="shared" si="84"/>
        <v>162.06750000000002</v>
      </c>
      <c r="K882" s="17">
        <f>E868/G882</f>
        <v>5.9000000000000012</v>
      </c>
      <c r="L882" s="17">
        <f>E868*E868/G882</f>
        <v>208.86000000000004</v>
      </c>
      <c r="M882" s="17">
        <f t="shared" si="85"/>
        <v>104.43000000000002</v>
      </c>
      <c r="N882" t="s">
        <v>781</v>
      </c>
    </row>
    <row r="883" spans="1:14" x14ac:dyDescent="0.25">
      <c r="A883" s="73"/>
      <c r="G883" s="17">
        <v>7</v>
      </c>
      <c r="H883" s="17">
        <f>E870/G883</f>
        <v>6.3</v>
      </c>
      <c r="I883" s="17">
        <f t="shared" si="83"/>
        <v>277.83</v>
      </c>
      <c r="J883" s="17">
        <f t="shared" si="84"/>
        <v>138.91499999999999</v>
      </c>
      <c r="K883" s="17">
        <f>E868/G883</f>
        <v>5.0571428571428578</v>
      </c>
      <c r="L883" s="17">
        <f>E868*E868/G883</f>
        <v>179.02285714285719</v>
      </c>
      <c r="M883" s="17">
        <f t="shared" si="85"/>
        <v>89.511428571428596</v>
      </c>
      <c r="N883" t="s">
        <v>782</v>
      </c>
    </row>
    <row r="884" spans="1:14" x14ac:dyDescent="0.25">
      <c r="G884" s="17">
        <v>8</v>
      </c>
      <c r="H884" s="17">
        <f>E870/G884</f>
        <v>5.5125000000000002</v>
      </c>
      <c r="I884" s="17">
        <f t="shared" si="83"/>
        <v>243.10125000000002</v>
      </c>
      <c r="J884" s="17">
        <f t="shared" si="84"/>
        <v>121.55062500000001</v>
      </c>
      <c r="K884" s="17">
        <f>E868/G884</f>
        <v>4.4250000000000007</v>
      </c>
      <c r="L884" s="17">
        <f>E868*E868/G884</f>
        <v>156.64500000000004</v>
      </c>
      <c r="M884" s="17">
        <f t="shared" si="85"/>
        <v>78.322500000000019</v>
      </c>
      <c r="N884" t="s">
        <v>783</v>
      </c>
    </row>
    <row r="885" spans="1:14" x14ac:dyDescent="0.25">
      <c r="G885" s="17">
        <v>9</v>
      </c>
      <c r="H885" s="17">
        <f>E870/G885</f>
        <v>4.9000000000000004</v>
      </c>
      <c r="I885" s="17">
        <f t="shared" si="83"/>
        <v>216.09000000000003</v>
      </c>
      <c r="J885" s="17">
        <f t="shared" si="84"/>
        <v>108.04500000000002</v>
      </c>
      <c r="K885" s="17">
        <f>E868/G885</f>
        <v>3.933333333333334</v>
      </c>
      <c r="L885" s="17">
        <f>E868*E868/G885</f>
        <v>139.24000000000004</v>
      </c>
      <c r="M885" s="17">
        <f t="shared" si="85"/>
        <v>69.620000000000019</v>
      </c>
      <c r="N885" t="s">
        <v>784</v>
      </c>
    </row>
    <row r="886" spans="1:14" x14ac:dyDescent="0.25">
      <c r="G886" s="17">
        <v>10</v>
      </c>
      <c r="H886" s="17">
        <f>E870/G886</f>
        <v>4.41</v>
      </c>
      <c r="I886" s="17">
        <f t="shared" si="83"/>
        <v>194.48099999999999</v>
      </c>
      <c r="J886" s="17">
        <f t="shared" si="84"/>
        <v>97.240499999999997</v>
      </c>
      <c r="K886" s="17">
        <f>E868/G886</f>
        <v>3.5400000000000005</v>
      </c>
      <c r="L886" s="17">
        <f>E868*E868/G886</f>
        <v>125.31600000000003</v>
      </c>
      <c r="M886" s="17">
        <f t="shared" si="85"/>
        <v>62.658000000000015</v>
      </c>
      <c r="N886" t="s">
        <v>785</v>
      </c>
    </row>
    <row r="887" spans="1:14" x14ac:dyDescent="0.25">
      <c r="A887" s="73" t="s">
        <v>869</v>
      </c>
      <c r="B887" t="s">
        <v>855</v>
      </c>
      <c r="C887" t="s">
        <v>854</v>
      </c>
      <c r="E887">
        <v>5</v>
      </c>
      <c r="F887" s="8" t="s">
        <v>21</v>
      </c>
      <c r="G887" s="17">
        <v>11</v>
      </c>
      <c r="H887" s="17">
        <f>E870/G887</f>
        <v>4.0090909090909088</v>
      </c>
      <c r="I887" s="17">
        <f t="shared" si="83"/>
        <v>176.80090909090904</v>
      </c>
      <c r="J887" s="17">
        <f t="shared" si="84"/>
        <v>88.400454545454522</v>
      </c>
      <c r="K887" s="17">
        <f>E868/G887</f>
        <v>3.2181818181818187</v>
      </c>
      <c r="L887" s="17">
        <f>E868*E868/G887</f>
        <v>113.92363636363639</v>
      </c>
      <c r="M887" s="17">
        <f t="shared" si="85"/>
        <v>56.961818181818195</v>
      </c>
      <c r="N887" t="s">
        <v>786</v>
      </c>
    </row>
    <row r="888" spans="1:14" x14ac:dyDescent="0.25">
      <c r="A888" s="73"/>
      <c r="B888" t="s">
        <v>857</v>
      </c>
      <c r="C888" t="s">
        <v>858</v>
      </c>
      <c r="E888">
        <f>2000</f>
        <v>2000</v>
      </c>
      <c r="F888" s="8" t="s">
        <v>24</v>
      </c>
      <c r="G888" s="17">
        <v>12</v>
      </c>
      <c r="H888" s="17">
        <f>E870/G888</f>
        <v>3.6750000000000003</v>
      </c>
      <c r="I888" s="17">
        <f t="shared" si="83"/>
        <v>162.06750000000002</v>
      </c>
      <c r="J888" s="17">
        <f t="shared" si="84"/>
        <v>81.033750000000012</v>
      </c>
      <c r="K888" s="17">
        <f>E868/G888</f>
        <v>2.9500000000000006</v>
      </c>
      <c r="L888" s="17">
        <f>E868*E868/G888</f>
        <v>104.43000000000002</v>
      </c>
      <c r="M888" s="17">
        <f t="shared" si="85"/>
        <v>52.215000000000011</v>
      </c>
      <c r="N888" t="s">
        <v>788</v>
      </c>
    </row>
    <row r="889" spans="1:14" x14ac:dyDescent="0.25">
      <c r="A889" s="73"/>
      <c r="B889" t="s">
        <v>856</v>
      </c>
      <c r="C889" t="s">
        <v>859</v>
      </c>
      <c r="E889">
        <f>((E887/1.23)-1)*E888</f>
        <v>6130.081300813009</v>
      </c>
      <c r="F889" s="8" t="s">
        <v>24</v>
      </c>
      <c r="G889" s="17">
        <v>13</v>
      </c>
      <c r="H889" s="17">
        <f>E870/G889</f>
        <v>3.3923076923076922</v>
      </c>
      <c r="I889" s="17">
        <f t="shared" si="83"/>
        <v>149.60076923076923</v>
      </c>
      <c r="J889" s="17">
        <f t="shared" si="84"/>
        <v>74.800384615384615</v>
      </c>
      <c r="K889" s="17">
        <f>E868/G889</f>
        <v>2.7230769230769236</v>
      </c>
      <c r="L889" s="17">
        <f>E868*E868/G889</f>
        <v>96.396923076923102</v>
      </c>
      <c r="M889" s="17">
        <f t="shared" si="85"/>
        <v>48.198461538461551</v>
      </c>
      <c r="N889" t="s">
        <v>787</v>
      </c>
    </row>
    <row r="890" spans="1:14" x14ac:dyDescent="0.25">
      <c r="A890" s="47"/>
      <c r="B890" t="s">
        <v>868</v>
      </c>
      <c r="C890" t="s">
        <v>874</v>
      </c>
      <c r="E890">
        <f>1/(31000*E889)</f>
        <v>5.26225720886455E-9</v>
      </c>
      <c r="F890" s="8" t="s">
        <v>23</v>
      </c>
      <c r="G890" s="17"/>
      <c r="H890" s="17"/>
      <c r="I890" s="17"/>
      <c r="J890" s="17"/>
      <c r="K890" s="17"/>
      <c r="L890" s="17"/>
      <c r="M890" s="17"/>
    </row>
    <row r="891" spans="1:14" x14ac:dyDescent="0.25">
      <c r="G891" s="17">
        <v>14</v>
      </c>
      <c r="H891" s="17">
        <f>E870/G891</f>
        <v>3.15</v>
      </c>
      <c r="I891" s="17">
        <f t="shared" si="83"/>
        <v>138.91499999999999</v>
      </c>
      <c r="J891" s="17">
        <f t="shared" si="84"/>
        <v>69.457499999999996</v>
      </c>
      <c r="K891" s="17">
        <f>E868/G891</f>
        <v>2.5285714285714289</v>
      </c>
      <c r="L891" s="17">
        <f>E868*E868/G891</f>
        <v>89.511428571428596</v>
      </c>
      <c r="M891" s="17">
        <f t="shared" si="85"/>
        <v>44.755714285714298</v>
      </c>
      <c r="N891" t="s">
        <v>789</v>
      </c>
    </row>
    <row r="892" spans="1:14" x14ac:dyDescent="0.25">
      <c r="A892" s="73" t="s">
        <v>870</v>
      </c>
      <c r="B892" t="s">
        <v>855</v>
      </c>
      <c r="C892" t="s">
        <v>854</v>
      </c>
      <c r="E892">
        <v>3.3</v>
      </c>
      <c r="F892" s="8" t="s">
        <v>21</v>
      </c>
    </row>
    <row r="893" spans="1:14" x14ac:dyDescent="0.25">
      <c r="A893" s="73"/>
      <c r="B893" t="s">
        <v>857</v>
      </c>
      <c r="C893" t="s">
        <v>858</v>
      </c>
      <c r="E893">
        <f>2000</f>
        <v>2000</v>
      </c>
      <c r="F893" s="8" t="s">
        <v>24</v>
      </c>
    </row>
    <row r="894" spans="1:14" x14ac:dyDescent="0.25">
      <c r="A894" s="73"/>
      <c r="B894" t="s">
        <v>856</v>
      </c>
      <c r="C894" t="s">
        <v>859</v>
      </c>
      <c r="E894">
        <f>((E892/1.23)-1)*E893</f>
        <v>3365.8536585365846</v>
      </c>
      <c r="F894" s="8" t="s">
        <v>24</v>
      </c>
    </row>
    <row r="895" spans="1:14" x14ac:dyDescent="0.25">
      <c r="B895" t="s">
        <v>868</v>
      </c>
      <c r="C895" t="s">
        <v>874</v>
      </c>
      <c r="E895">
        <f>1/(31000*E894)</f>
        <v>9.583917718560077E-9</v>
      </c>
      <c r="F895" s="8" t="s">
        <v>23</v>
      </c>
    </row>
    <row r="897" spans="1:6" x14ac:dyDescent="0.25">
      <c r="A897" s="73" t="s">
        <v>873</v>
      </c>
      <c r="B897" t="s">
        <v>855</v>
      </c>
      <c r="C897" t="s">
        <v>854</v>
      </c>
      <c r="E897">
        <v>10</v>
      </c>
      <c r="F897" s="8" t="s">
        <v>21</v>
      </c>
    </row>
    <row r="898" spans="1:6" x14ac:dyDescent="0.25">
      <c r="A898" s="73"/>
      <c r="B898" t="s">
        <v>857</v>
      </c>
      <c r="C898" t="s">
        <v>858</v>
      </c>
      <c r="E898">
        <f>2000</f>
        <v>2000</v>
      </c>
      <c r="F898" s="8" t="s">
        <v>24</v>
      </c>
    </row>
    <row r="899" spans="1:6" x14ac:dyDescent="0.25">
      <c r="A899" s="73"/>
      <c r="B899" t="s">
        <v>856</v>
      </c>
      <c r="C899" t="s">
        <v>859</v>
      </c>
      <c r="E899">
        <f>((E897/1.23)-1)*E898</f>
        <v>14260.162601626018</v>
      </c>
      <c r="F899" s="8" t="s">
        <v>24</v>
      </c>
    </row>
    <row r="900" spans="1:6" x14ac:dyDescent="0.25">
      <c r="B900" t="s">
        <v>868</v>
      </c>
      <c r="C900" t="s">
        <v>874</v>
      </c>
      <c r="E900">
        <f>1/(31000*E899)</f>
        <v>2.2621105675506673E-9</v>
      </c>
      <c r="F900" s="8" t="s">
        <v>23</v>
      </c>
    </row>
    <row r="902" spans="1:6" x14ac:dyDescent="0.25">
      <c r="A902" s="73" t="s">
        <v>871</v>
      </c>
      <c r="B902" t="s">
        <v>861</v>
      </c>
      <c r="C902" t="s">
        <v>860</v>
      </c>
      <c r="E902">
        <v>2</v>
      </c>
      <c r="F902" s="8" t="s">
        <v>21</v>
      </c>
    </row>
    <row r="903" spans="1:6" x14ac:dyDescent="0.25">
      <c r="A903" s="73"/>
      <c r="B903" t="s">
        <v>862</v>
      </c>
      <c r="C903" t="s">
        <v>863</v>
      </c>
      <c r="E903">
        <v>30</v>
      </c>
      <c r="F903" s="8" t="s">
        <v>21</v>
      </c>
    </row>
    <row r="904" spans="1:6" x14ac:dyDescent="0.25">
      <c r="A904" s="73"/>
      <c r="B904" t="s">
        <v>857</v>
      </c>
      <c r="C904" t="s">
        <v>858</v>
      </c>
      <c r="E904">
        <f>2000</f>
        <v>2000</v>
      </c>
      <c r="F904" s="8" t="s">
        <v>24</v>
      </c>
    </row>
    <row r="905" spans="1:6" x14ac:dyDescent="0.25">
      <c r="A905" s="73"/>
      <c r="B905" t="s">
        <v>867</v>
      </c>
      <c r="C905" t="s">
        <v>864</v>
      </c>
      <c r="E905">
        <f>((E902/1.23)-1)*E904</f>
        <v>1252.0325203252032</v>
      </c>
      <c r="F905" s="8" t="s">
        <v>24</v>
      </c>
    </row>
    <row r="906" spans="1:6" x14ac:dyDescent="0.25">
      <c r="A906" s="73"/>
      <c r="B906" t="s">
        <v>866</v>
      </c>
      <c r="C906" t="s">
        <v>865</v>
      </c>
      <c r="E906">
        <f>((E903/1.23)-1)*E904</f>
        <v>46780.487804878052</v>
      </c>
      <c r="F906" s="8" t="s">
        <v>24</v>
      </c>
    </row>
    <row r="907" spans="1:6" x14ac:dyDescent="0.25">
      <c r="A907" s="73"/>
      <c r="B907" t="s">
        <v>868</v>
      </c>
      <c r="C907" t="s">
        <v>874</v>
      </c>
      <c r="E907">
        <f>1/(31000*E905)</f>
        <v>2.5764558022622537E-8</v>
      </c>
      <c r="F907" s="8" t="s">
        <v>23</v>
      </c>
    </row>
    <row r="909" spans="1:6" x14ac:dyDescent="0.25">
      <c r="A909" s="73" t="s">
        <v>872</v>
      </c>
      <c r="B909" t="s">
        <v>861</v>
      </c>
      <c r="C909" t="s">
        <v>860</v>
      </c>
      <c r="E909">
        <v>9</v>
      </c>
      <c r="F909" s="8" t="s">
        <v>21</v>
      </c>
    </row>
    <row r="910" spans="1:6" x14ac:dyDescent="0.25">
      <c r="A910" s="73"/>
      <c r="B910" t="s">
        <v>862</v>
      </c>
      <c r="C910" t="s">
        <v>863</v>
      </c>
      <c r="E910">
        <v>20</v>
      </c>
      <c r="F910" s="8" t="s">
        <v>21</v>
      </c>
    </row>
    <row r="911" spans="1:6" x14ac:dyDescent="0.25">
      <c r="A911" s="73"/>
      <c r="B911" t="s">
        <v>857</v>
      </c>
      <c r="C911" t="s">
        <v>858</v>
      </c>
      <c r="E911">
        <f>2000</f>
        <v>2000</v>
      </c>
      <c r="F911" s="8" t="s">
        <v>24</v>
      </c>
    </row>
    <row r="912" spans="1:6" x14ac:dyDescent="0.25">
      <c r="A912" s="73"/>
      <c r="B912" t="s">
        <v>867</v>
      </c>
      <c r="C912" t="s">
        <v>864</v>
      </c>
      <c r="E912">
        <f>((E909/1.23)-1)*E911</f>
        <v>12634.146341463415</v>
      </c>
      <c r="F912" s="8" t="s">
        <v>24</v>
      </c>
    </row>
    <row r="913" spans="1:6" x14ac:dyDescent="0.25">
      <c r="A913" s="73"/>
      <c r="B913" t="s">
        <v>866</v>
      </c>
      <c r="C913" t="s">
        <v>865</v>
      </c>
      <c r="E913">
        <f>((E910/1.23)-1)*E911</f>
        <v>30520.325203252036</v>
      </c>
      <c r="F913" s="8" t="s">
        <v>24</v>
      </c>
    </row>
    <row r="914" spans="1:6" x14ac:dyDescent="0.25">
      <c r="A914" s="73"/>
      <c r="B914" t="s">
        <v>868</v>
      </c>
      <c r="C914" t="s">
        <v>874</v>
      </c>
      <c r="E914">
        <f>1/(31000*E912)</f>
        <v>2.5532444887283596E-9</v>
      </c>
      <c r="F914" s="8" t="s">
        <v>23</v>
      </c>
    </row>
  </sheetData>
  <mergeCells count="34">
    <mergeCell ref="G111:K111"/>
    <mergeCell ref="A99:A136"/>
    <mergeCell ref="A196:A220"/>
    <mergeCell ref="A167:A193"/>
    <mergeCell ref="A138:A164"/>
    <mergeCell ref="A887:A889"/>
    <mergeCell ref="A892:A894"/>
    <mergeCell ref="A897:A899"/>
    <mergeCell ref="A902:A907"/>
    <mergeCell ref="A909:A914"/>
    <mergeCell ref="A31:A59"/>
    <mergeCell ref="A835:A860"/>
    <mergeCell ref="A286:A337"/>
    <mergeCell ref="G19:J22"/>
    <mergeCell ref="G29:K34"/>
    <mergeCell ref="A562:A628"/>
    <mergeCell ref="A20:A29"/>
    <mergeCell ref="A61:A69"/>
    <mergeCell ref="A71:A95"/>
    <mergeCell ref="A339:A360"/>
    <mergeCell ref="A376:A412"/>
    <mergeCell ref="A229:A284"/>
    <mergeCell ref="A362:A374"/>
    <mergeCell ref="A821:A833"/>
    <mergeCell ref="A414:A454"/>
    <mergeCell ref="A456:A543"/>
    <mergeCell ref="A869:A883"/>
    <mergeCell ref="A545:A557"/>
    <mergeCell ref="A558:A561"/>
    <mergeCell ref="A758:A770"/>
    <mergeCell ref="A672:A743"/>
    <mergeCell ref="A630:A669"/>
    <mergeCell ref="A776:A796"/>
    <mergeCell ref="A798:A818"/>
  </mergeCells>
  <conditionalFormatting sqref="D120">
    <cfRule type="cellIs" dxfId="11" priority="11" operator="notEqual">
      <formula>FALSE</formula>
    </cfRule>
    <cfRule type="cellIs" dxfId="10" priority="12" operator="equal">
      <formula>FALSE</formula>
    </cfRule>
  </conditionalFormatting>
  <conditionalFormatting sqref="E865">
    <cfRule type="cellIs" dxfId="9" priority="9" operator="notEqual">
      <formula>TRUE</formula>
    </cfRule>
    <cfRule type="cellIs" dxfId="8" priority="10" operator="equal">
      <formula>TRUE</formula>
    </cfRule>
  </conditionalFormatting>
  <conditionalFormatting sqref="D46">
    <cfRule type="cellIs" dxfId="7" priority="7" operator="equal">
      <formula>TRUE</formula>
    </cfRule>
    <cfRule type="cellIs" dxfId="6" priority="8" operator="notEqual">
      <formula>TRUE</formula>
    </cfRule>
  </conditionalFormatting>
  <conditionalFormatting sqref="D15">
    <cfRule type="cellIs" dxfId="5" priority="5" operator="notEqual">
      <formula>TRUE</formula>
    </cfRule>
    <cfRule type="cellIs" dxfId="4" priority="6" operator="equal">
      <formula>TRUE</formula>
    </cfRule>
  </conditionalFormatting>
  <conditionalFormatting sqref="D69">
    <cfRule type="cellIs" dxfId="3" priority="3" operator="notEqual">
      <formula>TRUE</formula>
    </cfRule>
    <cfRule type="cellIs" dxfId="2" priority="4" operator="equal">
      <formula>TRUE</formula>
    </cfRule>
  </conditionalFormatting>
  <conditionalFormatting sqref="D156">
    <cfRule type="cellIs" dxfId="1" priority="1" operator="notEqual">
      <formula>FALSE</formula>
    </cfRule>
    <cfRule type="cellIs" dxfId="0" priority="2" operator="equal">
      <formula>FALSE</formula>
    </cfRule>
  </conditionalFormatting>
  <hyperlinks>
    <hyperlink ref="G82" r:id="rId1"/>
    <hyperlink ref="D574" r:id="rId2" display="https://www.mouser.co.uk/ProductDetail/Microchip-Technology/MCP6021-E-P?qs=W2ndVjZwIIKVhoK39SuWRw%3D%3D"/>
    <hyperlink ref="G257" r:id="rId3"/>
    <hyperlink ref="G261" r:id="rId4"/>
    <hyperlink ref="F311" r:id="rId5"/>
    <hyperlink ref="E55" r:id="rId6" display="https://www.google.com/search?rlz=1C1OPNX_en-GBGB1133GB1133&amp;cs=1&amp;sca_esv=4f5104ed2b7290e9&amp;sxsrf=AE3TifMBc50EgN_UZeP2TYUaGrAgspuFug%3A1759801360140&amp;q=J%2Fkg%C2%B0C&amp;sa=X&amp;ved=2ahUKEwiAhqn3-pCQAxXbdUEAHcW_ATkQxccNegQIAhAB&amp;mstk=AUtExfBlWf-iKv0tU0x2ALq09kWMnBQLhxnNYa2XTpG6pPdO5k7aHSqqJ135od3xa3OduL5zCUbpNSJRrXFFi2dw0HVU1mc6M78ooul2ZfxT_QB8nPXg0tyJUQMbzMQIRGbDYMG4s69ONoPYyNMGJ4ikkBBv3C0ilHQb5nWaLEDP5a92kXZ-0-li7ATNT1MVYS4_Hl4CpA3jXt8GPmH5rd3Mpb8t8CJPQawnurIf3-5RlejN0Nh5c9e0jym_MrH_UTrMSq60HuFVQ1y4epwqdklQhthXgIM3ozc3jSicaYsJOPIstg&amp;csui=3"/>
    <hyperlink ref="F479" r:id="rId7" display="https://www.mouser.co.uk/ProductDetail/TDK/FG26X7R2A105KNT06?qs=sGAEpiMZZMvsSlwiRhF8qjQUafaa8S5xA6BgDdbMmMhufnE%252BCCuluQ%3D%3D"/>
  </hyperlinks>
  <pageMargins left="0.7" right="0.7" top="0.75" bottom="0.75" header="0.3" footer="0.3"/>
  <pageSetup paperSize="9" orientation="portrait" r:id="rId8"/>
  <drawing r:id="rId9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D20"/>
  <sheetViews>
    <sheetView workbookViewId="0">
      <selection activeCell="B20" sqref="B20:D20"/>
    </sheetView>
  </sheetViews>
  <sheetFormatPr defaultRowHeight="15" x14ac:dyDescent="0.25"/>
  <cols>
    <col min="2" max="2" width="30.85546875" customWidth="1"/>
  </cols>
  <sheetData>
    <row r="2" spans="2:4" x14ac:dyDescent="0.25">
      <c r="B2" t="s">
        <v>124</v>
      </c>
      <c r="C2" t="s">
        <v>65</v>
      </c>
      <c r="D2" t="s">
        <v>19</v>
      </c>
    </row>
    <row r="3" spans="2:4" x14ac:dyDescent="0.25">
      <c r="B3" t="s">
        <v>130</v>
      </c>
      <c r="C3">
        <v>0.02</v>
      </c>
    </row>
    <row r="4" spans="2:4" x14ac:dyDescent="0.25">
      <c r="B4" t="s">
        <v>131</v>
      </c>
      <c r="C4">
        <v>25.4</v>
      </c>
    </row>
    <row r="5" spans="2:4" x14ac:dyDescent="0.25">
      <c r="B5" t="s">
        <v>132</v>
      </c>
      <c r="C5">
        <f>0.6*C4</f>
        <v>15.239999999999998</v>
      </c>
      <c r="D5" t="s">
        <v>133</v>
      </c>
    </row>
    <row r="6" spans="2:4" x14ac:dyDescent="0.25">
      <c r="B6" t="s">
        <v>134</v>
      </c>
      <c r="C6">
        <f>C5*(1+C3)</f>
        <v>15.544799999999999</v>
      </c>
      <c r="D6" t="s">
        <v>133</v>
      </c>
    </row>
    <row r="7" spans="2:4" x14ac:dyDescent="0.25">
      <c r="B7" t="s">
        <v>135</v>
      </c>
      <c r="C7">
        <f>0.032*C4</f>
        <v>0.81279999999999997</v>
      </c>
      <c r="D7" t="s">
        <v>133</v>
      </c>
    </row>
    <row r="8" spans="2:4" x14ac:dyDescent="0.25">
      <c r="B8" t="s">
        <v>136</v>
      </c>
      <c r="C8">
        <f>C7*(1+C3)</f>
        <v>0.82905600000000002</v>
      </c>
      <c r="D8" t="s">
        <v>133</v>
      </c>
    </row>
    <row r="9" spans="2:4" x14ac:dyDescent="0.25">
      <c r="B9" t="s">
        <v>137</v>
      </c>
      <c r="C9">
        <f>0.17*C4</f>
        <v>4.3180000000000005</v>
      </c>
      <c r="D9" t="s">
        <v>133</v>
      </c>
    </row>
    <row r="10" spans="2:4" x14ac:dyDescent="0.25">
      <c r="B10" s="16" t="s">
        <v>39</v>
      </c>
      <c r="C10" s="16">
        <f>C9*(1+C3)</f>
        <v>4.4043600000000005</v>
      </c>
      <c r="D10" s="16" t="s">
        <v>133</v>
      </c>
    </row>
    <row r="11" spans="2:4" x14ac:dyDescent="0.25">
      <c r="B11" s="14" t="s">
        <v>138</v>
      </c>
      <c r="C11" s="14">
        <v>5</v>
      </c>
      <c r="D11" s="14" t="s">
        <v>133</v>
      </c>
    </row>
    <row r="12" spans="2:4" x14ac:dyDescent="0.25">
      <c r="B12" t="s">
        <v>139</v>
      </c>
      <c r="C12">
        <v>5</v>
      </c>
      <c r="D12" t="s">
        <v>133</v>
      </c>
    </row>
    <row r="13" spans="2:4" x14ac:dyDescent="0.25">
      <c r="B13" s="15" t="s">
        <v>140</v>
      </c>
      <c r="C13" s="15">
        <f>C6+(2*C12)</f>
        <v>25.544799999999999</v>
      </c>
      <c r="D13" s="15" t="s">
        <v>133</v>
      </c>
    </row>
    <row r="14" spans="2:4" x14ac:dyDescent="0.25">
      <c r="B14" t="s">
        <v>141</v>
      </c>
      <c r="C14">
        <f>C7+0.2</f>
        <v>1.0127999999999999</v>
      </c>
      <c r="D14" t="s">
        <v>133</v>
      </c>
    </row>
    <row r="15" spans="2:4" x14ac:dyDescent="0.25">
      <c r="B15" t="s">
        <v>142</v>
      </c>
      <c r="C15">
        <f>C8+0.3</f>
        <v>1.1290560000000001</v>
      </c>
      <c r="D15" t="s">
        <v>133</v>
      </c>
    </row>
    <row r="16" spans="2:4" x14ac:dyDescent="0.25">
      <c r="B16" s="15" t="s">
        <v>146</v>
      </c>
      <c r="C16" s="15">
        <v>1.1000000000000001</v>
      </c>
      <c r="D16" s="15" t="s">
        <v>133</v>
      </c>
    </row>
    <row r="17" spans="2:4" x14ac:dyDescent="0.25">
      <c r="B17" t="s">
        <v>143</v>
      </c>
      <c r="C17">
        <f>C16+(2*0.3)</f>
        <v>1.7000000000000002</v>
      </c>
      <c r="D17" t="s">
        <v>133</v>
      </c>
    </row>
    <row r="18" spans="2:4" x14ac:dyDescent="0.25">
      <c r="B18" t="s">
        <v>144</v>
      </c>
      <c r="C18">
        <f>C16+(2*0.5)</f>
        <v>2.1</v>
      </c>
      <c r="D18" t="s">
        <v>133</v>
      </c>
    </row>
    <row r="19" spans="2:4" x14ac:dyDescent="0.25">
      <c r="B19" t="s">
        <v>145</v>
      </c>
      <c r="C19">
        <f>C16+(2*0.7)</f>
        <v>2.5</v>
      </c>
      <c r="D19" t="s">
        <v>133</v>
      </c>
    </row>
    <row r="20" spans="2:4" x14ac:dyDescent="0.25">
      <c r="B20" s="15" t="s">
        <v>147</v>
      </c>
      <c r="C20" s="15">
        <v>2.5</v>
      </c>
      <c r="D20" s="15" t="s">
        <v>133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3"/>
  <sheetViews>
    <sheetView topLeftCell="B1" zoomScale="85" zoomScaleNormal="85" workbookViewId="0">
      <selection activeCell="F23" sqref="F23"/>
    </sheetView>
  </sheetViews>
  <sheetFormatPr defaultRowHeight="15" x14ac:dyDescent="0.25"/>
  <cols>
    <col min="3" max="3" width="36.140625" customWidth="1"/>
  </cols>
  <sheetData>
    <row r="1" spans="1:2" x14ac:dyDescent="0.25">
      <c r="A1" s="79" t="s">
        <v>149</v>
      </c>
      <c r="B1" s="79"/>
    </row>
    <row r="18" spans="3:5" x14ac:dyDescent="0.25">
      <c r="C18" s="80" t="s">
        <v>161</v>
      </c>
      <c r="D18" s="81"/>
      <c r="E18" s="82"/>
    </row>
    <row r="19" spans="3:5" x14ac:dyDescent="0.25">
      <c r="C19" s="17" t="s">
        <v>23</v>
      </c>
      <c r="D19" s="17">
        <v>12</v>
      </c>
      <c r="E19" s="17" t="s">
        <v>133</v>
      </c>
    </row>
    <row r="20" spans="3:5" x14ac:dyDescent="0.25">
      <c r="C20" s="17" t="s">
        <v>150</v>
      </c>
      <c r="D20" s="17">
        <f>D19+0.5</f>
        <v>12.5</v>
      </c>
      <c r="E20" s="17" t="s">
        <v>133</v>
      </c>
    </row>
    <row r="21" spans="3:5" x14ac:dyDescent="0.25">
      <c r="C21" s="17" t="s">
        <v>39</v>
      </c>
      <c r="D21" s="17">
        <v>19.399999999999999</v>
      </c>
      <c r="E21" s="17" t="s">
        <v>133</v>
      </c>
    </row>
    <row r="22" spans="3:5" x14ac:dyDescent="0.25">
      <c r="C22" s="17" t="s">
        <v>148</v>
      </c>
      <c r="D22" s="17">
        <v>7.9</v>
      </c>
      <c r="E22" s="17" t="s">
        <v>133</v>
      </c>
    </row>
    <row r="23" spans="3:5" x14ac:dyDescent="0.25">
      <c r="C23" s="17" t="s">
        <v>135</v>
      </c>
      <c r="D23" s="17">
        <v>0.8</v>
      </c>
      <c r="E23" s="17" t="s">
        <v>133</v>
      </c>
    </row>
    <row r="24" spans="3:5" x14ac:dyDescent="0.25">
      <c r="C24" s="17" t="s">
        <v>141</v>
      </c>
      <c r="D24" s="17">
        <f>D23+0.2</f>
        <v>1</v>
      </c>
      <c r="E24" s="17" t="s">
        <v>133</v>
      </c>
    </row>
    <row r="25" spans="3:5" x14ac:dyDescent="0.25">
      <c r="C25" s="17" t="s">
        <v>142</v>
      </c>
      <c r="D25" s="17">
        <f>D23+0.3</f>
        <v>1.1000000000000001</v>
      </c>
      <c r="E25" s="17" t="s">
        <v>133</v>
      </c>
    </row>
    <row r="26" spans="3:5" x14ac:dyDescent="0.25">
      <c r="C26" s="19" t="s">
        <v>146</v>
      </c>
      <c r="D26" s="19">
        <v>1.1000000000000001</v>
      </c>
      <c r="E26" s="19" t="s">
        <v>133</v>
      </c>
    </row>
    <row r="27" spans="3:5" x14ac:dyDescent="0.25">
      <c r="C27" s="17" t="s">
        <v>143</v>
      </c>
      <c r="D27" s="17">
        <f>D26+(2*0.3)</f>
        <v>1.7000000000000002</v>
      </c>
      <c r="E27" s="17" t="s">
        <v>133</v>
      </c>
    </row>
    <row r="28" spans="3:5" x14ac:dyDescent="0.25">
      <c r="C28" s="17" t="s">
        <v>144</v>
      </c>
      <c r="D28" s="17">
        <f>D26+(2*0.5)</f>
        <v>2.1</v>
      </c>
      <c r="E28" s="17" t="s">
        <v>133</v>
      </c>
    </row>
    <row r="29" spans="3:5" x14ac:dyDescent="0.25">
      <c r="C29" s="17" t="s">
        <v>145</v>
      </c>
      <c r="D29" s="17">
        <f>D26+(2*0.7)</f>
        <v>2.5</v>
      </c>
      <c r="E29" s="17" t="s">
        <v>133</v>
      </c>
    </row>
    <row r="30" spans="3:5" x14ac:dyDescent="0.25">
      <c r="C30" s="19" t="s">
        <v>147</v>
      </c>
      <c r="D30" s="19">
        <v>2.5</v>
      </c>
      <c r="E30" s="19" t="s">
        <v>133</v>
      </c>
    </row>
    <row r="31" spans="3:5" x14ac:dyDescent="0.25">
      <c r="C31" s="17" t="s">
        <v>151</v>
      </c>
      <c r="D31" s="17">
        <v>1</v>
      </c>
      <c r="E31" s="17" t="s">
        <v>133</v>
      </c>
    </row>
    <row r="32" spans="3:5" x14ac:dyDescent="0.25">
      <c r="C32" s="17" t="s">
        <v>152</v>
      </c>
      <c r="D32" s="17">
        <f>CEILING((2*D31)+D21, 1)</f>
        <v>22</v>
      </c>
      <c r="E32" s="17" t="s">
        <v>133</v>
      </c>
    </row>
    <row r="33" spans="3:5" x14ac:dyDescent="0.25">
      <c r="C33" s="17" t="s">
        <v>153</v>
      </c>
      <c r="D33" s="17">
        <f>CEILING((2*D31)+D22, 1)</f>
        <v>10</v>
      </c>
      <c r="E33" s="17" t="s">
        <v>133</v>
      </c>
    </row>
  </sheetData>
  <mergeCells count="2">
    <mergeCell ref="A1:B1"/>
    <mergeCell ref="C18:E18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7"/>
  <sheetViews>
    <sheetView workbookViewId="0">
      <selection activeCell="F34" sqref="F34"/>
    </sheetView>
  </sheetViews>
  <sheetFormatPr defaultRowHeight="15" x14ac:dyDescent="0.25"/>
  <cols>
    <col min="2" max="2" width="33.42578125" customWidth="1"/>
  </cols>
  <sheetData>
    <row r="1" spans="1:2" x14ac:dyDescent="0.25">
      <c r="A1" s="79" t="s">
        <v>160</v>
      </c>
      <c r="B1" s="79"/>
    </row>
    <row r="17" spans="1:4" x14ac:dyDescent="0.25">
      <c r="B17" s="80" t="s">
        <v>161</v>
      </c>
      <c r="C17" s="81"/>
      <c r="D17" s="82"/>
    </row>
    <row r="18" spans="1:4" x14ac:dyDescent="0.25">
      <c r="B18" s="17" t="s">
        <v>156</v>
      </c>
      <c r="C18" s="17">
        <v>8</v>
      </c>
      <c r="D18" s="17" t="s">
        <v>133</v>
      </c>
    </row>
    <row r="19" spans="1:4" x14ac:dyDescent="0.25">
      <c r="B19" s="17" t="s">
        <v>157</v>
      </c>
      <c r="C19" s="17">
        <f>C18+0.5</f>
        <v>8.5</v>
      </c>
      <c r="D19" s="17" t="s">
        <v>133</v>
      </c>
    </row>
    <row r="20" spans="1:4" x14ac:dyDescent="0.25">
      <c r="B20" s="17" t="s">
        <v>132</v>
      </c>
      <c r="C20" s="17">
        <v>10</v>
      </c>
      <c r="D20" s="17" t="s">
        <v>133</v>
      </c>
    </row>
    <row r="21" spans="1:4" x14ac:dyDescent="0.25">
      <c r="A21" s="18"/>
      <c r="B21" s="17" t="s">
        <v>134</v>
      </c>
      <c r="C21" s="17">
        <f>C20+2</f>
        <v>12</v>
      </c>
      <c r="D21" s="17" t="s">
        <v>133</v>
      </c>
    </row>
    <row r="22" spans="1:4" x14ac:dyDescent="0.25">
      <c r="B22" s="17" t="s">
        <v>154</v>
      </c>
      <c r="C22" s="17">
        <v>2</v>
      </c>
      <c r="D22" s="17"/>
    </row>
    <row r="23" spans="1:4" x14ac:dyDescent="0.25">
      <c r="B23" s="17" t="s">
        <v>155</v>
      </c>
      <c r="C23" s="17">
        <f>C22+1</f>
        <v>3</v>
      </c>
      <c r="D23" s="17" t="s">
        <v>133</v>
      </c>
    </row>
    <row r="24" spans="1:4" x14ac:dyDescent="0.25">
      <c r="B24" s="17" t="s">
        <v>135</v>
      </c>
      <c r="C24" s="17">
        <v>0.6</v>
      </c>
      <c r="D24" s="17" t="s">
        <v>133</v>
      </c>
    </row>
    <row r="25" spans="1:4" x14ac:dyDescent="0.25">
      <c r="B25" s="17" t="s">
        <v>136</v>
      </c>
      <c r="C25" s="17">
        <f>C24+0.2</f>
        <v>0.8</v>
      </c>
      <c r="D25" s="17" t="s">
        <v>133</v>
      </c>
    </row>
    <row r="26" spans="1:4" x14ac:dyDescent="0.25">
      <c r="B26" s="17" t="s">
        <v>141</v>
      </c>
      <c r="C26" s="17">
        <f>C25+0.2</f>
        <v>1</v>
      </c>
      <c r="D26" s="17" t="s">
        <v>133</v>
      </c>
    </row>
    <row r="27" spans="1:4" x14ac:dyDescent="0.25">
      <c r="B27" s="17" t="s">
        <v>142</v>
      </c>
      <c r="C27" s="17">
        <f>C25+0.3</f>
        <v>1.1000000000000001</v>
      </c>
      <c r="D27" s="17" t="s">
        <v>133</v>
      </c>
    </row>
    <row r="28" spans="1:4" x14ac:dyDescent="0.25">
      <c r="B28" s="19" t="s">
        <v>146</v>
      </c>
      <c r="C28" s="19">
        <v>1</v>
      </c>
      <c r="D28" s="19" t="s">
        <v>133</v>
      </c>
    </row>
    <row r="29" spans="1:4" x14ac:dyDescent="0.25">
      <c r="B29" s="17" t="s">
        <v>143</v>
      </c>
      <c r="C29" s="17">
        <f>C28+(2*0.3)</f>
        <v>1.6</v>
      </c>
      <c r="D29" s="17" t="s">
        <v>133</v>
      </c>
    </row>
    <row r="30" spans="1:4" x14ac:dyDescent="0.25">
      <c r="B30" s="17" t="s">
        <v>144</v>
      </c>
      <c r="C30" s="17">
        <f>C28+(2*0.5)</f>
        <v>2</v>
      </c>
      <c r="D30" s="17" t="s">
        <v>133</v>
      </c>
    </row>
    <row r="31" spans="1:4" x14ac:dyDescent="0.25">
      <c r="B31" s="17" t="s">
        <v>145</v>
      </c>
      <c r="C31" s="17">
        <f>C28+(2*0.7)</f>
        <v>2.4</v>
      </c>
      <c r="D31" s="17" t="s">
        <v>133</v>
      </c>
    </row>
    <row r="32" spans="1:4" x14ac:dyDescent="0.25">
      <c r="B32" s="19" t="s">
        <v>147</v>
      </c>
      <c r="C32" s="19">
        <v>2.4</v>
      </c>
      <c r="D32" s="19" t="s">
        <v>133</v>
      </c>
    </row>
    <row r="33" spans="2:4" x14ac:dyDescent="0.25">
      <c r="B33" s="17" t="s">
        <v>151</v>
      </c>
      <c r="C33" s="17">
        <v>1</v>
      </c>
      <c r="D33" s="17" t="s">
        <v>133</v>
      </c>
    </row>
    <row r="34" spans="2:4" x14ac:dyDescent="0.25">
      <c r="B34" s="17" t="s">
        <v>152</v>
      </c>
      <c r="C34" s="17">
        <f>CEILING((2*C33)+C21, 1)</f>
        <v>14</v>
      </c>
      <c r="D34" s="17" t="s">
        <v>133</v>
      </c>
    </row>
    <row r="35" spans="2:4" x14ac:dyDescent="0.25">
      <c r="B35" s="17" t="s">
        <v>153</v>
      </c>
      <c r="C35" s="17">
        <f>CEILING((2*C33)+C23, 1)</f>
        <v>5</v>
      </c>
      <c r="D35" s="17" t="s">
        <v>133</v>
      </c>
    </row>
    <row r="36" spans="2:4" x14ac:dyDescent="0.25">
      <c r="B36" s="20" t="s">
        <v>158</v>
      </c>
      <c r="C36" s="20">
        <f>C19</f>
        <v>8.5</v>
      </c>
      <c r="D36" s="20" t="s">
        <v>133</v>
      </c>
    </row>
    <row r="37" spans="2:4" x14ac:dyDescent="0.25">
      <c r="B37" s="21" t="s">
        <v>159</v>
      </c>
      <c r="C37" s="21">
        <f>C36-C32</f>
        <v>6.1</v>
      </c>
      <c r="D37" s="21" t="s">
        <v>133</v>
      </c>
    </row>
  </sheetData>
  <mergeCells count="2">
    <mergeCell ref="B17:D17"/>
    <mergeCell ref="A1:B1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7"/>
  <sheetViews>
    <sheetView workbookViewId="0">
      <selection activeCell="D20" sqref="D20"/>
    </sheetView>
  </sheetViews>
  <sheetFormatPr defaultRowHeight="15" x14ac:dyDescent="0.25"/>
  <cols>
    <col min="2" max="2" width="33.42578125" customWidth="1"/>
  </cols>
  <sheetData>
    <row r="1" spans="1:2" x14ac:dyDescent="0.25">
      <c r="A1" s="79" t="s">
        <v>167</v>
      </c>
      <c r="B1" s="79"/>
    </row>
    <row r="17" spans="1:4" x14ac:dyDescent="0.25">
      <c r="B17" s="80" t="s">
        <v>161</v>
      </c>
      <c r="C17" s="81"/>
      <c r="D17" s="82"/>
    </row>
    <row r="18" spans="1:4" x14ac:dyDescent="0.25">
      <c r="B18" s="17" t="s">
        <v>156</v>
      </c>
      <c r="C18" s="17">
        <v>46</v>
      </c>
      <c r="D18" s="17" t="s">
        <v>133</v>
      </c>
    </row>
    <row r="19" spans="1:4" x14ac:dyDescent="0.25">
      <c r="B19" s="17" t="s">
        <v>157</v>
      </c>
      <c r="C19" s="17">
        <f>C18+0.5</f>
        <v>46.5</v>
      </c>
      <c r="D19" s="17" t="s">
        <v>133</v>
      </c>
    </row>
    <row r="20" spans="1:4" x14ac:dyDescent="0.25">
      <c r="B20" s="17" t="s">
        <v>132</v>
      </c>
      <c r="C20" s="17">
        <v>50</v>
      </c>
      <c r="D20" s="17" t="s">
        <v>133</v>
      </c>
    </row>
    <row r="21" spans="1:4" x14ac:dyDescent="0.25">
      <c r="A21" s="18"/>
      <c r="B21" s="17" t="s">
        <v>134</v>
      </c>
      <c r="C21" s="17">
        <f>C20+2</f>
        <v>52</v>
      </c>
      <c r="D21" s="17" t="s">
        <v>133</v>
      </c>
    </row>
    <row r="22" spans="1:4" x14ac:dyDescent="0.25">
      <c r="B22" s="17" t="s">
        <v>154</v>
      </c>
      <c r="C22" s="17">
        <v>2</v>
      </c>
      <c r="D22" s="17"/>
    </row>
    <row r="23" spans="1:4" x14ac:dyDescent="0.25">
      <c r="B23" s="17" t="s">
        <v>155</v>
      </c>
      <c r="C23" s="17">
        <f>C22+1</f>
        <v>3</v>
      </c>
      <c r="D23" s="17" t="s">
        <v>133</v>
      </c>
    </row>
    <row r="24" spans="1:4" x14ac:dyDescent="0.25">
      <c r="B24" s="17" t="s">
        <v>135</v>
      </c>
      <c r="C24" s="17">
        <v>0.8</v>
      </c>
      <c r="D24" s="17" t="s">
        <v>133</v>
      </c>
    </row>
    <row r="25" spans="1:4" x14ac:dyDescent="0.25">
      <c r="B25" s="17" t="s">
        <v>136</v>
      </c>
      <c r="C25" s="17">
        <f>C24+0.2</f>
        <v>1</v>
      </c>
      <c r="D25" s="17" t="s">
        <v>133</v>
      </c>
    </row>
    <row r="26" spans="1:4" x14ac:dyDescent="0.25">
      <c r="B26" s="17" t="s">
        <v>141</v>
      </c>
      <c r="C26" s="17">
        <f>C25+0.2</f>
        <v>1.2</v>
      </c>
      <c r="D26" s="17" t="s">
        <v>133</v>
      </c>
    </row>
    <row r="27" spans="1:4" x14ac:dyDescent="0.25">
      <c r="B27" s="17" t="s">
        <v>142</v>
      </c>
      <c r="C27" s="17">
        <f>C25+0.3</f>
        <v>1.3</v>
      </c>
      <c r="D27" s="17" t="s">
        <v>133</v>
      </c>
    </row>
    <row r="28" spans="1:4" x14ac:dyDescent="0.25">
      <c r="B28" s="19" t="s">
        <v>146</v>
      </c>
      <c r="C28" s="19">
        <v>1.2</v>
      </c>
      <c r="D28" s="19" t="s">
        <v>133</v>
      </c>
    </row>
    <row r="29" spans="1:4" x14ac:dyDescent="0.25">
      <c r="B29" s="17" t="s">
        <v>143</v>
      </c>
      <c r="C29" s="17">
        <f>C28+(2*0.3)</f>
        <v>1.7999999999999998</v>
      </c>
      <c r="D29" s="17" t="s">
        <v>133</v>
      </c>
    </row>
    <row r="30" spans="1:4" x14ac:dyDescent="0.25">
      <c r="B30" s="17" t="s">
        <v>144</v>
      </c>
      <c r="C30" s="17">
        <f>C28+(2*0.5)</f>
        <v>2.2000000000000002</v>
      </c>
      <c r="D30" s="17" t="s">
        <v>133</v>
      </c>
    </row>
    <row r="31" spans="1:4" x14ac:dyDescent="0.25">
      <c r="B31" s="17" t="s">
        <v>145</v>
      </c>
      <c r="C31" s="17">
        <f>C28+(2*0.7)</f>
        <v>2.5999999999999996</v>
      </c>
      <c r="D31" s="17" t="s">
        <v>133</v>
      </c>
    </row>
    <row r="32" spans="1:4" x14ac:dyDescent="0.25">
      <c r="B32" s="19" t="s">
        <v>147</v>
      </c>
      <c r="C32" s="19">
        <v>2.6</v>
      </c>
      <c r="D32" s="19" t="s">
        <v>133</v>
      </c>
    </row>
    <row r="33" spans="2:4" x14ac:dyDescent="0.25">
      <c r="B33" s="17" t="s">
        <v>151</v>
      </c>
      <c r="C33" s="17">
        <v>1</v>
      </c>
      <c r="D33" s="17" t="s">
        <v>133</v>
      </c>
    </row>
    <row r="34" spans="2:4" x14ac:dyDescent="0.25">
      <c r="B34" s="17" t="s">
        <v>152</v>
      </c>
      <c r="C34" s="17">
        <f>CEILING((2*C33)+C21, 1)</f>
        <v>54</v>
      </c>
      <c r="D34" s="17" t="s">
        <v>133</v>
      </c>
    </row>
    <row r="35" spans="2:4" x14ac:dyDescent="0.25">
      <c r="B35" s="17" t="s">
        <v>153</v>
      </c>
      <c r="C35" s="17">
        <f>CEILING((2*C33)+C23, 1)</f>
        <v>5</v>
      </c>
      <c r="D35" s="17" t="s">
        <v>133</v>
      </c>
    </row>
    <row r="36" spans="2:4" x14ac:dyDescent="0.25">
      <c r="B36" s="20" t="s">
        <v>158</v>
      </c>
      <c r="C36" s="20">
        <f>C19</f>
        <v>46.5</v>
      </c>
      <c r="D36" s="20" t="s">
        <v>133</v>
      </c>
    </row>
    <row r="37" spans="2:4" x14ac:dyDescent="0.25">
      <c r="B37" s="21" t="s">
        <v>159</v>
      </c>
      <c r="C37" s="21">
        <f>C36-C32</f>
        <v>43.9</v>
      </c>
      <c r="D37" s="21" t="s">
        <v>133</v>
      </c>
    </row>
  </sheetData>
  <mergeCells count="2">
    <mergeCell ref="A1:B1"/>
    <mergeCell ref="B17:D17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S2:U18"/>
  <sheetViews>
    <sheetView topLeftCell="A7" zoomScale="115" zoomScaleNormal="115" workbookViewId="0">
      <selection activeCell="H19" sqref="H19"/>
    </sheetView>
  </sheetViews>
  <sheetFormatPr defaultRowHeight="15" x14ac:dyDescent="0.25"/>
  <sheetData>
    <row r="2" spans="19:20" x14ac:dyDescent="0.25">
      <c r="S2" t="s">
        <v>518</v>
      </c>
      <c r="T2">
        <v>399</v>
      </c>
    </row>
    <row r="3" spans="19:20" x14ac:dyDescent="0.25">
      <c r="S3" t="s">
        <v>531</v>
      </c>
      <c r="T3">
        <v>14000</v>
      </c>
    </row>
    <row r="4" spans="19:20" x14ac:dyDescent="0.25">
      <c r="S4" t="s">
        <v>552</v>
      </c>
      <c r="T4" s="1">
        <v>5.4399999999999996E-6</v>
      </c>
    </row>
    <row r="5" spans="19:20" x14ac:dyDescent="0.25">
      <c r="S5" t="s">
        <v>520</v>
      </c>
      <c r="T5">
        <v>40</v>
      </c>
    </row>
    <row r="6" spans="19:20" x14ac:dyDescent="0.25">
      <c r="S6" t="s">
        <v>521</v>
      </c>
      <c r="T6">
        <v>20</v>
      </c>
    </row>
    <row r="7" spans="19:20" x14ac:dyDescent="0.25">
      <c r="S7" t="s">
        <v>523</v>
      </c>
      <c r="T7">
        <v>1E-4</v>
      </c>
    </row>
    <row r="8" spans="19:20" x14ac:dyDescent="0.25">
      <c r="S8" t="s">
        <v>525</v>
      </c>
      <c r="T8">
        <f>POWER(T4/T7, 0.5)</f>
        <v>0.23323807579381201</v>
      </c>
    </row>
    <row r="9" spans="19:20" x14ac:dyDescent="0.25">
      <c r="S9" t="s">
        <v>524</v>
      </c>
      <c r="T9">
        <v>0.1</v>
      </c>
    </row>
    <row r="10" spans="19:20" x14ac:dyDescent="0.25">
      <c r="S10" t="s">
        <v>554</v>
      </c>
      <c r="T10">
        <f>T9/T12</f>
        <v>2.2471910112359553E-3</v>
      </c>
    </row>
    <row r="11" spans="19:20" x14ac:dyDescent="0.25">
      <c r="S11" t="s">
        <v>519</v>
      </c>
      <c r="T11">
        <f>T9/T12</f>
        <v>2.2471910112359553E-3</v>
      </c>
    </row>
    <row r="12" spans="19:20" x14ac:dyDescent="0.25">
      <c r="S12" t="s">
        <v>522</v>
      </c>
      <c r="T12">
        <v>44.5</v>
      </c>
    </row>
    <row r="13" spans="19:20" x14ac:dyDescent="0.25">
      <c r="S13" t="s">
        <v>548</v>
      </c>
      <c r="T13">
        <f>T6-POWER(POWER((T9-(T11*T12))/T8, 2)+POWER(T6, 2), 0.5)</f>
        <v>0</v>
      </c>
    </row>
    <row r="14" spans="19:20" x14ac:dyDescent="0.25">
      <c r="S14" t="s">
        <v>549</v>
      </c>
      <c r="T14">
        <f>(1/T11)*(T13-T6)</f>
        <v>-8899.9999999999982</v>
      </c>
    </row>
    <row r="15" spans="19:20" x14ac:dyDescent="0.25">
      <c r="S15" t="s">
        <v>550</v>
      </c>
      <c r="T15">
        <f>T13-T14</f>
        <v>8899.9999999999982</v>
      </c>
    </row>
    <row r="16" spans="19:20" x14ac:dyDescent="0.25">
      <c r="S16" t="s">
        <v>551</v>
      </c>
      <c r="T16">
        <f>T5</f>
        <v>40</v>
      </c>
    </row>
    <row r="17" spans="19:21" x14ac:dyDescent="0.25">
      <c r="S17" t="s">
        <v>523</v>
      </c>
      <c r="T17">
        <f>T4*POWER(T5, 2)/POWER(T9-(T3/T2), 2)</f>
        <v>7.1102949277174389E-6</v>
      </c>
    </row>
    <row r="18" spans="19:21" x14ac:dyDescent="0.25">
      <c r="S18" t="s">
        <v>553</v>
      </c>
      <c r="T18" t="str">
        <f>IF(T11&lt;T9/T12, "Decrease V_max by", "Increase V_max by")</f>
        <v>Increase V_max by</v>
      </c>
      <c r="U18">
        <f>T11/(T9/T12)</f>
        <v>1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topLeftCell="A19" zoomScale="115" zoomScaleNormal="115" workbookViewId="0">
      <selection activeCell="D28" sqref="B3:D28"/>
    </sheetView>
  </sheetViews>
  <sheetFormatPr defaultRowHeight="15" x14ac:dyDescent="0.25"/>
  <cols>
    <col min="2" max="2" width="46.85546875" bestFit="1" customWidth="1"/>
    <col min="4" max="4" width="12" bestFit="1" customWidth="1"/>
  </cols>
  <sheetData/>
  <pageMargins left="0.7" right="0.7" top="0.75" bottom="0.75" header="0.3" footer="0.3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E11"/>
  <sheetViews>
    <sheetView workbookViewId="0">
      <selection activeCell="E14" sqref="E14"/>
    </sheetView>
  </sheetViews>
  <sheetFormatPr defaultRowHeight="15" x14ac:dyDescent="0.25"/>
  <sheetData>
    <row r="3" spans="1:5" x14ac:dyDescent="0.25">
      <c r="A3" t="s">
        <v>663</v>
      </c>
      <c r="B3" t="s">
        <v>662</v>
      </c>
      <c r="C3" t="s">
        <v>123</v>
      </c>
      <c r="D3" t="s">
        <v>664</v>
      </c>
    </row>
    <row r="4" spans="1:5" x14ac:dyDescent="0.25">
      <c r="A4" t="s">
        <v>661</v>
      </c>
      <c r="B4" t="s">
        <v>666</v>
      </c>
      <c r="D4">
        <v>12</v>
      </c>
      <c r="E4" t="s">
        <v>673</v>
      </c>
    </row>
    <row r="5" spans="1:5" x14ac:dyDescent="0.25">
      <c r="A5" t="s">
        <v>665</v>
      </c>
      <c r="B5" t="s">
        <v>670</v>
      </c>
      <c r="D5">
        <v>5</v>
      </c>
      <c r="E5" t="s">
        <v>672</v>
      </c>
    </row>
    <row r="6" spans="1:5" x14ac:dyDescent="0.25">
      <c r="A6" t="s">
        <v>667</v>
      </c>
      <c r="B6" t="s">
        <v>669</v>
      </c>
      <c r="D6">
        <v>8</v>
      </c>
      <c r="E6" t="s">
        <v>674</v>
      </c>
    </row>
    <row r="7" spans="1:5" x14ac:dyDescent="0.25">
      <c r="A7" t="s">
        <v>668</v>
      </c>
      <c r="B7" t="s">
        <v>666</v>
      </c>
      <c r="D7">
        <v>4</v>
      </c>
      <c r="E7" t="s">
        <v>671</v>
      </c>
    </row>
    <row r="8" spans="1:5" x14ac:dyDescent="0.25">
      <c r="A8" t="s">
        <v>661</v>
      </c>
      <c r="B8" t="s">
        <v>669</v>
      </c>
      <c r="D8">
        <v>4</v>
      </c>
      <c r="E8" t="s">
        <v>673</v>
      </c>
    </row>
    <row r="9" spans="1:5" x14ac:dyDescent="0.25">
      <c r="A9" t="s">
        <v>667</v>
      </c>
      <c r="B9" t="s">
        <v>676</v>
      </c>
      <c r="D9">
        <v>4</v>
      </c>
      <c r="E9" t="s">
        <v>675</v>
      </c>
    </row>
    <row r="10" spans="1:5" x14ac:dyDescent="0.25">
      <c r="A10" t="s">
        <v>678</v>
      </c>
      <c r="E10" t="s">
        <v>677</v>
      </c>
    </row>
    <row r="11" spans="1:5" x14ac:dyDescent="0.25">
      <c r="A11" t="s">
        <v>665</v>
      </c>
      <c r="B11" t="s">
        <v>679</v>
      </c>
      <c r="D11">
        <v>16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Driver And Controller</vt:lpstr>
      <vt:lpstr>Villard Diode PCB Calcs</vt:lpstr>
      <vt:lpstr>Villard Capacitor PCB Calcs</vt:lpstr>
      <vt:lpstr>Villard Capacitor Bleeder Calcs</vt:lpstr>
      <vt:lpstr>Output Series Compsite Resistor</vt:lpstr>
      <vt:lpstr>Regenerative snubber design</vt:lpstr>
      <vt:lpstr>Active Cooling</vt:lpstr>
      <vt:lpstr>Sheet3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2024-11-04T21:29:48Z</dcterms:created>
  <dcterms:modified xsi:type="dcterms:W3CDTF">2026-01-30T14:46:21Z</dcterms:modified>
</cp:coreProperties>
</file>